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27699" documentId="11_C0AD03C342DF8C45C27642CE56340F0D67CFF049" xr6:coauthVersionLast="47" xr6:coauthVersionMax="47" xr10:uidLastSave="{5A993F94-ED6A-4F23-93D1-EE3430D3FAF1}"/>
  <bookViews>
    <workbookView xWindow="0" yWindow="0" windowWidth="0" windowHeight="0" xr2:uid="{00000000-000D-0000-FFFF-FFFF00000000}"/>
  </bookViews>
  <sheets>
    <sheet name="Synthèse contrôle IA" sheetId="1" r:id="rId1"/>
    <sheet name="Classe A - Article spécifique" sheetId="2" r:id="rId2"/>
    <sheet name="Classe B - Article générique" sheetId="3" r:id="rId3"/>
    <sheet name="Ne pas modifier" sheetId="4" r:id="rId4"/>
    <sheet name="Points à valider" sheetId="5" r:id="rId5"/>
    <sheet name="Notes et sources" sheetId="6" r:id="rId6"/>
    <sheet name="Liens d origine" sheetId="7" r:id="rId7"/>
    <sheet name="Sources vérifiées" sheetId="8" r:id="rId8"/>
    <sheet name="Conventions famille" sheetId="9" r:id="rId9"/>
  </sheets>
  <definedNames>
    <definedName name="Liste_Familles_COSWIN">'Ne pas modifier'!$E$1:$E$805</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C28" i="1"/>
  <c r="B28" i="1"/>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AK48" i="3"/>
  <c r="AL47" i="3"/>
  <c r="AK47" i="3"/>
  <c r="AM46" i="3"/>
  <c r="AK46" i="3"/>
  <c r="AL45" i="3"/>
  <c r="AL44" i="3"/>
  <c r="AK43" i="3"/>
  <c r="AK42" i="3"/>
  <c r="AK41" i="3"/>
  <c r="AL40" i="3"/>
  <c r="AM39" i="3"/>
  <c r="AL38" i="3"/>
  <c r="AK38" i="3"/>
  <c r="AM37" i="3"/>
  <c r="AL35" i="3"/>
  <c r="AL34" i="3"/>
  <c r="AM31" i="3"/>
  <c r="AL31" i="3"/>
  <c r="AL26" i="3"/>
  <c r="AK26" i="3"/>
  <c r="AN517" i="2"/>
  <c r="AN514" i="2"/>
  <c r="AM514" i="2"/>
  <c r="AO512" i="2"/>
  <c r="AN512" i="2"/>
  <c r="AO511" i="2"/>
  <c r="AN511" i="2"/>
  <c r="AO510" i="2"/>
  <c r="AM510" i="2"/>
  <c r="AO509" i="2"/>
  <c r="AN509" i="2"/>
  <c r="AM508" i="2"/>
  <c r="AN507" i="2"/>
  <c r="AM507" i="2"/>
  <c r="AN506" i="2"/>
  <c r="AM506" i="2"/>
  <c r="AN505" i="2"/>
  <c r="AM505" i="2"/>
  <c r="AO504" i="2"/>
  <c r="AO503" i="2"/>
  <c r="AN497" i="2"/>
  <c r="AM497" i="2"/>
  <c r="AO496" i="2"/>
  <c r="AN496" i="2"/>
  <c r="AO494" i="2"/>
  <c r="AN494" i="2"/>
  <c r="AM494" i="2"/>
  <c r="AO493" i="2"/>
  <c r="AN493" i="2"/>
  <c r="AO492" i="2"/>
  <c r="AN492" i="2"/>
  <c r="AO491" i="2"/>
  <c r="AO490" i="2"/>
  <c r="AO483" i="2"/>
  <c r="AN483" i="2"/>
  <c r="AO482" i="2"/>
  <c r="AO481" i="2"/>
  <c r="AN481" i="2"/>
  <c r="AO477" i="2"/>
  <c r="AN477" i="2"/>
  <c r="AM477" i="2"/>
  <c r="AN476" i="2"/>
  <c r="AM476" i="2"/>
  <c r="AN467" i="2"/>
  <c r="AM467" i="2"/>
  <c r="AO464" i="2"/>
  <c r="AM464" i="2"/>
  <c r="AM458" i="2"/>
  <c r="AO457" i="2"/>
  <c r="AM457" i="2"/>
  <c r="AO349" i="2"/>
  <c r="AN349" i="2"/>
  <c r="AM349" i="2"/>
  <c r="AN322" i="2"/>
  <c r="AN321" i="2"/>
  <c r="AN320" i="2"/>
  <c r="AN319" i="2"/>
  <c r="AN311" i="2"/>
  <c r="AM311" i="2"/>
  <c r="AM273" i="2"/>
  <c r="AM271" i="2"/>
  <c r="AM270" i="2"/>
  <c r="AN269" i="2"/>
  <c r="AN268" i="2"/>
  <c r="AO257" i="2"/>
  <c r="AO256" i="2"/>
  <c r="AN256" i="2"/>
  <c r="AO255" i="2"/>
  <c r="AN255" i="2"/>
  <c r="AO254" i="2"/>
  <c r="AN254" i="2"/>
  <c r="AN158" i="2"/>
  <c r="AM158" i="2"/>
  <c r="AO114" i="2"/>
  <c r="AO106" i="2"/>
  <c r="AN106" i="2"/>
  <c r="AN104" i="2"/>
  <c r="AM104" i="2"/>
  <c r="AO103" i="2"/>
  <c r="AM103" i="2"/>
  <c r="AN102" i="2"/>
  <c r="AM102" i="2"/>
  <c r="AN9" i="2"/>
  <c r="B84" i="6"/>
  <c r="B83" i="6"/>
  <c r="I125" i="9"/>
  <c r="F125" i="9"/>
  <c r="I124" i="9"/>
  <c r="F124" i="9"/>
  <c r="I123" i="9"/>
  <c r="F123" i="9"/>
  <c r="I122" i="9"/>
  <c r="F122" i="9"/>
  <c r="I121" i="9"/>
  <c r="F121" i="9"/>
  <c r="I120" i="9"/>
  <c r="F120" i="9"/>
  <c r="I119" i="9"/>
  <c r="F119" i="9"/>
  <c r="I118" i="9"/>
  <c r="F118" i="9"/>
  <c r="I117" i="9"/>
  <c r="F117" i="9"/>
  <c r="I116" i="9"/>
  <c r="F116" i="9"/>
  <c r="I115" i="9"/>
  <c r="F115" i="9"/>
  <c r="I114" i="9"/>
  <c r="F114" i="9"/>
  <c r="I113" i="9"/>
  <c r="F113" i="9"/>
  <c r="I112" i="9"/>
  <c r="F112" i="9"/>
  <c r="I111" i="9"/>
  <c r="F111" i="9"/>
  <c r="I110" i="9"/>
  <c r="F110" i="9"/>
  <c r="I109" i="9"/>
  <c r="F109" i="9"/>
  <c r="I108" i="9"/>
  <c r="F108" i="9"/>
  <c r="I107" i="9"/>
  <c r="F107" i="9"/>
  <c r="I106" i="9"/>
  <c r="F106" i="9"/>
  <c r="I105" i="9"/>
  <c r="F105" i="9"/>
  <c r="I104" i="9"/>
  <c r="F104" i="9"/>
  <c r="I103" i="9"/>
  <c r="F103" i="9"/>
  <c r="I102" i="9"/>
  <c r="F102" i="9"/>
  <c r="I101" i="9"/>
  <c r="F101" i="9"/>
  <c r="I100" i="9"/>
  <c r="F100" i="9"/>
  <c r="I99" i="9"/>
  <c r="F99" i="9"/>
  <c r="I98" i="9"/>
  <c r="F98" i="9"/>
  <c r="I97" i="9"/>
  <c r="F97" i="9"/>
  <c r="I96" i="9"/>
  <c r="F96" i="9"/>
  <c r="I95" i="9"/>
  <c r="F95" i="9"/>
  <c r="I94" i="9"/>
  <c r="F94" i="9"/>
  <c r="I93" i="9"/>
  <c r="F93" i="9"/>
  <c r="I92" i="9"/>
  <c r="F92" i="9"/>
  <c r="I91" i="9"/>
  <c r="F91" i="9"/>
  <c r="I90" i="9"/>
  <c r="F90" i="9"/>
  <c r="I89" i="9"/>
  <c r="F89" i="9"/>
  <c r="I88" i="9"/>
  <c r="F88" i="9"/>
  <c r="I87" i="9"/>
  <c r="F87" i="9"/>
  <c r="I86" i="9"/>
  <c r="F86" i="9"/>
  <c r="I85" i="9"/>
  <c r="F85" i="9"/>
  <c r="I84" i="9"/>
  <c r="F84" i="9"/>
  <c r="I83" i="9"/>
  <c r="F83" i="9"/>
  <c r="I82" i="9"/>
  <c r="F82" i="9"/>
  <c r="I81" i="9"/>
  <c r="F81" i="9"/>
  <c r="I80" i="9"/>
  <c r="F80" i="9"/>
  <c r="I79" i="9"/>
  <c r="F79" i="9"/>
  <c r="I78" i="9"/>
  <c r="F78" i="9"/>
  <c r="I77" i="9"/>
  <c r="F77" i="9"/>
  <c r="I76" i="9"/>
  <c r="F76" i="9"/>
  <c r="I75" i="9"/>
  <c r="F75" i="9"/>
  <c r="I74" i="9"/>
  <c r="F74" i="9"/>
  <c r="I73" i="9"/>
  <c r="F73" i="9"/>
  <c r="I72" i="9"/>
  <c r="F72" i="9"/>
  <c r="I71" i="9"/>
  <c r="F71" i="9"/>
  <c r="I70" i="9"/>
  <c r="F70" i="9"/>
  <c r="I69" i="9"/>
  <c r="F69" i="9"/>
  <c r="I68" i="9"/>
  <c r="F68" i="9"/>
  <c r="I67" i="9"/>
  <c r="F67" i="9"/>
  <c r="I66" i="9"/>
  <c r="F66" i="9"/>
  <c r="I65" i="9"/>
  <c r="F65" i="9"/>
  <c r="I64" i="9"/>
  <c r="F64" i="9"/>
  <c r="I63" i="9"/>
  <c r="F63" i="9"/>
  <c r="I62" i="9"/>
  <c r="F62" i="9"/>
  <c r="I61" i="9"/>
  <c r="F61" i="9"/>
  <c r="I60" i="9"/>
  <c r="F60" i="9"/>
  <c r="I59" i="9"/>
  <c r="F59" i="9"/>
  <c r="I58" i="9"/>
  <c r="F58" i="9"/>
  <c r="I57" i="9"/>
  <c r="F57" i="9"/>
  <c r="I56" i="9"/>
  <c r="F56" i="9"/>
  <c r="I55" i="9"/>
  <c r="F55" i="9"/>
  <c r="I54" i="9"/>
  <c r="F54" i="9"/>
  <c r="I53" i="9"/>
  <c r="F53" i="9"/>
  <c r="I52" i="9"/>
  <c r="F52" i="9"/>
  <c r="I51" i="9"/>
  <c r="F51" i="9"/>
  <c r="I50" i="9"/>
  <c r="F50" i="9"/>
  <c r="I49" i="9"/>
  <c r="F49" i="9"/>
  <c r="I48" i="9"/>
  <c r="F48" i="9"/>
  <c r="I47" i="9"/>
  <c r="F47" i="9"/>
  <c r="I46" i="9"/>
  <c r="F46" i="9"/>
  <c r="I45" i="9"/>
  <c r="F45" i="9"/>
  <c r="I44" i="9"/>
  <c r="F44" i="9"/>
  <c r="I43" i="9"/>
  <c r="F43" i="9"/>
  <c r="I42" i="9"/>
  <c r="F42" i="9"/>
  <c r="I41" i="9"/>
  <c r="F41" i="9"/>
  <c r="I40" i="9"/>
  <c r="F40" i="9"/>
  <c r="I39" i="9"/>
  <c r="F39" i="9"/>
  <c r="I38" i="9"/>
  <c r="F38" i="9"/>
  <c r="I37" i="9"/>
  <c r="F37" i="9"/>
  <c r="I36" i="9"/>
  <c r="F36" i="9"/>
  <c r="I35" i="9"/>
  <c r="F35" i="9"/>
  <c r="I34" i="9"/>
  <c r="F34" i="9"/>
  <c r="I33" i="9"/>
  <c r="F33" i="9"/>
  <c r="I32" i="9"/>
  <c r="F32" i="9"/>
  <c r="I31" i="9"/>
  <c r="F31" i="9"/>
  <c r="I30" i="9"/>
  <c r="F30" i="9"/>
  <c r="I29" i="9"/>
  <c r="F29" i="9"/>
  <c r="I28" i="9"/>
  <c r="F28" i="9"/>
  <c r="I27" i="9"/>
  <c r="F27" i="9"/>
  <c r="I26" i="9"/>
  <c r="F26" i="9"/>
  <c r="I25" i="9"/>
  <c r="F25" i="9"/>
  <c r="I24" i="9"/>
  <c r="F24" i="9"/>
  <c r="I23" i="9"/>
  <c r="F23" i="9"/>
  <c r="I22" i="9"/>
  <c r="F22" i="9"/>
  <c r="I21" i="9"/>
  <c r="F21" i="9"/>
  <c r="I20" i="9"/>
  <c r="F20" i="9"/>
  <c r="I19" i="9"/>
  <c r="F19" i="9"/>
  <c r="I18" i="9"/>
  <c r="F18" i="9"/>
  <c r="I17" i="9"/>
  <c r="F17" i="9"/>
  <c r="I16" i="9"/>
  <c r="F16" i="9"/>
  <c r="I15" i="9"/>
  <c r="F15" i="9"/>
  <c r="I14" i="9"/>
  <c r="F14" i="9"/>
  <c r="I13" i="9"/>
  <c r="F13" i="9"/>
  <c r="I12" i="9"/>
  <c r="F12" i="9"/>
  <c r="I11" i="9"/>
  <c r="F11" i="9"/>
  <c r="I10" i="9"/>
  <c r="F10" i="9"/>
  <c r="I9" i="9"/>
  <c r="F9" i="9"/>
  <c r="I8" i="9"/>
  <c r="F8" i="9"/>
  <c r="I7" i="9"/>
  <c r="F7" i="9"/>
  <c r="I6" i="9"/>
  <c r="F6" i="9"/>
  <c r="I5" i="9"/>
  <c r="F5" i="9"/>
  <c r="I4" i="9"/>
  <c r="F4" i="9"/>
  <c r="I3" i="9"/>
  <c r="F3" i="9"/>
  <c r="N125" i="5"/>
  <c r="K125" i="5"/>
  <c r="N124" i="5"/>
  <c r="K124" i="5"/>
  <c r="N123" i="5"/>
  <c r="K123" i="5"/>
  <c r="N122" i="5"/>
  <c r="K122" i="5"/>
  <c r="N121" i="5"/>
  <c r="K121" i="5"/>
  <c r="N120" i="5"/>
  <c r="K120" i="5"/>
  <c r="N119" i="5"/>
  <c r="K119" i="5"/>
  <c r="N118" i="5"/>
  <c r="K118" i="5"/>
  <c r="N117" i="5"/>
  <c r="K117" i="5"/>
  <c r="N116" i="5"/>
  <c r="K116" i="5"/>
  <c r="N115" i="5"/>
  <c r="K115" i="5"/>
  <c r="N114" i="5"/>
  <c r="K114" i="5"/>
  <c r="N113" i="5"/>
  <c r="K113" i="5"/>
  <c r="N112" i="5"/>
  <c r="K112" i="5"/>
  <c r="N111" i="5"/>
  <c r="K111" i="5"/>
  <c r="N110" i="5"/>
  <c r="K110" i="5"/>
  <c r="N109" i="5"/>
  <c r="K109" i="5"/>
  <c r="N108" i="5"/>
  <c r="K108" i="5"/>
  <c r="N107" i="5"/>
  <c r="K107" i="5"/>
  <c r="N106" i="5"/>
  <c r="K106" i="5"/>
  <c r="N105" i="5"/>
  <c r="K105" i="5"/>
  <c r="N104" i="5"/>
  <c r="K104" i="5"/>
  <c r="N103" i="5"/>
  <c r="K103" i="5"/>
  <c r="N102" i="5"/>
  <c r="K102" i="5"/>
  <c r="N101" i="5"/>
  <c r="K101" i="5"/>
  <c r="N100" i="5"/>
  <c r="K100" i="5"/>
  <c r="N99" i="5"/>
  <c r="K99" i="5"/>
  <c r="N98" i="5"/>
  <c r="K98" i="5"/>
  <c r="N97" i="5"/>
  <c r="K97" i="5"/>
  <c r="N96" i="5"/>
  <c r="K96" i="5"/>
  <c r="N95" i="5"/>
  <c r="K95" i="5"/>
  <c r="N94" i="5"/>
  <c r="K94" i="5"/>
  <c r="N93" i="5"/>
  <c r="K93" i="5"/>
  <c r="N92" i="5"/>
  <c r="K92" i="5"/>
  <c r="N91" i="5"/>
  <c r="K91" i="5"/>
  <c r="N90" i="5"/>
  <c r="K90" i="5"/>
  <c r="N89" i="5"/>
  <c r="K89" i="5"/>
  <c r="N88" i="5"/>
  <c r="K88" i="5"/>
  <c r="N87" i="5"/>
  <c r="K87" i="5"/>
  <c r="N86" i="5"/>
  <c r="K86" i="5"/>
  <c r="N85" i="5"/>
  <c r="K85" i="5"/>
  <c r="N84" i="5"/>
  <c r="K84" i="5"/>
  <c r="N83" i="5"/>
  <c r="K83" i="5"/>
  <c r="N82" i="5"/>
  <c r="K82" i="5"/>
  <c r="N81" i="5"/>
  <c r="K81" i="5"/>
  <c r="N80" i="5"/>
  <c r="K80" i="5"/>
  <c r="N79" i="5"/>
  <c r="K79" i="5"/>
  <c r="N78" i="5"/>
  <c r="K78" i="5"/>
  <c r="N77" i="5"/>
  <c r="K77" i="5"/>
  <c r="N76" i="5"/>
  <c r="K76" i="5"/>
  <c r="N75" i="5"/>
  <c r="K75" i="5"/>
  <c r="N74" i="5"/>
  <c r="K74" i="5"/>
  <c r="N73" i="5"/>
  <c r="K73" i="5"/>
  <c r="N72" i="5"/>
  <c r="K72" i="5"/>
  <c r="N71" i="5"/>
  <c r="K71" i="5"/>
  <c r="N70" i="5"/>
  <c r="K70" i="5"/>
  <c r="N69" i="5"/>
  <c r="K69" i="5"/>
  <c r="N68" i="5"/>
  <c r="K68" i="5"/>
  <c r="N67" i="5"/>
  <c r="K67" i="5"/>
  <c r="N66" i="5"/>
  <c r="K66" i="5"/>
  <c r="N65" i="5"/>
  <c r="K65" i="5"/>
  <c r="N64" i="5"/>
  <c r="K64" i="5"/>
  <c r="N63" i="5"/>
  <c r="K63" i="5"/>
  <c r="N62" i="5"/>
  <c r="K62" i="5"/>
  <c r="N61" i="5"/>
  <c r="K61" i="5"/>
  <c r="N60" i="5"/>
  <c r="K60" i="5"/>
  <c r="N59" i="5"/>
  <c r="K59" i="5"/>
  <c r="N58" i="5"/>
  <c r="K58" i="5"/>
  <c r="N57" i="5"/>
  <c r="K57" i="5"/>
  <c r="N56" i="5"/>
  <c r="K56" i="5"/>
  <c r="N55" i="5"/>
  <c r="K55" i="5"/>
  <c r="N54" i="5"/>
  <c r="K54" i="5"/>
  <c r="N53" i="5"/>
  <c r="K53" i="5"/>
  <c r="N52" i="5"/>
  <c r="K52" i="5"/>
  <c r="N51" i="5"/>
  <c r="K51" i="5"/>
  <c r="N50" i="5"/>
  <c r="K50" i="5"/>
  <c r="N49" i="5"/>
  <c r="K49" i="5"/>
  <c r="N48" i="5"/>
  <c r="K48" i="5"/>
  <c r="N47" i="5"/>
  <c r="K47" i="5"/>
  <c r="N46" i="5"/>
  <c r="K46" i="5"/>
  <c r="N45" i="5"/>
  <c r="K45" i="5"/>
  <c r="N44" i="5"/>
  <c r="K44" i="5"/>
  <c r="N43" i="5"/>
  <c r="K43" i="5"/>
  <c r="N42" i="5"/>
  <c r="K42" i="5"/>
  <c r="N41" i="5"/>
  <c r="K41" i="5"/>
  <c r="N40" i="5"/>
  <c r="K40" i="5"/>
  <c r="N39" i="5"/>
  <c r="K39" i="5"/>
  <c r="N38" i="5"/>
  <c r="K38" i="5"/>
  <c r="N37" i="5"/>
  <c r="K37" i="5"/>
  <c r="N36" i="5"/>
  <c r="K36" i="5"/>
  <c r="N35" i="5"/>
  <c r="K35" i="5"/>
  <c r="N34" i="5"/>
  <c r="K34" i="5"/>
  <c r="N33" i="5"/>
  <c r="K33" i="5"/>
  <c r="N32" i="5"/>
  <c r="K32" i="5"/>
  <c r="N31" i="5"/>
  <c r="K31" i="5"/>
  <c r="N30" i="5"/>
  <c r="K30" i="5"/>
  <c r="N29" i="5"/>
  <c r="K29" i="5"/>
  <c r="N28" i="5"/>
  <c r="K28" i="5"/>
  <c r="N27" i="5"/>
  <c r="K27" i="5"/>
  <c r="N26" i="5"/>
  <c r="K26" i="5"/>
  <c r="N25" i="5"/>
  <c r="K25" i="5"/>
  <c r="N24" i="5"/>
  <c r="K24" i="5"/>
  <c r="N23" i="5"/>
  <c r="K23" i="5"/>
  <c r="N22" i="5"/>
  <c r="K22" i="5"/>
  <c r="N21" i="5"/>
  <c r="K21" i="5"/>
  <c r="N20" i="5"/>
  <c r="K20" i="5"/>
  <c r="N19" i="5"/>
  <c r="K19" i="5"/>
  <c r="N18" i="5"/>
  <c r="K18" i="5"/>
  <c r="N17" i="5"/>
  <c r="K17" i="5"/>
  <c r="N16" i="5"/>
  <c r="K16" i="5"/>
  <c r="N15" i="5"/>
  <c r="K15" i="5"/>
  <c r="N14" i="5"/>
  <c r="K14" i="5"/>
  <c r="N13" i="5"/>
  <c r="K13" i="5"/>
  <c r="N12" i="5"/>
  <c r="K12" i="5"/>
  <c r="N11" i="5"/>
  <c r="K11" i="5"/>
  <c r="N10" i="5"/>
  <c r="K10" i="5"/>
  <c r="N9" i="5"/>
  <c r="K9" i="5"/>
  <c r="N8" i="5"/>
  <c r="K8" i="5"/>
  <c r="N7" i="5"/>
  <c r="K7" i="5"/>
  <c r="N6" i="5"/>
  <c r="K6" i="5"/>
  <c r="N5" i="5"/>
  <c r="K5" i="5"/>
  <c r="N4" i="5"/>
  <c r="K4" i="5"/>
  <c r="N3" i="5"/>
  <c r="K3" i="5"/>
  <c r="D25" i="1"/>
  <c r="D32" i="1"/>
  <c r="D31" i="1"/>
  <c r="D30" i="1"/>
  <c r="D29" i="1"/>
  <c r="D26" i="1"/>
  <c r="D24" i="1"/>
  <c r="D23" i="1"/>
  <c r="D22" i="1"/>
  <c r="D21" i="1"/>
  <c r="D19" i="1"/>
  <c r="D18" i="1"/>
  <c r="D16" i="1"/>
  <c r="D15" i="1"/>
  <c r="D14" i="1"/>
  <c r="D13" i="1"/>
  <c r="D12" i="1"/>
  <c r="D11" i="1"/>
  <c r="D10" i="1"/>
  <c r="D9" i="1"/>
  <c r="D8" i="1"/>
  <c r="D7" i="1"/>
  <c r="D6" i="1"/>
  <c r="D5" i="1"/>
  <c r="D4" i="1"/>
  <c r="D3" i="1"/>
  <c r="C32" i="1"/>
  <c r="C31" i="1"/>
  <c r="C30" i="1"/>
  <c r="C29" i="1"/>
  <c r="C27" i="1" a="1"/>
  <c r="C26" i="1"/>
  <c r="C25" i="1"/>
  <c r="C24" i="1"/>
  <c r="C23" i="1"/>
  <c r="C22" i="1"/>
  <c r="C21" i="1"/>
  <c r="C20" i="1"/>
  <c r="C19" i="1"/>
  <c r="C18" i="1"/>
  <c r="C17" i="1"/>
  <c r="C16" i="1"/>
  <c r="C15" i="1"/>
  <c r="C14" i="1" a="1"/>
  <c r="C13" i="1"/>
  <c r="C12" i="1"/>
  <c r="C11" i="1"/>
  <c r="C10" i="1"/>
  <c r="C9" i="1"/>
  <c r="C8" i="1"/>
  <c r="C7" i="1"/>
  <c r="C6" i="1"/>
  <c r="C5" i="1"/>
  <c r="C4" i="1"/>
  <c r="C3" i="1"/>
  <c r="B32" i="1"/>
  <c r="B31" i="1"/>
  <c r="B30" i="1"/>
  <c r="B29" i="1"/>
  <c r="B27" i="1" a="1"/>
  <c r="D27" i="1" s="1"/>
  <c r="B26" i="1"/>
  <c r="B25" i="1"/>
  <c r="B24" i="1"/>
  <c r="B23" i="1"/>
  <c r="B22" i="1"/>
  <c r="B21" i="1"/>
  <c r="B20" i="1"/>
  <c r="D20" i="1" s="1"/>
  <c r="B19" i="1"/>
  <c r="B18" i="1"/>
  <c r="B17" i="1"/>
  <c r="D17" i="1" s="1"/>
  <c r="B16" i="1"/>
  <c r="B15" i="1"/>
  <c r="B14" i="1" a="1"/>
  <c r="B13" i="1"/>
  <c r="B12" i="1"/>
  <c r="B11" i="1"/>
  <c r="B10" i="1"/>
  <c r="B9" i="1"/>
  <c r="B8" i="1"/>
  <c r="B7" i="1"/>
  <c r="B6" i="1"/>
  <c r="B5" i="1"/>
  <c r="B4" i="1"/>
  <c r="B3" i="1"/>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7" i="3"/>
  <c r="F46" i="3"/>
  <c r="F45" i="3"/>
  <c r="F44" i="3"/>
  <c r="F43" i="3"/>
  <c r="F42" i="3"/>
  <c r="F41" i="3"/>
  <c r="F40" i="3"/>
  <c r="F39" i="3"/>
  <c r="F38" i="3"/>
  <c r="F37" i="3"/>
  <c r="F36" i="3"/>
  <c r="F35" i="3"/>
  <c r="F34" i="3"/>
  <c r="F33" i="3"/>
  <c r="F32" i="3"/>
  <c r="F31" i="3"/>
  <c r="F30" i="3"/>
  <c r="F29" i="3"/>
  <c r="F28" i="3"/>
  <c r="F27" i="3"/>
  <c r="F26" i="3"/>
  <c r="F25" i="3"/>
  <c r="F22" i="3"/>
  <c r="F21" i="3"/>
  <c r="F20" i="3"/>
  <c r="F19" i="3"/>
  <c r="F18" i="3"/>
  <c r="F17" i="3"/>
  <c r="F16" i="3"/>
  <c r="F15" i="3"/>
  <c r="F14" i="3"/>
  <c r="F13" i="3"/>
  <c r="F12" i="3"/>
  <c r="F11" i="3"/>
  <c r="F10" i="3"/>
  <c r="F9" i="3"/>
  <c r="F8" i="3"/>
  <c r="F7" i="3"/>
  <c r="F6" i="3"/>
  <c r="F5" i="3"/>
  <c r="F4" i="3"/>
  <c r="F3" i="3"/>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D28" i="1"/>
  <c r="G48" i="3"/>
  <c r="F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<sst xmlns="http://schemas.openxmlformats.org/spreadsheetml/2006/main" count="17650" uniqueCount="5039">
  <si>
    <t>CONTROLE COSWIN — REPRISE DU 07/10/2026</t>
  </si>
  <si>
    <t>Indicateur</t>
  </si>
  <si>
    <t>Classe A</t>
  </si>
  <si>
    <t>Classe B</t>
  </si>
  <si>
    <t>Total</t>
  </si>
  <si>
    <t>Définition / périmètre</t>
  </si>
  <si>
    <t>Paramètre</t>
  </si>
  <si>
    <t>Valeur</t>
  </si>
  <si>
    <t>Unité et source</t>
  </si>
  <si>
    <t>Articles présents</t>
  </si>
  <si>
    <t>Référence originale renseignée ; emplacements préremplis sans référence exclus.</t>
  </si>
  <si>
    <t>Champs confirmés indépendants</t>
  </si>
  <si>
    <t>nombre — cahier de contrôle</t>
  </si>
  <si>
    <t>Articles déjà codés — exclus</t>
  </si>
  <si>
    <t>Code Article non vide, y compris OBSOLETE ; aucun enrichissement ni recherche.</t>
  </si>
  <si>
    <t>Limite désignation</t>
  </si>
  <si>
    <t>caractères — cahier de contrôle</t>
  </si>
  <si>
    <t>Articles contrôlés</t>
  </si>
  <si>
    <t>Référence renseignée et Code Article vide ; contrôle depuis zéro.</t>
  </si>
  <si>
    <t>Limite machine</t>
  </si>
  <si>
    <t>Références constructeur confirmées</t>
  </si>
  <si>
    <t>Champ confirmé non vide ; existence du type peut être confirmée sans valider toutes ses options.</t>
  </si>
  <si>
    <t>Seuil dominante</t>
  </si>
  <si>
    <t>% — cahier de contrôle</t>
  </si>
  <si>
    <t>Marques confirmées</t>
  </si>
  <si>
    <t>Fabricant de la référence prouvé ; identité de société ou série seule ne remplit pas ce champ.</t>
  </si>
  <si>
    <t>Date contrôle</t>
  </si>
  <si>
    <t>date — demande de cette exécution</t>
  </si>
  <si>
    <t>Référence ET marque confirmées</t>
  </si>
  <si>
    <t>Deux champs confirmés simultanément ; seuls les articles non codés.</t>
  </si>
  <si>
    <t>Fournisseurs saisis confirmés</t>
  </si>
  <si>
    <t>Identité du fournisseur saisi vérifiée, sans substitution par un autre vendeur.</t>
  </si>
  <si>
    <t>Références fournisseur confirmées</t>
  </si>
  <si>
    <t>Code effectivement documenté chez le fournisseur saisi.</t>
  </si>
  <si>
    <t>Valeurs non confirmées — 4 champs</t>
  </si>
  <si>
    <t>Cellules vides parmi référence constructeur, marque, fournisseur, référence fournisseur, sur contrôlés uniquement.</t>
  </si>
  <si>
    <t>Articles avec au moins 1 champ non confirmé</t>
  </si>
  <si>
    <t>Articles contrôlés moins articles possédant les 4 champs confirmés.</t>
  </si>
  <si>
    <t>Pièces explicitement sur plan</t>
  </si>
  <si>
    <t>Indice Non applicable ; le plan fait foi, absence catalogue normale.</t>
  </si>
  <si>
    <t>Articles avec au moins 1 photo</t>
  </si>
  <si>
    <t>Au moins une vraie image admissible dans les trois colonnes photo.</t>
  </si>
  <si>
    <t>TOTAL PHOTOS</t>
  </si>
  <si>
    <t>Nombre de liens image dans Photo produit 1/2/3 seulement ; fiches et pages exclus.</t>
  </si>
  <si>
    <t>Articles avec code(s) de base candidat(s)</t>
  </si>
  <si>
    <t>Correspondances normalisées, dédoublonnées par code ; pas un doublon certain par défaut.</t>
  </si>
  <si>
    <t>Codes distincts de base par demande</t>
  </si>
  <si>
    <t>Somme du nombre de codes distincts pour chaque demande ; aucune répétition fournisseur comptée.</t>
  </si>
  <si>
    <t>Doublons base à confirmer</t>
  </si>
  <si>
    <t>Référence/contexte compatibles ; validation du code existant nécessaire.</t>
  </si>
  <si>
    <t>Candidats ambigus base</t>
  </si>
  <si>
    <t>Dentures/dimensions ou variante non résolues ; ne pas fusionner automatiquement.</t>
  </si>
  <si>
    <t>Groupes de doublons internes potentiels</t>
  </si>
  <si>
    <t>Groupes croisant les deux classes. Les contributions A/B sont fractionnaires ; total = groupes distincts.</t>
  </si>
  <si>
    <t>Lignes dans un groupe interne potentiel</t>
  </si>
  <si>
    <t>Lignes non codées uniquement ; contextes conservés, pas de fusion de références.</t>
  </si>
  <si>
    <t>Désignations IA 1 renseignées</t>
  </si>
  <si>
    <t>Seulement un libellé officiel constructeur de la référence effectivement prouvée.</t>
  </si>
  <si>
    <t>Désignations IA 2 renseignées</t>
  </si>
  <si>
    <t>Termes sourcés/base contextualisée, ou proposition transparente ARTICLE A IDENTIFIER.</t>
  </si>
  <si>
    <t>Désignations algorithme renseignées</t>
  </si>
  <si>
    <t>Saisie d origine uniquement ; pas une validation fabricant.</t>
  </si>
  <si>
    <t>Écarts de contenu original observés</t>
  </si>
  <si>
    <t>Comparaison intégrale des cellules/formules originales et du référentiel ; conversions de type séparées.</t>
  </si>
  <si>
    <t>Conversions de type des identifiants</t>
  </si>
  <si>
    <t>Passage numérique/date -&gt; TEXTE dans les trois colonnes originales ; aucune correction de contenu.</t>
  </si>
  <si>
    <t>Erreurs dans les nouvelles colonnes</t>
  </si>
  <si>
    <t>Contrôle de tous les résultats des colonnes ajoutées, sans masquer les erreurs.</t>
  </si>
  <si>
    <t>Erreur d origine connue préservée</t>
  </si>
  <si>
    <t>F91 vérifiée en erreur dans la Classe B ; audit intégral des autres résultats originaux sans autre erreur. G48 calculée 0 est signalée séparément.</t>
  </si>
  <si>
    <t>Élevé</t>
  </si>
  <si>
    <t>Référence constructeur exacte et caractéristiques concordantes.</t>
  </si>
  <si>
    <t>Moyen</t>
  </si>
  <si>
    <t>Preuve distributeur/devis ou petit écart ; portée expliquée.</t>
  </si>
  <si>
    <t>Faible</t>
  </si>
  <si>
    <t>Preuve insuffisante, configuration non confirmée ou contradiction.</t>
  </si>
  <si>
    <t>Non applicable</t>
  </si>
  <si>
    <t>Plan explicitement demandé ; pas de référence catalogue attendue.</t>
  </si>
  <si>
    <t>Lecture et décisions</t>
  </si>
  <si>
    <t>Exclusion</t>
  </si>
  <si>
    <t>Les propositions ne modifient aucune saisie originale. Les 438 lignes déjà codées n ont que leur statut d exclusion dans les ajouts.</t>
  </si>
  <si>
    <t>Confirmations</t>
  </si>
  <si>
    <t>Les identités de fournisseurs peuvent être vérifiées même si la référence fournisseur reste inconnue ; les quatre confirmations sont indépendantes.</t>
  </si>
  <si>
    <t>Désignations</t>
  </si>
  <si>
    <t>IA 1 = constructeur officiel exact ; IA 2 = termes vérifiés ou identification transparente ; algorithme = saisie seulement, sans validation technique.</t>
  </si>
  <si>
    <t>Traçabilité</t>
  </si>
  <si>
    <t>Points à valider et Sources vérifiées portent les localisations actuelles. 50 liens d origine conservés : 45 cliquables, 4 URLs longues sans cible courte reçue et 1 pièce jointe à accès refusé, conservées en texte.</t>
  </si>
  <si>
    <t>Photos / limites</t>
  </si>
  <si>
    <t>Limites : aucune photo admissible obtenue ; absence normale pour plan, pièces propriétaires et confections. Recherche d images dédiée indisponible dans l organisation.</t>
  </si>
  <si>
    <t>Erreurs source</t>
  </si>
  <si>
    <t>Erreurs originales préservées : Classe B F91 =LEN(#REF!) ; G48 =UPPER(F48), avec F48 =LEN(G48), désignation calculée 0 inexploitable.</t>
  </si>
  <si>
    <t>Fidélité de copie</t>
  </si>
  <si>
    <t>Fidélité de copie : valeurs, formules, dates, listes et styles utiles reproduits. Anciens formats conditionnels à formules non reproductibles ; nuances/bordures complexes non garanties à l identique.</t>
  </si>
  <si>
    <t>Livraison</t>
  </si>
  <si>
    <t>Aucun message ni e-mail. Le dépôt du classeur final est la seule livraison.</t>
  </si>
  <si>
    <t>Version du 31/08/2026​</t>
  </si>
  <si>
    <t>A remplir par le demandeur</t>
  </si>
  <si>
    <t>Ne pas modifier</t>
  </si>
  <si>
    <t>A remplir par le demandeur (menu déroulant)</t>
  </si>
  <si>
    <t>A remplir par la Cellule Référentielle</t>
  </si>
  <si>
    <t>Ajouté par le contrôle automatique — les colonnes d'origine ne sont jamais modifiées</t>
  </si>
  <si>
    <t>Classe Article</t>
  </si>
  <si>
    <t>Demandeur</t>
  </si>
  <si>
    <t>Date Demande</t>
  </si>
  <si>
    <t>Référence Fabricant / Générique</t>
  </si>
  <si>
    <t>Marque</t>
  </si>
  <si>
    <t>Check long. Désign.</t>
  </si>
  <si>
    <t>Désignation</t>
  </si>
  <si>
    <t>Famille</t>
  </si>
  <si>
    <t>Spécifique pour
machine</t>
  </si>
  <si>
    <t>Unité
Stock</t>
  </si>
  <si>
    <t>Unité
Commande</t>
  </si>
  <si>
    <t>Certificat d'alimentarité?</t>
  </si>
  <si>
    <t>Fournisseur (nom)</t>
  </si>
  <si>
    <t>Fournisseur (code)</t>
  </si>
  <si>
    <t>Référence Fournisseur</t>
  </si>
  <si>
    <t>Site</t>
  </si>
  <si>
    <t>Remarques demandeur</t>
  </si>
  <si>
    <t>Code Article</t>
  </si>
  <si>
    <t>Date de création</t>
  </si>
  <si>
    <t>Remarque Cellule Référentielle</t>
  </si>
  <si>
    <t>BPC</t>
  </si>
  <si>
    <t>Remarque complémentaire demandeur</t>
  </si>
  <si>
    <t>Référence constructeur confirmée</t>
  </si>
  <si>
    <t>Marque confirmée</t>
  </si>
  <si>
    <t>Fournisseur confirmé</t>
  </si>
  <si>
    <t>Référence fournisseur confirmée</t>
  </si>
  <si>
    <t>Statut réf. / marque</t>
  </si>
  <si>
    <t>Désignation IA 1 (constructeur)</t>
  </si>
  <si>
    <t>Justification IA 1</t>
  </si>
  <si>
    <t>Désignation IA 2 (variante base article)</t>
  </si>
  <si>
    <t>Justification IA 2</t>
  </si>
  <si>
    <t>Désignation algorithme</t>
  </si>
  <si>
    <t>Justification algorithme</t>
  </si>
  <si>
    <t>Article déjà existant (base)</t>
  </si>
  <si>
    <t>Photo produit 1 (lien)</t>
  </si>
  <si>
    <t>Photo produit 2 (lien)</t>
  </si>
  <si>
    <t>Photo produit 3 (lien)</t>
  </si>
  <si>
    <t>Niveau photo</t>
  </si>
  <si>
    <t>Fiche technique (lien)</t>
  </si>
  <si>
    <t>Page constructeur (lien)</t>
  </si>
  <si>
    <t>Page distributeur (lien)</t>
  </si>
  <si>
    <t>Indice de confiance</t>
  </si>
  <si>
    <t>Justification du contrôle</t>
  </si>
  <si>
    <t>Famille corrigée</t>
  </si>
  <si>
    <t>Contrôle famille</t>
  </si>
  <si>
    <t>Spécifique machine corrigé</t>
  </si>
  <si>
    <t>Contrôle machine</t>
  </si>
  <si>
    <t>A</t>
  </si>
  <si>
    <t>Simon DROULERS</t>
  </si>
  <si>
    <t>1C486160</t>
  </si>
  <si>
    <t>DONALDSON</t>
  </si>
  <si>
    <t>ELEMENT DE FILTRATION MODELE S0600</t>
  </si>
  <si>
    <t>110101 AIR / VIDE : FILTRES</t>
  </si>
  <si>
    <t>EA</t>
  </si>
  <si>
    <t>NON</t>
  </si>
  <si>
    <t>ULTRAFILTER DONALDSON VIGNY FR 95</t>
  </si>
  <si>
    <t>ESTREES</t>
  </si>
  <si>
    <t>086943</t>
  </si>
  <si>
    <t>DEJA CREE - article code 086943, ligne non retraitee.</t>
  </si>
  <si>
    <t>Dany BACOT</t>
  </si>
  <si>
    <t>DO-21414-5-01</t>
  </si>
  <si>
    <t>ET PACK</t>
  </si>
  <si>
    <t>CHAINE A TAQUET MONTAGE AVANT TRANSPORT DE WRAP ETC20 DO-21414-5-01</t>
  </si>
  <si>
    <t>200000 ARTICLES SPECIFIQUES</t>
  </si>
  <si>
    <t>ENCAISSEUSE B4</t>
  </si>
  <si>
    <t>Pièces détachées_20170309</t>
  </si>
  <si>
    <t>086937</t>
  </si>
  <si>
    <t>La désignation est issue de quel document. J'ai besoin de la doc du constructeur / Liste nomenclature complete de la machine. / Famille constructeur ET PACK ? PAS D'ACCES AUX PJ -</t>
  </si>
  <si>
    <t>LA MACHINE POSSEDE DEUX LOT DE CHAINE A TAQUET AVANT ET ARRIERE DONT UN LOT EST DEJA CODIFIER 086470 ET 086590 VOIR CI-DESSOUS
JEANNINE EST AU COURANT VOIR CD30425043 ET LA FAMILLE ET PACK N'A JAMAIS EXISTER ( J'AI VALIDER LES ACCES PIECES JOINTE LE02/09/2026)</t>
  </si>
  <si>
    <t>DEJA CREE - article code 086937, ligne non retraitee.</t>
  </si>
  <si>
    <t>D0-21418-5-01</t>
  </si>
  <si>
    <t>CHAINE A TAQUET MONTAGE ARRIERE TRANSPORT DE WRAP ETC20 D0-21418-5-01</t>
  </si>
  <si>
    <t>086938</t>
  </si>
  <si>
    <t>La désignation est issue de quel document. J'ai besoin de la doc du constructeur / Liste nomenclature complete de la machine. / Famille constructeur ET PACK ? PAS D'ACCES AUX PJ</t>
  </si>
  <si>
    <t>DEJA CREE - article code 086938, ligne non retraitee.</t>
  </si>
  <si>
    <t>Vincent DARTHOS</t>
  </si>
  <si>
    <t>A&amp;K 0030B</t>
  </si>
  <si>
    <t>A&amp;K</t>
  </si>
  <si>
    <t>HEX NUT 3/4'-16UNF JAM NUT</t>
  </si>
  <si>
    <t>200500 A&amp;K</t>
  </si>
  <si>
    <t>Effeuilleuse A&amp;K</t>
  </si>
  <si>
    <t>FEMIA</t>
  </si>
  <si>
    <t>BORDERES</t>
  </si>
  <si>
    <t>086881</t>
  </si>
  <si>
    <t>Merci !</t>
  </si>
  <si>
    <t>DEJA CREE - article code 086881, ligne non retraitee.</t>
  </si>
  <si>
    <t>2TLA020051R5401</t>
  </si>
  <si>
    <t>ABB</t>
  </si>
  <si>
    <t>CAPTEUR DE SECURITE MAGNETIQUE ADAM SIGNAUX OSSD 24 VDC CONNECTEUR M12 SN 15MM</t>
  </si>
  <si>
    <t>SONEPAR FRANCE DISTRIBUTION-SFD NORD</t>
  </si>
  <si>
    <t>Il manque la famille des detecteurs de sécurité</t>
  </si>
  <si>
    <t>086856</t>
  </si>
  <si>
    <t>Doublon avec l'article 086856 (CAPTEUR DE SECURITE SANS CONTACT ADAM C OSSD INFO M12-5 24VDC). Demande non creee.</t>
  </si>
  <si>
    <t>Normal j'ai notifier une demande d'augmentation de stock dans le dossier</t>
  </si>
  <si>
    <t>DEJA CREE - article code 086856, ligne non retraitee.</t>
  </si>
  <si>
    <t>01/09/2026</t>
  </si>
  <si>
    <t>2TLA020046R0801</t>
  </si>
  <si>
    <t>RECEPTEUR ACTIONNEUR MAGNETIQUE DE SECURITE EVA CODE POUR CAPTEUR ADAM SN 15MM</t>
  </si>
  <si>
    <t>082107</t>
  </si>
  <si>
    <t>Doublon avec l'article 082107 (CONTACT DE SECURITE PORTE EVA C GENERAL CODE). Demande non creee.</t>
  </si>
  <si>
    <t>DEJA CREE - article code 082107, ligne non retraitee.</t>
  </si>
  <si>
    <t>WI 421/16/45.31</t>
  </si>
  <si>
    <t>Reovib</t>
  </si>
  <si>
    <t>VIBRATEUR ELECTROMAGNETIQUE 660W 200V 3,3A 3000tr/min</t>
  </si>
  <si>
    <t>150501 MOTEURS : MOTEURS A COURANT CONTINU</t>
  </si>
  <si>
    <t>Vibreur alim emboiteuse J/M</t>
  </si>
  <si>
    <t>SARL REOVARIAC EVRY FR 91</t>
  </si>
  <si>
    <t>Image</t>
  </si>
  <si>
    <t>La gamme REOVIB WI 421 et la taille /16 sont confirmees sur la page constructeur officielle REO France et sur la fiche technique PDF REO, mais le suffixe de bobinage '/45.31' (variante tension/frequence) n'est reference dans aucune source publique et les valeurs electriques d'origine ne correspondent pas au tableau catalogue.</t>
  </si>
  <si>
    <t>La référence vient de la plaque moteur donc ça existe photo a l'appuie</t>
  </si>
  <si>
    <t>REOVARIAC SARL</t>
  </si>
  <si>
    <t>Série/gamme confirmée - configuration exacte non confirmée ; VALIDER - CHAMPS NON CONFIRMES</t>
  </si>
  <si>
    <t>VIDE : aucun libellé officiel constructeur de la variante exacte n est confirmé. Une série, une société ou un libellé de distributeur ne remplace pas cette preuve.</t>
  </si>
  <si>
    <t>AIMANT VIBRANT ELECTROMAGNETIQUE REOVIB WI421 - VARIANTE A VALIDER</t>
  </si>
  <si>
    <t>Termes techniques issus exclusivement des sources vérifiées du 07/10/2026, reformulés selon l usage de la famille. Portée limitée à la série : cette proposition ne valide pas la variante ni les détails de saisie exclus des sources. Sources : REO AG — Aimant vibrant REOVIB WI421 — famille; REOVARIAC — Bienvenue sur le site de REOVARIAC</t>
  </si>
  <si>
    <t>VIBRATEUR ELECTROMAGNETIQUE 660 W 200V 3,3A 3000TR/MIN</t>
  </si>
  <si>
    <t>Saisie d origine uniquement, majuscules/espacement d unités et traduction usuelle sans ajout de caractéristiques. Nature source conservée sans substitution sémantique : 14 codes distincts de famille. Dominante MOTEUR : 9/14, soit 64.3% ; seuil d éligibilité 30 %, jamais une validation technique.</t>
  </si>
  <si>
    <t>Aucune photo trouvée</t>
  </si>
  <si>
    <t>REO publie l’aimant vibrant WI421/16, non le suffixe /45.31 ni les valeurs de plaque saisies, et le site REOVARIAC vérifie le fournisseur REOVARIAC SARL sans code article exact; la portée reste donc série.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</si>
  <si>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101500 CONVOYAGE VIBRANT</t>
  </si>
  <si>
    <t>VALIDER - FAMILLE PROPOSEE : Aimant vibrant électromagnétique documenté ; la famille moteur à courant continu ne convient pas.</t>
  </si>
  <si>
    <t>VIBREUR EMBOIT J M</t>
  </si>
  <si>
    <t>VALIDER - ABREVIATION DE LA MACHINE SAISIE ; aucun équipement nouveau proposé.</t>
  </si>
  <si>
    <t>SW 41</t>
  </si>
  <si>
    <t>CAPTEUR DE VIBRATION 600mV/g 10...60 Hz CABLE 10M</t>
  </si>
  <si>
    <t>famille detection vibration ?</t>
  </si>
  <si>
    <t>086885</t>
  </si>
  <si>
    <t>DEJA CREE - article code 086885, ligne non retraitee.</t>
  </si>
  <si>
    <t>411A-DOA-DM-DDAJ-1JB</t>
  </si>
  <si>
    <t>MAC Valves</t>
  </si>
  <si>
    <t>DISTRIBUTEUR PNEUMATIQUE 5/2 24VDC 1,5 A 8,3 BAR</t>
  </si>
  <si>
    <t>140500 PNEUMATIQUE : DISTRIBUTEURS</t>
  </si>
  <si>
    <t>Sertisseuse zacmi</t>
  </si>
  <si>
    <t>NOYER SAFIA DEXIS VENDIN LE VIEIL FR 62</t>
  </si>
  <si>
    <t>086918</t>
  </si>
  <si>
    <t>DEJA CREE - article code 086918, ligne non retraitee.</t>
  </si>
  <si>
    <t>BI50U-Q80-VP4X2-H1141</t>
  </si>
  <si>
    <t>Turck Banner</t>
  </si>
  <si>
    <t>CAPTEUR INDUCTIF RECTANGULAIRE PORTEE 50MM 10...65 VDC PNP CONTACT NO/NC CONNECTEUR M12</t>
  </si>
  <si>
    <t>105935 DETECTION : DETECTEURS INDUCTIFS PARALLELEPIPEDIQUES</t>
  </si>
  <si>
    <t>ELECMATIC S.A.R.L</t>
  </si>
  <si>
    <t>086886</t>
  </si>
  <si>
    <t>DEJA CREE - article code 086886, ligne non retraitee.</t>
  </si>
  <si>
    <t>TT5081</t>
  </si>
  <si>
    <t>IFM</t>
  </si>
  <si>
    <t>CAPTEUR DE TEMPERATURE PT100 INOX SONDE CYLIND Ø10 MM LONGUEUR 560 MM PLAGE -40 À +150°C CONNEC M12</t>
  </si>
  <si>
    <t>106235 MESURE ET REGULATION : MESURE DE LA TEMPERATURE</t>
  </si>
  <si>
    <t>Juteuse zacmi</t>
  </si>
  <si>
    <t>IFM ELECTRONIC LE BOURGET DU LAC FR 73</t>
  </si>
  <si>
    <t>086814</t>
  </si>
  <si>
    <t>DEJA CREE - article code 086814, ligne non retraitee.</t>
  </si>
  <si>
    <t>54630</t>
  </si>
  <si>
    <t>Murrelectronik</t>
  </si>
  <si>
    <t>MODULE E/S DÉPORTÉ IP67 PROFINET, 8 DI/DO DIGITALES, 8 PORTS IO-LINK MASTER, CONNECTIQUE M12, 24 VDC</t>
  </si>
  <si>
    <t>105245 AUTOMATISATION : ENTREES/SORTIES DISTRIBUEES</t>
  </si>
  <si>
    <t>Ligne J</t>
  </si>
  <si>
    <t>086893</t>
  </si>
  <si>
    <t>DEJA CREE - article code 086893, ligne non retraitee.</t>
  </si>
  <si>
    <t>4000-Hydrobar-EXTD(1,05m) 20-G7-G20-G39-G116-G225</t>
  </si>
  <si>
    <t>Klay Instruments</t>
  </si>
  <si>
    <t>TRANSMETTEUR PRESSION HYDROSTATIQUE IMMERGE MESURE NIVEAU LIQUIDE 4-20MA 24VDC INOX LONGUEUR 1,05M</t>
  </si>
  <si>
    <t>106230 MESURE ET REGULATION : MESURE DE LA PRESSION</t>
  </si>
  <si>
    <t>MESA THIAIS</t>
  </si>
  <si>
    <t>086895</t>
  </si>
  <si>
    <t>ne pas mettre en stock supprimer de la ligne par fabricant car mauvais fonctionnement</t>
  </si>
  <si>
    <t>DEJA CREE - article code 086895, ligne non retraitee.</t>
  </si>
  <si>
    <t>RMA310</t>
  </si>
  <si>
    <t>CODEUR ROTATIF ABSOLU MULTITOURS MAGNETIQUE I/O LINK ARBRE CREUX Ø12MM 24VDC IP68/IP69K</t>
  </si>
  <si>
    <t>106201 MESURE ET REGULATION : CODEURS</t>
  </si>
  <si>
    <t>?</t>
  </si>
  <si>
    <t>086887</t>
  </si>
  <si>
    <t>DEJA CREE - article code 086887, ligne non retraitee.</t>
  </si>
  <si>
    <t>MFS368-8A-IP20</t>
  </si>
  <si>
    <t>VARIATEUR POUR VIBRATEUR ELECTROMAGNETIQUE 110...240VAC SORTIE 0...205VAC 8A IP20</t>
  </si>
  <si>
    <t>105830 CONVERTISSEURS : VARIATEURS DE VITESSE ALTERNATIF</t>
  </si>
  <si>
    <t>086919</t>
  </si>
  <si>
    <t>DEJA CREE - article code 086919, ligne non retraitee.</t>
  </si>
  <si>
    <t>3SK1211-1BB40</t>
  </si>
  <si>
    <t>SIEMENS</t>
  </si>
  <si>
    <t>MODULE D'EXTENSION RELAI DE SECURITE 24 VDC SK1 4ES SECURITE</t>
  </si>
  <si>
    <t>105755 CONTACTEURS ET RELAIS : RELAIS DE SECURITE</t>
  </si>
  <si>
    <t>J</t>
  </si>
  <si>
    <t>086894</t>
  </si>
  <si>
    <t>DEJA CREE - article code 086894, ligne non retraitee.</t>
  </si>
  <si>
    <t>36103 000B</t>
  </si>
  <si>
    <t>WOHNER</t>
  </si>
  <si>
    <t>DÉMARREUR MOTEUR HYBRIDE CONTACTEUR INVERSEUR FONCTION DE SÉCURITÉ SIL3 3 PÔLES 0,18-2,4 A RAIL DIN</t>
  </si>
  <si>
    <t>105805 CONVERTISSEURS : DEMARREURS PROGRESSIFS</t>
  </si>
  <si>
    <t>086898</t>
  </si>
  <si>
    <t>DEJA CREE - article code 086898, ligne non retraitee.</t>
  </si>
  <si>
    <t>36106 000B</t>
  </si>
  <si>
    <t>DÉMARREUR MOTEUR HYBRIDE CONTACTEUR INVERSEUR FONCTION DE SÉCURITÉ SIL3 3 PÔLES 1,5–9 A RAIL DIN</t>
  </si>
  <si>
    <t>086900</t>
  </si>
  <si>
    <t>DEJA CREE - article code 086900, ligne non retraitee.</t>
  </si>
  <si>
    <t>PI2799</t>
  </si>
  <si>
    <t>CAPTEUR DE PRESSION AFFLEUR I/O LINK -1..1 BAR 2STOR 1S ANA TEMP -25..125° CONNECTEUR M12 RACCORD G1</t>
  </si>
  <si>
    <t>086888</t>
  </si>
  <si>
    <t>DEJA CREE - article code 086888, ligne non retraitee.</t>
  </si>
  <si>
    <t>PL20S-11311.133013.G07020010000</t>
  </si>
  <si>
    <t>Baumer</t>
  </si>
  <si>
    <t>CAPTEUR DE NIVEAU SEUIL CAPACITIF I/O LINK PNP CONNECTEUR M12 G1/2 10-30VDC IP67/IP69K</t>
  </si>
  <si>
    <t>106240 MESURE ET REGULATION : MESURE DE NIVEAU / DISTANCE</t>
  </si>
  <si>
    <t>086929</t>
  </si>
  <si>
    <t>DEJA CREE - article code 086929, ligne non retraitee.</t>
  </si>
  <si>
    <t>GG711S</t>
  </si>
  <si>
    <t>DETECTEUR DE SECURITE INDUCTIF M18 2OSSD PNP 24VDC SN 1..8MM CONNECTEUR M12</t>
  </si>
  <si>
    <t>pas de famille détecteur de sécurité</t>
  </si>
  <si>
    <t>086889</t>
  </si>
  <si>
    <t>DEJA CREE - article code 086889, ligne non retraitee.</t>
  </si>
  <si>
    <t>VCA 2 U4 F4 R1 SH</t>
  </si>
  <si>
    <t>KRACHT</t>
  </si>
  <si>
    <t>DEBITMETRE VOLUMETRIQUE HYDRAULIQUE A ENGRENAGES AVEC CAPTEUR IMPULSIONNEL</t>
  </si>
  <si>
    <t>106220 MESURE ET REGULATION : MESURE DE DEBIT</t>
  </si>
  <si>
    <t>086928</t>
  </si>
  <si>
    <t>DEJA CREE - article code 086928, ligne non retraitee.</t>
  </si>
  <si>
    <t>MPS-B330P-MJ52DA</t>
  </si>
  <si>
    <t>Allen Bradley</t>
  </si>
  <si>
    <t>MOTEUR BRUSHLESS AC 460V 5000TR/MIN COUPLE 3,6 NM ARBRE CLAVETÉ Ø24MM CODEUR ABSOLU BOÎTIER INOX</t>
  </si>
  <si>
    <t>150520 MOTEURS : MOTEURS BRUSHLESS</t>
  </si>
  <si>
    <t>086953</t>
  </si>
  <si>
    <t>DEJA CREE - article code 086953, ligne non retraitee.</t>
  </si>
  <si>
    <t>SR085IE-TT-02-08-T0302-V107</t>
  </si>
  <si>
    <t>Kübler</t>
  </si>
  <si>
    <t>COLLECTEUR TOURNANT SR085 ETHERNET INDUS 2 VOIES SIGNAUX 8 VOIES PUISSANCE MIXTE 10A/25A</t>
  </si>
  <si>
    <t>105505 COMPOSANTS DE CABLAGE : BORNES DE JONCTION</t>
  </si>
  <si>
    <t>086954</t>
  </si>
  <si>
    <t>DEJA CREE - article code 086954, ligne non retraitee.</t>
  </si>
  <si>
    <t>SR085-30-00-04-30002-V100</t>
  </si>
  <si>
    <t>COLLECTEUR TOURNANT ARBRE CREUX Ø30 MM 4 VOIES PUISSANCE 10A/400VAC IP64 VERSION STANDARD</t>
  </si>
  <si>
    <t>E</t>
  </si>
  <si>
    <t>086955</t>
  </si>
  <si>
    <t>DEJA CREE - article code 086955, ligne non retraitee.</t>
  </si>
  <si>
    <t>LA36 120A0000F32A-611G21250ACS000</t>
  </si>
  <si>
    <t>Linak</t>
  </si>
  <si>
    <t>VÉRIN ÉLECTRIQUE LINÉAIRE LINAK LA36 24/36V DC ~6800N COURSE VARIABLE AVEC RETOUR POSITION</t>
  </si>
  <si>
    <t>141100 PNEUMATIQUE : VERINS</t>
  </si>
  <si>
    <t>Blancheur J</t>
  </si>
  <si>
    <t>EAMS INDUSTRIE QUIMPER FR 29</t>
  </si>
  <si>
    <t>086968</t>
  </si>
  <si>
    <t>DEJA CREE - article code 086968, ligne non retraitee.</t>
  </si>
  <si>
    <t>6AV2128-3QB06-0AX1</t>
  </si>
  <si>
    <t>PUPITRE TACTILE SIMATIC HMI MTP 1500 15,6 POUCES PROFINET</t>
  </si>
  <si>
    <t>105260 AUTOMATISATION : TERMINAUX ET ECRANS</t>
  </si>
  <si>
    <t>Tête de ligne J</t>
  </si>
  <si>
    <t>086896</t>
  </si>
  <si>
    <t>DEJA CREE - article code 086896, ligne non retraitee.</t>
  </si>
  <si>
    <t>OG5129</t>
  </si>
  <si>
    <t>CELLULE BARRAGE PHOTOELECTRIQUE EMETTEUR PORTEE 9M CONNECTEUR M12 24VDC</t>
  </si>
  <si>
    <t>105940 DETECTION : DETECTEURS PHOTOELECTRIQUES BARRAGES</t>
  </si>
  <si>
    <t>Deballeuse de fonds J</t>
  </si>
  <si>
    <t>086890</t>
  </si>
  <si>
    <t>DEJA CREE - article code 086890, ligne non retraitee.</t>
  </si>
  <si>
    <t>OG5128</t>
  </si>
  <si>
    <t>CELLULE BARRAGE PHOTOELECTRIQUE RECEPTEUR CONNECTEUR M12 24VDC</t>
  </si>
  <si>
    <t>086891</t>
  </si>
  <si>
    <t>DEJA CREE - article code 086891, ligne non retraitee.</t>
  </si>
  <si>
    <t>IY5048</t>
  </si>
  <si>
    <t>DETECTEUR INDUCTIF FILETAGE M5 CONNECTEUR M8 NO PORTEE 1,5MM 24VDC PNP</t>
  </si>
  <si>
    <t>105930 DETECTION : DETECTEURS INDUCTIFS FILETES</t>
  </si>
  <si>
    <t>OBSOLETE</t>
  </si>
  <si>
    <t>DEJA CREE - article code OBSOLETE, ligne non retraitee.</t>
  </si>
  <si>
    <t>XPSMCMCP0802</t>
  </si>
  <si>
    <t>SCHNEIDER</t>
  </si>
  <si>
    <t>MODULE DE SECURITE PREVENTA 8 ENTREES 2 SORTIES CONNECTEUR A VIS 24 VDC</t>
  </si>
  <si>
    <t>086902</t>
  </si>
  <si>
    <t>DEJA CREE - article code 086902, ligne non retraitee.</t>
  </si>
  <si>
    <t>TBL 015-124</t>
  </si>
  <si>
    <t>TRACO POWER</t>
  </si>
  <si>
    <t>ALIMENTATION 15W INPUT 0.38- 0.24A 100-240VAC 50/60Hz OUTPOUT 24VDC 0,63A</t>
  </si>
  <si>
    <t>105801 CONVERTISSEURS : ALIMENTATIONS CONTINUES</t>
  </si>
  <si>
    <t>RS COMPONENTS BEAUVAIS FR 60</t>
  </si>
  <si>
    <t>086956</t>
  </si>
  <si>
    <t>DEJA CREE - article code 086956, ligne non retraitee.</t>
  </si>
  <si>
    <t>SR15-KT32X1-S316-LT</t>
  </si>
  <si>
    <t>ELECTRIX</t>
  </si>
  <si>
    <t>INTERRUPTEUR SECTIONNEUR WASHDOWN PRO 32A TRIPHASE TOIT INCLINE INOX IP69K</t>
  </si>
  <si>
    <t>106460 PROTECTION ET COUPURE : INTERRUPTEURS SECTIONNEURS</t>
  </si>
  <si>
    <t>ELECTRIX INTERNATIONAL CO.DURHAM GB 00</t>
  </si>
  <si>
    <t>086957</t>
  </si>
  <si>
    <t>DEJA CREE - article code 086957, ligne non retraitee.</t>
  </si>
  <si>
    <t>KT KU AUX 1NO 1NC</t>
  </si>
  <si>
    <t>CONTACT AUXILIAIRE INTERRUPTEUR SECTIONNEUR 1NO 1NC KU SERIES</t>
  </si>
  <si>
    <t>105715 CONTACTEURS ET RELAIS : CONTACTEURS AUXILIAIRES</t>
  </si>
  <si>
    <t>086958</t>
  </si>
  <si>
    <t>DEJA CREE - article code 086958, ligne non retraitee.</t>
  </si>
  <si>
    <t>KM1-UCRR-D-E</t>
  </si>
  <si>
    <t>ASCON</t>
  </si>
  <si>
    <t>REGULATEUR 48X48 ENTREE UNIV - SORT PRINC RELAIS - 1 SORTIE ALARME 24-240VAC</t>
  </si>
  <si>
    <t>106255 MESURE ET REGULATION : REGULATEURS ET CONVERTISSEURS</t>
  </si>
  <si>
    <t>086193</t>
  </si>
  <si>
    <t>Doublon avec l'article 086193 (REGULATEUR 48X48 ENTREE UNIV - SORT PRINC RELAIS - 1 SORTIE ALARME 24-240VAC). Demande non creee.</t>
  </si>
  <si>
    <t>DEJA CREE - article code 086193, ligne non retraitee.</t>
  </si>
  <si>
    <t>KM3-UCIRRD-E</t>
  </si>
  <si>
    <t>REGULATEUR 48X48 ENTREE UNIV - SORT PRINC 4/20MA - 2 SORTIES ALARMES 24-240 VAC</t>
  </si>
  <si>
    <t>086194</t>
  </si>
  <si>
    <t>Doublon avec l'article 086194 (REGULATEUR 48X48 ENTREE UNIV - SORT PRINC 4/20MA - 2 SORTIES ALARMES 24-240 VAC). Demande non creee.</t>
  </si>
  <si>
    <t>DEJA CREE - article code 086194, ligne non retraitee.</t>
  </si>
  <si>
    <t>9933-05-101</t>
  </si>
  <si>
    <t>PARKER</t>
  </si>
  <si>
    <t>FILTRE ADSORBANT EN LIGNE JETABLE SILICE GEL 1/4"</t>
  </si>
  <si>
    <t>140700 PNEUMATIQUE : FILTRES</t>
  </si>
  <si>
    <t>086925</t>
  </si>
  <si>
    <t>DEJA CREE - article code 086925, ligne non retraitee.</t>
  </si>
  <si>
    <t>9900-05-BK</t>
  </si>
  <si>
    <t>CARTOUCHE FILTRE EN LIGNE ADSORBANT SILICE GEL 1/4</t>
  </si>
  <si>
    <t>086940</t>
  </si>
  <si>
    <t>DEJA CREE - article code 086940, ligne non retraitee.</t>
  </si>
  <si>
    <t>6SL3210-1KE11-8UF2</t>
  </si>
  <si>
    <t>VARIATEUR DE FREQUENCE SINAMICS G120C 0,55KW 1,7A SANS FILTRE PROFINET ETHERNET IP</t>
  </si>
  <si>
    <t>REXEL COMME LE SUIVANT ?</t>
  </si>
  <si>
    <t>086914</t>
  </si>
  <si>
    <t>DEJA CREE - article code 086914, ligne non retraitee.</t>
  </si>
  <si>
    <t>6SL3210-1KE13-2UF2</t>
  </si>
  <si>
    <t>VARIATEUR DE FREQUENCE SINAMICS G120C 1,1KW 3,2A SANS FILTRE PROFINET ETHERNET IP</t>
  </si>
  <si>
    <t>REXEL FRANCE NORD EST WASQUEHAL FR 59</t>
  </si>
  <si>
    <t>086915</t>
  </si>
  <si>
    <t>DEJA CREE - article code 086915, ligne non retraitee.</t>
  </si>
  <si>
    <t>6SL3210-1KE12-3UF2</t>
  </si>
  <si>
    <t>VARIATEUR DE FREQUENCE SINAMICS G120C 0,75KW 2,2A SANS FILTRE PROFINET ETHERNET IP</t>
  </si>
  <si>
    <t>rexel comme le précédent ?</t>
  </si>
  <si>
    <t>086916</t>
  </si>
  <si>
    <t>DEJA CREE - article code 086916, ligne non retraitee.</t>
  </si>
  <si>
    <t>6SL3210-1KE15-8UF2</t>
  </si>
  <si>
    <t>VARIATEUR DE FREQUENCE SINAMICS G120C 2,2KW 5,8A SANS FILTRE PROFINET ETHERNET IP</t>
  </si>
  <si>
    <t>086917</t>
  </si>
  <si>
    <t>DEJA CREE - article code 086917, ligne non retraitee.</t>
  </si>
  <si>
    <t>MN503S</t>
  </si>
  <si>
    <t>INTERRUPTEUR DE SECURITE MAGNETIQUE CODE 24VDC 2 CONTACTS NO M12 IP67/IP69K</t>
  </si>
  <si>
    <t>086901</t>
  </si>
  <si>
    <t>DEJA CREE - article code 086901, ligne non retraitee.</t>
  </si>
  <si>
    <t>E1104S</t>
  </si>
  <si>
    <t>ACTIONNEUR MAGNETIQUE POUR INTERRUPTEUR DE SECURITE CODAGE MAGNETIQUE</t>
  </si>
  <si>
    <t>086904</t>
  </si>
  <si>
    <t>DEJA CREE - article code 086904, ligne non retraitee.</t>
  </si>
  <si>
    <t>36104 000B</t>
  </si>
  <si>
    <t>DÉMARREUR MOTEUR HYBRIDE CONTACT INVERSEUR FONCTION DE SÉCURITÉ SIL3 3 PÔLES 0,18-2,4 A BAR OMNIBUS</t>
  </si>
  <si>
    <t>ELECMATIC S.A.R.L ?</t>
  </si>
  <si>
    <t>086906</t>
  </si>
  <si>
    <t>DEJA CREE - article code 086906, ligne non retraitee.</t>
  </si>
  <si>
    <t>36200 000A</t>
  </si>
  <si>
    <t>ALIMENTATION 400VAC/24VDC 10A BROOME10 CROSSBOARD</t>
  </si>
  <si>
    <t>086913</t>
  </si>
  <si>
    <t>DEJA CREE - article code 086913, ligne non retraitee.</t>
  </si>
  <si>
    <t>DBS36E-S3EK02500</t>
  </si>
  <si>
    <t>SICK</t>
  </si>
  <si>
    <t>CODEUR INCREMENTAL AXE SOLIDE Ø 6MM LONG 12MM PUSH-PULL 2500 PPR 24 VDC</t>
  </si>
  <si>
    <t>086964</t>
  </si>
  <si>
    <t>DEJA CREE - article code 086964, ligne non retraitee.</t>
  </si>
  <si>
    <t>1C486066</t>
  </si>
  <si>
    <t>ELEMENT DE FILTRATION MODELE A0600</t>
  </si>
  <si>
    <t>086944</t>
  </si>
  <si>
    <t>DEJA CREE - article code 086944, ligne non retraitee.</t>
  </si>
  <si>
    <t>541061</t>
  </si>
  <si>
    <t>PILZ</t>
  </si>
  <si>
    <t>CAPTEUR DE SECURITE RFID SANS CONTACT PSEN CS3.1A 24VDC 2 SORTIES OSSD CABLE 5M</t>
  </si>
  <si>
    <t>086892</t>
  </si>
  <si>
    <t>DEJA CREE - article code 086892, ligne non retraitee.</t>
  </si>
  <si>
    <t>6EP4134-0GB00-0AY0</t>
  </si>
  <si>
    <t>MODULE BATTERIE EXTERNE SITOP 24VDC STOCKAGE ÉNERGIE POUR UPS ALIMENTATION SECOURUE UPS1100</t>
  </si>
  <si>
    <t>086905</t>
  </si>
  <si>
    <t>DEJA CREE - article code 086905, ligne non retraitee.</t>
  </si>
  <si>
    <t>6EP4137-3AB00-0AY0</t>
  </si>
  <si>
    <t>MODULE SITOP UPS 24VDC GESTION ET CONTRÔLE DE SECOURS SURVEILLANCE TENSION CHARGE BATTERIE UPS1600</t>
  </si>
  <si>
    <t>086908</t>
  </si>
  <si>
    <t>DEJA CREE - article code 086908, ligne non retraitee.</t>
  </si>
  <si>
    <t>6ES7516-3FP03-0AB0</t>
  </si>
  <si>
    <t>AUTOMATE S7-1500 CPU 1516F-3 PN FAIL SAFE AVEC INTERFACE PROFINET</t>
  </si>
  <si>
    <t>105205 AUTOMATISATION : AUTOMATES PROGRAMMABLES INDUSTRIELS</t>
  </si>
  <si>
    <t>086909</t>
  </si>
  <si>
    <t>DEJA CREE - article code 086909, ligne non retraitee.</t>
  </si>
  <si>
    <t>6ES7131-6BF01-0BA0</t>
  </si>
  <si>
    <t>SIMATIC ET 200SP MODULE ENTREE TOR 8X24VDC STANDARD TYPE 3 POUR BU TYPE A0 COULEUR CC01</t>
  </si>
  <si>
    <t>105215 AUTOMATISATION : CARTES D'ENTREES API</t>
  </si>
  <si>
    <t>086897</t>
  </si>
  <si>
    <t>DEJA CREE - article code 086897, ligne non retraitee.</t>
  </si>
  <si>
    <t>6ES7135-6GB00-0BA1</t>
  </si>
  <si>
    <t>SIMATIC ET 200SP MODULE DE SORTIE ANALOGIQUE 2XU/I STANDARD POUR BU TYPE A0 COULEUR CC02</t>
  </si>
  <si>
    <t>105210 AUTOMATISATION : CARTES DE SORTIES API</t>
  </si>
  <si>
    <t>086899</t>
  </si>
  <si>
    <t>DEJA CREE - article code 086899, ligne non retraitee.</t>
  </si>
  <si>
    <t>6ES7135-6HD00-0BA1</t>
  </si>
  <si>
    <t>SIMATIC ET 200SP MODULE DE SORTIE ANALOGIQUE 4XU/I STANDARD POUR BU TYPE A0 COULEUR CC00</t>
  </si>
  <si>
    <t>074052</t>
  </si>
  <si>
    <t>Doublon avec l'article 074052 (MODULE DE SORTIE ANALOGIQUE 6ES7135-6HD00-0BA1). Demande non creee.</t>
  </si>
  <si>
    <t>DEJA CREE - article code 074052, ligne non retraitee.</t>
  </si>
  <si>
    <t>6ES7136-6BA01-0CA0</t>
  </si>
  <si>
    <t>SIMATIC ET 200SP MODULE ENTREE DE SECURITE F-DI 8X24VDC TOR STANDARD HF POUR BU TYPE A0 COULEUR CC01</t>
  </si>
  <si>
    <t>086862</t>
  </si>
  <si>
    <t>Doublon avec l'article 086862 (SIMATIC DP MODULE ÉLECTRONIQUE POUR ET 200SP F-DI 8X 24 V CC HF LARGEUR 15 MM - SIL3 IEC 61508). Demande non creee.</t>
  </si>
  <si>
    <t>DEJA CREE - article code 086862, ligne non retraitee.</t>
  </si>
  <si>
    <t>F 02CA MK171 V00 F01</t>
  </si>
  <si>
    <t>KOCH</t>
  </si>
  <si>
    <t>UNITE DE GESTION ACTIVE DE L'ENERGIE CONTROLE DISTRIBUTION DES ALIMENTATIONS ELECTRIQUES</t>
  </si>
  <si>
    <t>105201 AUTOMATISATION : ALIMENTATIONS SPECIFIQUES AUTOMATES</t>
  </si>
  <si>
    <t>086910</t>
  </si>
  <si>
    <t>DEJA CREE - article code 086910, ligne non retraitee.</t>
  </si>
  <si>
    <t>X20IF 10E3-1</t>
  </si>
  <si>
    <t>B&amp;R</t>
  </si>
  <si>
    <t>MODULE DE COMMUNICATION X20 PROFINET I/O DEVICES 2XRJ45</t>
  </si>
  <si>
    <t>105200 AUTOMATISATION</t>
  </si>
  <si>
    <t>086911</t>
  </si>
  <si>
    <t>DEJA CREE - article code 086911, ligne non retraitee.</t>
  </si>
  <si>
    <t>X20CP1686X</t>
  </si>
  <si>
    <t>AUTOMATE PROGRAMMABLE X20 24VDC – ETHERNET/POWERLINK – USB</t>
  </si>
  <si>
    <t>087036</t>
  </si>
  <si>
    <t>DEJA CREE - article code 087036, ligne non retraitee.</t>
  </si>
  <si>
    <t>X20DO F322</t>
  </si>
  <si>
    <t>MODULES DE SORTIES DIGITALES X20 16S 24VDC</t>
  </si>
  <si>
    <t>087035</t>
  </si>
  <si>
    <t>DEJA CREE - article code 087035, ligne non retraitee.</t>
  </si>
  <si>
    <t>6ES7136-6RA00-0BF0</t>
  </si>
  <si>
    <t>SIMATIC ET 200SP MODULE DO SECURITE F-RQ 1X24VDC/24..230VAC/5A RELAIS TOR BU TYPE A0 LARG 20MM CC01</t>
  </si>
  <si>
    <t>087037</t>
  </si>
  <si>
    <t>DEJA CREE - article code 087037, ligne non retraitee.</t>
  </si>
  <si>
    <t>6ES7136-6PA00-0BC0</t>
  </si>
  <si>
    <t>SIMATIC ET 200SP MODULE ALIM PROFISAFE 24VDC DQ ET F-DQ PL E/SIL3 2DI 1ES SECURITE BU TYPE C0 CC52</t>
  </si>
  <si>
    <t>087038</t>
  </si>
  <si>
    <t>DEJA CREE - article code 087038, ligne non retraitee.</t>
  </si>
  <si>
    <t>6ES7132-6BH01-0BA0</t>
  </si>
  <si>
    <t>SIMATIC ET 200SP MODULE SORTIE TOR 16X24VDC 0,5A STANDARD SOURCE (PNP) BU TYPE A0 COULEUR CC00</t>
  </si>
  <si>
    <t>086863</t>
  </si>
  <si>
    <t>Doublon avec l'article 086863 (SIMATIC ET 200SP, MODULE DE SORTIE NUMERIQUE DQ 16 X 24 V CC/0,5 A STANDARD SORTIE SOURCE (PNP- COMMUTATION P)). Demande non creee.</t>
  </si>
  <si>
    <t>DEJA CREE - article code 086863, ligne non retraitee.</t>
  </si>
  <si>
    <t>6ES7512-1SM03-0AB0</t>
  </si>
  <si>
    <t>SIMATIC S7-1500 CPU 1512SP-1 PN PROC AUTOM PROG 150KB MEM PROFINET DIAG RAIL DIN ET 200SP 24VDC</t>
  </si>
  <si>
    <t>067481</t>
  </si>
  <si>
    <t>Doublon avec l'article 067481 (SIMATIC DP, CPU 1512SP F-1 PN POUR ET 200SP PROFINET IRT AVEC COMMUT. 3 PORTS 6ES75121SK010AB0). Demande non creee.</t>
  </si>
  <si>
    <t>DEJA CREE - article code 067481, ligne non retraitee.</t>
  </si>
  <si>
    <t>Fabrice BERANGER</t>
  </si>
  <si>
    <t>70059429</t>
  </si>
  <si>
    <t>LANGGUTH</t>
  </si>
  <si>
    <t>STATION DE BROSSE 4/4 - 70059429</t>
  </si>
  <si>
    <t>233800 LANGGUTH</t>
  </si>
  <si>
    <t>HOTLAN 310</t>
  </si>
  <si>
    <t>VAULX VRAUCOURT</t>
  </si>
  <si>
    <t>70128906 - pièces de format.pdf</t>
  </si>
  <si>
    <t>086880</t>
  </si>
  <si>
    <t>DEJA CREE - article code 086880, ligne non retraitee.</t>
  </si>
  <si>
    <t>Nicolas SENS</t>
  </si>
  <si>
    <t>11/9/2026</t>
  </si>
  <si>
    <t>COTCOI10080030</t>
  </si>
  <si>
    <t>PAKER</t>
  </si>
  <si>
    <t>Courroie Néoprène Câble Fibre de Verre HTD 8M30 Lg. 800</t>
  </si>
  <si>
    <t>242800 PAKER</t>
  </si>
  <si>
    <t>ETUYEUSE PAKER</t>
  </si>
  <si>
    <t>PAKER GROUP FONTENAY-SUR-EURE FR 28</t>
  </si>
  <si>
    <t>086987</t>
  </si>
  <si>
    <t>46281</t>
  </si>
  <si>
    <t>DEJA CREE - article code 086987, ligne non retraitee.</t>
  </si>
  <si>
    <t>PPAPRCOI1817</t>
  </si>
  <si>
    <t>Courroie à Taquets Soudés APR COI</t>
  </si>
  <si>
    <t>086990</t>
  </si>
  <si>
    <t>DEJA CREE - article code 086990, ligne non retraitee.</t>
  </si>
  <si>
    <t>PPCOMCOU1104</t>
  </si>
  <si>
    <t>Courroie Polyuréthane BRECObasic AT10 Larg.25 BAS-PAZ REDEX 40 EP.2 Câble Acier Lg.4440 MAG</t>
  </si>
  <si>
    <t>086991</t>
  </si>
  <si>
    <t>46282</t>
  </si>
  <si>
    <t>DEJA CREE - article code 086991, ligne non retraitee.</t>
  </si>
  <si>
    <t>PPFESENS1329</t>
  </si>
  <si>
    <t>Courroie Polyuréthane BRECObasic AT10 Larg.100 BAS/PAZ Supergrip EP.4mm Pas 180mm</t>
  </si>
  <si>
    <t>086992</t>
  </si>
  <si>
    <t>DEJA CREE - article code 086992, ligne non retraitee.</t>
  </si>
  <si>
    <t>PPFESSEP1529</t>
  </si>
  <si>
    <t>Courroie Polyuréthane BRECObasic AT10 Larg.32 BAS/PAZ Supergrip EP.4 Câble Acier SEP</t>
  </si>
  <si>
    <t>086997</t>
  </si>
  <si>
    <t>DEJA CREE - article code 086997, ligne non retraitee.</t>
  </si>
  <si>
    <t>PPCOMCOU1401</t>
  </si>
  <si>
    <t>Courroie Polyuréthane BRECO V AT10 Larg.32 V-PAZ CORREX-6 EP.6 Câble Acier Lg.2520</t>
  </si>
  <si>
    <t>086998</t>
  </si>
  <si>
    <t>DEJA CREE - article code 086998, ligne non retraitee.</t>
  </si>
  <si>
    <t>PPFESENL0891</t>
  </si>
  <si>
    <t>GUIDE COURROIE DIVERGEUR DROIT</t>
  </si>
  <si>
    <t>0870</t>
  </si>
  <si>
    <t>086999</t>
  </si>
  <si>
    <t>DEJA CREE - article code 086999, ligne non retraitee.</t>
  </si>
  <si>
    <t>PPFESENL0853</t>
  </si>
  <si>
    <t>GUIDE COURROIE DIVERGEUR GAUCHE</t>
  </si>
  <si>
    <t>087000</t>
  </si>
  <si>
    <t>DEJA CREE - article code 087000, ligne non retraitee.</t>
  </si>
  <si>
    <t>SEAESTRC0126</t>
  </si>
  <si>
    <t>Courroie Equipée 4 Pas de 180</t>
  </si>
  <si>
    <t>087001</t>
  </si>
  <si>
    <t>DEJA CREE - article code 087001, ligne non retraitee.</t>
  </si>
  <si>
    <t>PPAESTRC1218</t>
  </si>
  <si>
    <t>Courroie Polyuréthane AT10 Largeur 25 Fibres Acier Lg. 720 Soudée Perçée</t>
  </si>
  <si>
    <t>087002</t>
  </si>
  <si>
    <t>DEJA CREE - article code 087002, ligne non retraitee.</t>
  </si>
  <si>
    <t>COTCOI10092020</t>
  </si>
  <si>
    <t>Courroie Néoprène Câble Fibre de Verre HTD 8M20 Lg. 920</t>
  </si>
  <si>
    <t>087004</t>
  </si>
  <si>
    <t>DEJA CREE - article code 087004, ligne non retraitee.</t>
  </si>
  <si>
    <t>SEAESTRC0123</t>
  </si>
  <si>
    <t>Courroie Equipée Droite 16 Pas de 360</t>
  </si>
  <si>
    <t>087005</t>
  </si>
  <si>
    <t>DEJA CREE - article code 087005, ligne non retraitee.</t>
  </si>
  <si>
    <t>SEAESTRC0124</t>
  </si>
  <si>
    <t>Courroie Equipée Gauche 16 Pas de 360</t>
  </si>
  <si>
    <t>087006</t>
  </si>
  <si>
    <t>DEJA CREE - article code 087006, ligne non retraitee.</t>
  </si>
  <si>
    <t>57330027400</t>
  </si>
  <si>
    <t>BECKER</t>
  </si>
  <si>
    <t>Kit d'entretien pour VT/DT4.16 Palette + Filtre + Joints</t>
  </si>
  <si>
    <t>205250 BECKER</t>
  </si>
  <si>
    <t>BECKER FRANCE RAMBOUILLET FR 78</t>
  </si>
  <si>
    <t>087008</t>
  </si>
  <si>
    <t>DEJA CREE - article code 087008, ligne non retraitee.</t>
  </si>
  <si>
    <t>57330027500</t>
  </si>
  <si>
    <t>Kit d'entretien pour VT/DT4.25 Palette + Filtre + Joints</t>
  </si>
  <si>
    <t>087010</t>
  </si>
  <si>
    <t>DEJA CREE - article code 087010, ligne non retraitee.</t>
  </si>
  <si>
    <t>NGE2252FT-PT-K450</t>
  </si>
  <si>
    <t>SYSTEM PLAST</t>
  </si>
  <si>
    <t>TAPIS MODULAIRE DROIT LARGEUR 114,3 PAS 25,4</t>
  </si>
  <si>
    <t>101100 CONVOYAGE A TAPIS A PALETTES</t>
  </si>
  <si>
    <t>M</t>
  </si>
  <si>
    <t>REXNORD FLATTOP CORREGIO IT 42</t>
  </si>
  <si>
    <t>26343</t>
  </si>
  <si>
    <t>086980</t>
  </si>
  <si>
    <t>DEJA CREE - article code 086980, ligne non retraitee.</t>
  </si>
  <si>
    <t>NGE2251FT-TAB-K450</t>
  </si>
  <si>
    <t>TAPIS MODULAIRE COURBE LARGEUR 114,3 PAS 25,5</t>
  </si>
  <si>
    <t>086981</t>
  </si>
  <si>
    <t>DEJA CREE - article code 086981, ligne non retraitee.</t>
  </si>
  <si>
    <t>E21267</t>
  </si>
  <si>
    <t>Réflecteur Rectangulaire Nid d'Abeille</t>
  </si>
  <si>
    <t>105955 DETECTION : DETECTEURS PHOTOELECTRIQUES REFLEX</t>
  </si>
  <si>
    <t>IFM ELECTRONIC LE-BOURGET-DU-LAC FR 73</t>
  </si>
  <si>
    <t>087003</t>
  </si>
  <si>
    <t>DEJA CREE - article code 087003, ligne non retraitee.</t>
  </si>
  <si>
    <t>ILM1001P02F0000</t>
  </si>
  <si>
    <t>ServoMoteur Frein ILM 1001 1.9Nm 3KRpm Multi Réf: ILM1001P02F0000</t>
  </si>
  <si>
    <t>SAFIM DEXIS MONT DE MARSAN FR 40</t>
  </si>
  <si>
    <t>087011</t>
  </si>
  <si>
    <t>DEJA CREE - article code 087011, ligne non retraitee.</t>
  </si>
  <si>
    <t>722811</t>
  </si>
  <si>
    <t>LUTZE</t>
  </si>
  <si>
    <t>Alimentation Tri400v/24Vcc/40A</t>
  </si>
  <si>
    <t>LUT.722811</t>
  </si>
  <si>
    <t>086985</t>
  </si>
  <si>
    <t>DEJA CREE - article code 086985, ligne non retraitee.</t>
  </si>
  <si>
    <t>VW3E1142R100</t>
  </si>
  <si>
    <t>Câble Hybride LEXIUM62 D1/D1 Lg. 10m Réf: VW3E1142R100</t>
  </si>
  <si>
    <t>105510 COMPOSANTS DE CABLAGE : CABLES</t>
  </si>
  <si>
    <t>REXEL SAUMUR FR 49</t>
  </si>
  <si>
    <t>087013</t>
  </si>
  <si>
    <t>DEJA CREE - article code 087013, ligne non retraitee.</t>
  </si>
  <si>
    <t>101204290</t>
  </si>
  <si>
    <t>SCHMERSAL</t>
  </si>
  <si>
    <t>Contre plaque MZM100-B1.1 Réf: 101204290</t>
  </si>
  <si>
    <t>ELEC SYSTEM SAINT BARTHELEMY FR 49</t>
  </si>
  <si>
    <t>086965</t>
  </si>
  <si>
    <t>16/09/2026</t>
  </si>
  <si>
    <t>CODE ARTICLE IDENTIQUE LIGNE 266</t>
  </si>
  <si>
    <t>DEJA CREE - article code 086965, ligne non retraitee.</t>
  </si>
  <si>
    <t>B</t>
  </si>
  <si>
    <t>Mohamed EL MOUDDEN</t>
  </si>
  <si>
    <t>14/09/2026</t>
  </si>
  <si>
    <t>7883 08 13</t>
  </si>
  <si>
    <t xml:space="preserve">RACCORD STOP VÉRIN RÉGLEUR DE DÉBIT PIQUAGE MÂLE CYLINDRIQUE </t>
  </si>
  <si>
    <t>140100 PNEUMATIQUE : ACCESSOIRES</t>
  </si>
  <si>
    <t>Non</t>
  </si>
  <si>
    <t>MICHAUD CHALLY</t>
  </si>
  <si>
    <t>LABENNE</t>
  </si>
  <si>
    <t>087260</t>
  </si>
  <si>
    <t>DEJA CREE - article code 087260, ligne non retraitee.</t>
  </si>
  <si>
    <t>Ludovic DANIEL</t>
  </si>
  <si>
    <t>17/09/26</t>
  </si>
  <si>
    <t>195750</t>
  </si>
  <si>
    <t>FESTO</t>
  </si>
  <si>
    <t>MODULE ENTREE FESTO CPX-8DE</t>
  </si>
  <si>
    <t>CPX-8DE</t>
  </si>
  <si>
    <t>ROSPORDEN</t>
  </si>
  <si>
    <t>087244</t>
  </si>
  <si>
    <t>DEJA CREE - article code 087244, ligne non retraitee.</t>
  </si>
  <si>
    <t>QSML-M5-4 153333</t>
  </si>
  <si>
    <t>RACCORD COUDE FESTO QSML-M5-4 153333</t>
  </si>
  <si>
    <t>140000 PNEUMATIQUE</t>
  </si>
  <si>
    <t>SCHUBERT</t>
  </si>
  <si>
    <t>087275</t>
  </si>
  <si>
    <t>DEJA CREE - article code 087275, ligne non retraitee.</t>
  </si>
  <si>
    <t>LIAISON 7580</t>
  </si>
  <si>
    <t>FMI</t>
  </si>
  <si>
    <t>ENTRAINEMENT COURROIE 7580</t>
  </si>
  <si>
    <t>220250 FMI</t>
  </si>
  <si>
    <t>87316</t>
  </si>
  <si>
    <t>Nous n'avons pas accès aux PJ</t>
  </si>
  <si>
    <t>DEJA CREE - article code 87316, ligne non retraitee.</t>
  </si>
  <si>
    <t>GALET 6438255SAV</t>
  </si>
  <si>
    <t>GALET MOBILE 3530 REF 6438255SAV</t>
  </si>
  <si>
    <t>087308</t>
  </si>
  <si>
    <t>DEJA CREE - article code 087308, ligne non retraitee.</t>
  </si>
  <si>
    <t>GALET 6199855</t>
  </si>
  <si>
    <t>GALET FIXE 3530 REF 6199855</t>
  </si>
  <si>
    <t>087311</t>
  </si>
  <si>
    <t>DEJA CREE - article code 087311, ligne non retraitee.</t>
  </si>
  <si>
    <t>DRN80MK4/BE1/MM07</t>
  </si>
  <si>
    <t>SEW USOCOME</t>
  </si>
  <si>
    <t>MOTOREDUCTEUR A ENGRENAGE CYLINDRIQUE R37 DR80MK4/BE1/MM07</t>
  </si>
  <si>
    <t>250700 SEW</t>
  </si>
  <si>
    <t>Motoréducteur pour pal 3 rouleau fil</t>
  </si>
  <si>
    <t>087246</t>
  </si>
  <si>
    <t>DEJA CREE - article code 087246, ligne non retraitee.</t>
  </si>
  <si>
    <t>Micael CORADAS</t>
  </si>
  <si>
    <t>22/09/2026</t>
  </si>
  <si>
    <t>MC07B0110-5A3-A-00</t>
  </si>
  <si>
    <t>SEW</t>
  </si>
  <si>
    <t>VARIATEUR DE VITESSE 11KW 400V TRI MOVITRAC B - REVISER/REPARER</t>
  </si>
  <si>
    <t>SANTARÉM</t>
  </si>
  <si>
    <t>087274</t>
  </si>
  <si>
    <t>DEJA CREE - article code 087274, ligne non retraitee.</t>
  </si>
  <si>
    <t>TP 40-60/2 B-F-A-BQQE-DW1</t>
  </si>
  <si>
    <t>GRUNDFOS</t>
  </si>
  <si>
    <t>POMPE CENTRIFUGE IN-LINE 0.37KW 10.40M3 2854TR/MN</t>
  </si>
  <si>
    <t>110230 EAU : POMPES</t>
  </si>
  <si>
    <t>FRINCOR FRIO INDUSTRIAL E COMERCIAL LDA</t>
  </si>
  <si>
    <t>087280</t>
  </si>
  <si>
    <t>DEJA CREE - article code 087280, ligne non retraitee.</t>
  </si>
  <si>
    <t>303846</t>
  </si>
  <si>
    <t>CABINPLANT</t>
  </si>
  <si>
    <t>JOINT A DIAPHRAGME POUR MODULE DE PESEE</t>
  </si>
  <si>
    <t>208500 CABINPLANT :</t>
  </si>
  <si>
    <t>EMBOITEUSE CABINPLANT</t>
  </si>
  <si>
    <t>087154</t>
  </si>
  <si>
    <t>DEJA CREE - article code 087154, ligne non retraitee.</t>
  </si>
  <si>
    <t>OID250</t>
  </si>
  <si>
    <t>CAPTEUR DE DISTANCE OPTIQUE LUMIERE ROUGE 0.03 A 2M PnP IP67</t>
  </si>
  <si>
    <t>105960 DETECTION : DETECTEURS PHOTOELECTRIQUES REFLEXION DIRECTE</t>
  </si>
  <si>
    <t>087258</t>
  </si>
  <si>
    <t>DEJA CREE - article code 087258, ligne non retraitee.</t>
  </si>
  <si>
    <t>ABL8PRP24100</t>
  </si>
  <si>
    <t>MODULE DE PROTECTION ELECTRONIQUE</t>
  </si>
  <si>
    <t>106445 PROTECTION ET COUPURE : DISJONCTEURS MOTEUR</t>
  </si>
  <si>
    <t>087265</t>
  </si>
  <si>
    <t>DEJA CREE - article code 087265, ligne non retraitee.</t>
  </si>
  <si>
    <t>R97DRN132S4/BE11/V</t>
  </si>
  <si>
    <t>SEW USOCOM</t>
  </si>
  <si>
    <t xml:space="preserve">MOTOREDUCTEUR BUNKER HV - 1461/18 M3 5,5KW DIAM 60 </t>
  </si>
  <si>
    <t>150701 REDUCTEURS / MOTOREDUCTEURS : A VITESSE FIXE</t>
  </si>
  <si>
    <t>30/09 : Pouvez vous nous transmettre un devis du fournisseur SEW USOCOME récent</t>
  </si>
  <si>
    <t>SEW USOCOME SAS</t>
  </si>
  <si>
    <t>MOTOREDUCTEUR COAXIAL DRN IE3 AVEC FREIN ET VENTILATION - CONFIGURATION A VALIDER</t>
  </si>
  <si>
    <t>Termes techniques issus exclusivement des sources vérifiées du 07/10/2026, reformulés selon l usage de la famille. Portée limitée à la série : cette proposition ne valide pas la variante ni les détails de saisie exclus des sources. Sources : SEW-EURODRIVE — Type Codes, Volume 1 Drive Technology, 31976336/EN; SEW-EURODRIVE — Gearmotor Nomenclature, 2024; SEW USOCOME — Mentions légales; SEW-EURODRIVE — Helical gearmotors R..DR.. — famille</t>
  </si>
  <si>
    <t>MOTOREDUCTEUR BUNKER HV - 1461/18 M3 5,5 KW DIAM 60</t>
  </si>
  <si>
    <t>Saisie d origine uniquement, majuscules/espacement d unités et traduction usuelle sans ajout de caractéristiques. Nature source MOTOREDUCTEUR déjà présente : 494/852 codes distincts, soit 58.0%. Conservée même minoritaire. Dominante MOTOREDUCTEUR : 494/852, soit 58.0% ; seuil d éligibilité 30 %, jamais une validation technique.</t>
  </si>
  <si>
    <t>Les clés officielles SEW 31976336/EN et Gearmotor Nomenclature expliquent R97, DRN132S4, BE11 et /V, mais la page R..DR.. ne prouve ni la combinaison exacte ni 18 tr/min, M3 et Ø60 mm, tandis que les mentions légales vérifient SEW USOCOME SAS.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</si>
  <si>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Code et libellé présents au référentiel source ; nature documentée, configuration exacte restant à contrôler si la preuve est de série.</t>
  </si>
  <si>
    <t>Champ vide conservé ; aucune machine inventée pour ce composant de commerce.</t>
  </si>
  <si>
    <t>SA77/TDRN90L4</t>
  </si>
  <si>
    <t xml:space="preserve">MOTOREDUCTEUR - 1461/20 M1B 1,5KW ARBRE CREUX DIAM 50 </t>
  </si>
  <si>
    <t>MOTOREDUCTEUR A VIS SANS FIN ARBRE CREUX DRN IE3 - CONFIGURATION A VALIDER</t>
  </si>
  <si>
    <t>Termes techniques issus exclusivement des sources vérifiées du 07/10/2026, reformulés selon l usage de la famille. Portée limitée à la série : cette proposition ne valide pas la variante ni les détails de saisie exclus des sources. Sources : SEW-EURODRIVE — Type Codes, Volume 1 Drive Technology, 31976336/EN; SEW-EURODRIVE — Gearmotor Nomenclature, 2024; SEW USOCOME — Mentions légales; Industrietec Automation — SEW 1,5 KW 23 min SA77/TDRN90L4 Getriebemotor</t>
  </si>
  <si>
    <t>MOTOREDUCTEUR - 1461/20 M1B 1,5 KW ARBRE CREUX DIAM 50</t>
  </si>
  <si>
    <t>Industrietec publie SA77/TDRN90L4 en 1,5 kW et 50 Hz, corroboré par les clés de désignation officielles SEW, mais son exemplaire à 23 tr/min ne confirme pas la configuration saisie à 20 tr/min, M1B et Ø50 mm; SEW USOCOME SAS est vérifiée par ses mentions légales.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</si>
  <si>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K37DRN90L4</t>
  </si>
  <si>
    <t>MOTOREDUCTEUR - 1461/112 M1B 1,5KW ARBRE 25x50MM</t>
  </si>
  <si>
    <t>K37 DRN90L4</t>
  </si>
  <si>
    <t>MOTOREDUCTEUR A COUPLE CONIQUE DRN IE3 - CONFIGURATION A VALIDER</t>
  </si>
  <si>
    <t>Termes techniques issus exclusivement des sources vérifiées du 07/10/2026, reformulés selon l usage de la famille. Portée limitée à la série : cette proposition ne valide pas la variante ni les détails de saisie exclus des sources. Sources : SEW-EURODRIVE — Type Codes, Volume 1 Drive Technology, 31976336/EN; SEW-EURODRIVE — Gearmotor Nomenclature, 2024; SEW USOCOME — Mentions légales; SEW-EURODRIVE, hébergement MRO Supply — Product information K37 DRN90L4, 424508235/100; SEW-EURODRIVE — K series helical-bevel gear units — famille</t>
  </si>
  <si>
    <t>MOTOREDUCTEUR - 1461/112 M1B 1,5 KW ARBRE 25X50 MM</t>
  </si>
  <si>
    <t>La fiche SEW K37 DRN90L4 hébergée chez MRO Supply et la clé officielle valident le type et 1,5 kW, mais l’exemplaire documenté à 60 Hz et 277 tr/min ne valide pas la configuration 1461/112 tr/min de la saisie; SEW USOCOME SAS est vérifiée séparément.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</si>
  <si>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22/09/26</t>
  </si>
  <si>
    <t>71HB00302100</t>
  </si>
  <si>
    <t>MONDINI</t>
  </si>
  <si>
    <t>VIS HB-3-21 MONDINI</t>
  </si>
  <si>
    <t>087271</t>
  </si>
  <si>
    <t>DEJA CREE - article code 087271, ligne non retraitee.</t>
  </si>
  <si>
    <t>28/09/2026</t>
  </si>
  <si>
    <t>ETN 100-080-160</t>
  </si>
  <si>
    <t>KSB</t>
  </si>
  <si>
    <t>POMPE CENTRIFUGE BASSE PRESSION ETANORM ETB 100-080-160 GCSBV11WSECD4HHB</t>
  </si>
  <si>
    <t>SYDEX FLOW-EQUIP.ELECTROMECANICOS, LDA</t>
  </si>
  <si>
    <t>SANTAREM</t>
  </si>
  <si>
    <t>SYDEX FLOW - EQUIPAMENTOS ELECTROMECÂNICOS, LDA</t>
  </si>
  <si>
    <t>Référence confirmée par distributeur ; Série/gamme confirmée - configuration exacte non confirmée ; VALIDER - CHAMPS NON CONFIRMES</t>
  </si>
  <si>
    <t>POMPE CENTRIFUGE ETANORM ASPIRATION DN100 REFOULEMENT DN80 - CONFIGURATION A VALIDER</t>
  </si>
  <si>
    <t>Termes techniques issus exclusivement des sources vérifiées du 07/10/2026, reformulés selon l usage de la famille. Portée limitée à la série : cette proposition ne valide pas la variante ni les détails de saisie exclus des sources. Sources : Lenntech — KSB Etanorm 100-080-160 Centrifugal Pump; KSB — Etanorm — famille; Kompass — Sydex Flow - Equipamentos Electromecânicos, Lda</t>
  </si>
  <si>
    <t>Saisie d origine uniquement, majuscules/espacement d unités et traduction usuelle sans ajout de caractéristiques. Nature source POMPE déjà présente : 187/635 codes distincts, soit 29.4%. Conservée même minoritaire. Dominante POMPE : 187/635, soit 29.4% ; seuil d éligibilité 30 %, jamais une validation technique.</t>
  </si>
  <si>
    <t>Lenntech confirme la référence de base ETN 100-080-160 et les DN100/DN80, KSB confirme uniquement la famille Etanorm, et Kompass vérifie SYDEX FLOW au Portugal, sans preuve du suffixe configuré ni d’une référence chez ce fournisseur.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</si>
  <si>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CPD25-60-130B</t>
  </si>
  <si>
    <t>INDIFLOW</t>
  </si>
  <si>
    <t>POMPE DE CIRCULATION ELECTRONIQUE</t>
  </si>
  <si>
    <t>LENHASOL AQUECIMENTO CENTRAL, LDA</t>
  </si>
  <si>
    <t>Lenhasol Aquecimento Central, Lda</t>
  </si>
  <si>
    <t>Non confirmé - aucune source publique trouvée ; VALIDER - CHAMPS NON CONFIRMES</t>
  </si>
  <si>
    <t>ARTICLE A IDENTIFIER - REFERENCE CPD25-60-130B</t>
  </si>
  <si>
    <t>Proposition transparente, non validée : aucune nature produit de cette référence n est suffisamment prouvée par une source officielle/distributeur fiable ou une correspondance de base contextualisée. La saisie brute n est pas présentée comme vérifiée.</t>
  </si>
  <si>
    <t>Les recherches exactes et variantes CPD25-60-130B/CPD2560130B n’ont pas identifié de fiche ni le véritable fabricant INDIFLOW, tandis que Racius vérifie uniquement le fournisseur Lenhasol Aquecimento Central, Lda. Photo : Les sorties web consultées ne fournissent aucune URL complète d'image éditeur admissible rattachée à cette référence; aucune recherche d'images dédiée effectuée.</t>
  </si>
  <si>
    <t>VALIDER - CODE FAMILLE VALIDE DANS LE REFERENTIEL ; adéquation technique non confirmée faute de nature sourcée.</t>
  </si>
  <si>
    <t>MOHAMED EL MOUDDEN</t>
  </si>
  <si>
    <t>AG4.15.019-1 08.5-2.8-4</t>
  </si>
  <si>
    <t>ZILLI BELLINI</t>
  </si>
  <si>
    <t>PLAQUETTE D'USURE DISTRIBUTION SERTISSEUSE ZILLI BELLINI</t>
  </si>
  <si>
    <t>260510 ZILLI BELLINI : SERTISSEUSES</t>
  </si>
  <si>
    <t>087251</t>
  </si>
  <si>
    <t>DEJA CREE - article code 087251, ligne non retraitee.</t>
  </si>
  <si>
    <t>20504004</t>
  </si>
  <si>
    <t>RESERVOIR D'AIR POUR SERTISSEUSE ZILLI BELLINI</t>
  </si>
  <si>
    <t>087252</t>
  </si>
  <si>
    <t>DEJA CREE - article code 087252, ligne non retraitee.</t>
  </si>
  <si>
    <t>20410100</t>
  </si>
  <si>
    <t>AIMANT POUR SERTISSEUSE ZILLI BELLINI</t>
  </si>
  <si>
    <t>087253</t>
  </si>
  <si>
    <t>DEJA CREE - article code 087253, ligne non retraitee.</t>
  </si>
  <si>
    <t>20285480</t>
  </si>
  <si>
    <t>RACCORD RAPIDE DROIT GRAISSAGE SERTISSEUSE ZILLI BELLINI</t>
  </si>
  <si>
    <t>087254</t>
  </si>
  <si>
    <t>DEJA CREE - article code 087254, ligne non retraitee.</t>
  </si>
  <si>
    <t>20285483</t>
  </si>
  <si>
    <t>RACCORD RAPIDE COUDE GRAISSAGE SERTISSEUSE ZILLI BELLINI</t>
  </si>
  <si>
    <t>087255</t>
  </si>
  <si>
    <t>DEJA CREE - article code 087255, ligne non retraitee.</t>
  </si>
  <si>
    <t>AG4.04.033</t>
  </si>
  <si>
    <t>VIS REGLAGE COMPRESSION SERTISSEUSE ZILLI BELLINI</t>
  </si>
  <si>
    <t>087256</t>
  </si>
  <si>
    <t>DEJA CREE - article code 087256, ligne non retraitee.</t>
  </si>
  <si>
    <t>Nicolas CAPLIER</t>
  </si>
  <si>
    <t>6E 22</t>
  </si>
  <si>
    <t>PMS</t>
  </si>
  <si>
    <t>SANGLE D'ARRIMAGE A CROCHETS ET TENDEUR A CLIQUET TMU 2500KG LONGUEUR 9M LARGEUR 50MM</t>
  </si>
  <si>
    <t>120200 LEVAGE MANUTENTION VEHICULES : PALANS ET ACCESSOIRES DE LEVAGE</t>
  </si>
  <si>
    <t>MANUTAN</t>
  </si>
  <si>
    <t>A732566</t>
  </si>
  <si>
    <t>DOCUMENT TECHNIQUE</t>
  </si>
  <si>
    <t>A METTRE EN ARTICLE GENERIQUE MERCI</t>
  </si>
  <si>
    <t>PMS Industrie</t>
  </si>
  <si>
    <t>Manutan</t>
  </si>
  <si>
    <t>Référence confirmée par distributeur ; VALIDER - DOUBLON INTERNE POTENTIEL ; VALIDER - CHAMPS NON CONFIRMES</t>
  </si>
  <si>
    <t>SANGLE D'ARRIMAGE A CLIQUET ET CROCHETS 9 M X 50 MM TMU 2500 KG</t>
  </si>
  <si>
    <t>Termes techniques issus exclusivement des sources vérifiées du 07/10/2026, reformulés selon l usage de la famille. Sources : Manutan — Mentions légales Manutan; Manutan — Sangle d’arrimage à crochets et tendeur à cliquet - TMU 2500 kg</t>
  </si>
  <si>
    <t>SANGLE D'ARRIMAGE A CROCHETS ET TENDEUR A CLIQUET TMU 2500 KG LONGUEUR 9 M LARGEUR 50 MM</t>
  </si>
  <si>
    <t>Saisie d origine uniquement, majuscules/espacement d unités et traduction usuelle sans ajout de caractéristiques. Nature source SANGLE déjà présente : 3/46 codes distincts, soit 6.5%. Conservée même minoritaire. Dominante ELINGUE : 14/46, soit 30.4% ; seuil d éligibilité 30 %, jamais une validation technique.</t>
  </si>
  <si>
    <t>La page Manutan A732566 confirme PMS Industrie, 9 m, 50 mm et TMU 2500 kg déjà saisis, mais n’affiche pas la référence fabricant 6E 22 ; les deux lignes Classe A/PMS et Classe B/Générique constituent un doublon interne potentiel à examiner. Contextes internes conservés séparément : Classe A - Article spécifique 114 ; Classe B - Article générique 39. Même référence fournisseur A732566, même désignation et mêmes cotes 9 m / 50 mm / 2500 kg : doublon interne potentiel ; la page fournisseur nomme PMS Industrie, sans effacer le contexte propre à cette ligne. Photo : La page produit ouverte ne renvoie aucune URL de photo admissible dans le contenu consulté.</t>
  </si>
  <si>
    <t>30/09/2026</t>
  </si>
  <si>
    <t>DOP-40x45_3,0_DB_D</t>
  </si>
  <si>
    <t>BRUYNOOGHE</t>
  </si>
  <si>
    <t>COUPELLE DIAMETTRE 40x45 FENTE 3,0MM BLEUE SURGELEE</t>
  </si>
  <si>
    <t>208000 BRUYNOOGHE</t>
  </si>
  <si>
    <t>087262</t>
  </si>
  <si>
    <t>DEJA CREE - article code 087262, ligne non retraitee.</t>
  </si>
  <si>
    <t>GS 65 98SH ROUGE</t>
  </si>
  <si>
    <t>KTR ROTEX</t>
  </si>
  <si>
    <t>FLECTOR 65 98SH ROUGE</t>
  </si>
  <si>
    <t>150101 ACCOUPLEMENTS / TRANSMISSION : ACCOUPLEMENTS</t>
  </si>
  <si>
    <t>087268</t>
  </si>
  <si>
    <t>DEJA CREE - article code 087268, ligne non retraitee.</t>
  </si>
  <si>
    <t>MI-IM0138 IM0138-A++1V-307MM</t>
  </si>
  <si>
    <t>INTERROLL</t>
  </si>
  <si>
    <t>TAMBOUR Ø158MM LONGUEUR 300MM AXE 30MM M8 MEPLAT 20X25MM NBR BLANC 70SH RAINURE K13 17X11X9MM</t>
  </si>
  <si>
    <t>150530 MOTEURS : MOTOTAMBOURS</t>
  </si>
  <si>
    <t>INTERROLL SAINT-POL-DE-LEON FR 29</t>
  </si>
  <si>
    <t>devis interroll tambour sep non eboutés long hv.pdf</t>
  </si>
  <si>
    <t>086939</t>
  </si>
  <si>
    <t>DEJA CREE - article code 086939, ligne non retraitee.</t>
  </si>
  <si>
    <t>EH.FTL51-4QNE6/0</t>
  </si>
  <si>
    <t>ENDRESS HAUSER</t>
  </si>
  <si>
    <t>DETECTEUR DE NIVEAU A LAMES VIBRANTES LIQUIPHANT FTL51 AVEC TUBE PROLONGATEUR</t>
  </si>
  <si>
    <t>SPI6</t>
  </si>
  <si>
    <t>ENDRESS+HAUSER CERNAY FR 68</t>
  </si>
  <si>
    <t>086941</t>
  </si>
  <si>
    <t>DEJA CREE - article code 086941, ligne non retraitee.</t>
  </si>
  <si>
    <t>084Z8215</t>
  </si>
  <si>
    <t>DANFOSS</t>
  </si>
  <si>
    <t>TRANSMETTEUR DE TEMPERATURE MBT5252 100MM G1/2"</t>
  </si>
  <si>
    <t>106235 MESURE ET REGULATION : MESURE DE TEMPERATURE</t>
  </si>
  <si>
    <t>MABEO INDUSTRIES MONTBELIARD FR 25</t>
  </si>
  <si>
    <t>086912</t>
  </si>
  <si>
    <t>DEJA CREE - article code 086912, ligne non retraitee.</t>
  </si>
  <si>
    <t>FCS-G1/2A4P-AP8X-H1141</t>
  </si>
  <si>
    <t>TURCK</t>
  </si>
  <si>
    <t>CAPTEUR DE DEBIT RACCORD G1/2" 19,2/28,8VDC 3 FILS NO SORTIE PNP CONNECTEUR M12X1</t>
  </si>
  <si>
    <t>TURCK BANNER MARNE LA VALLEE FR 77</t>
  </si>
  <si>
    <t>086942</t>
  </si>
  <si>
    <t>DEJA CREE - article code 086942, ligne non retraitee.</t>
  </si>
  <si>
    <t>2VIMC0180345</t>
  </si>
  <si>
    <t>ZACMI</t>
  </si>
  <si>
    <t>CABLE SPIRALE 18X0,34 MM2 BLINDE L=4500MM</t>
  </si>
  <si>
    <t>260010 ZACMI : EMBOITEUSES</t>
  </si>
  <si>
    <t>087007</t>
  </si>
  <si>
    <t>DEJA CREE - article code 087007, ligne non retraitee.</t>
  </si>
  <si>
    <t>LPB 070S MF2-50-OD1-3S</t>
  </si>
  <si>
    <t>WITTENSTEIN</t>
  </si>
  <si>
    <t>REDUCTEUR PLANETAIRE LPB 070S MF2-50-OD1-3S I=50 000968</t>
  </si>
  <si>
    <t>150700 REDUCTEURS / MOTOREDUCTEURS</t>
  </si>
  <si>
    <t>JYGA</t>
  </si>
  <si>
    <t>SEFI</t>
  </si>
  <si>
    <t>086979</t>
  </si>
  <si>
    <t>DEJA CREE - article code 086979, ligne non retraitee.</t>
  </si>
  <si>
    <t>735682</t>
  </si>
  <si>
    <t>NORDSON</t>
  </si>
  <si>
    <t>ENSEMBLE ELECTROVANNE POUR LEP34S</t>
  </si>
  <si>
    <t>241000 NORDSON</t>
  </si>
  <si>
    <t>LEP34S</t>
  </si>
  <si>
    <t>image002.png</t>
  </si>
  <si>
    <t>086930</t>
  </si>
  <si>
    <t>DEJA CREE - article code 086930, ligne non retraitee.</t>
  </si>
  <si>
    <t>326513</t>
  </si>
  <si>
    <t>RACCORD 1/4 NPTX5/16 TUBE SERTI</t>
  </si>
  <si>
    <t>image001.png</t>
  </si>
  <si>
    <t>086932</t>
  </si>
  <si>
    <t>DEJA CREE - article code 086932, ligne non retraitee.</t>
  </si>
  <si>
    <t>1034291</t>
  </si>
  <si>
    <t>TUBE H200 WGS</t>
  </si>
  <si>
    <t>086934</t>
  </si>
  <si>
    <t>DEJA CREE - article code 086934, ligne non retraitee.</t>
  </si>
  <si>
    <t>Jérôme RIMBAULT</t>
  </si>
  <si>
    <t>R V 100 UO2A / 10 V5</t>
  </si>
  <si>
    <t>ROSSI</t>
  </si>
  <si>
    <t>REDUCTEUR A VIS SANS FIN</t>
  </si>
  <si>
    <t>LECHEVALIER</t>
  </si>
  <si>
    <t>DOUE LA FONTAINE</t>
  </si>
  <si>
    <t>086984</t>
  </si>
  <si>
    <t>DEJA CREE - article code 086984, ligne non retraitee.</t>
  </si>
  <si>
    <t>689.003.16.90.00.3</t>
  </si>
  <si>
    <t>LECHLER</t>
  </si>
  <si>
    <t>BUSE A JET MIROIR 35° LONGUEUR 80MM FILETAGE 3/4 BSPP 20X27MM INOX</t>
  </si>
  <si>
    <t>257000 URTASUN</t>
  </si>
  <si>
    <t>LAVEUR POTIMARRON</t>
  </si>
  <si>
    <t>LECHLER FRANCE CHAMPS-SUR-MARNE FR 77</t>
  </si>
  <si>
    <t>Devis buse lechler laveur potimarron urtasun.pdf</t>
  </si>
  <si>
    <t>086935</t>
  </si>
  <si>
    <t>DEJA CREE - article code 086935, ligne non retraitee.</t>
  </si>
  <si>
    <t>63ZZZT07378001</t>
  </si>
  <si>
    <t>ROULEAU PACK</t>
  </si>
  <si>
    <t>ROULEAU LMC 6204-2RS INOX TUBE Ø89X3,2 AXE Ø20 L=1058/1120/1120 BOUT M10X15 PIGNON INOX 10B2</t>
  </si>
  <si>
    <t>101000 CONVOYAGE A ROULEAUX</t>
  </si>
  <si>
    <t>ROULEAUX PACK BOEN FR 42</t>
  </si>
  <si>
    <t>devis rouleau convoyeur a rouleaux lavage caisse.pdf</t>
  </si>
  <si>
    <t>086936</t>
  </si>
  <si>
    <t>DEJA CREE - article code 086936, ligne non retraitee.</t>
  </si>
  <si>
    <t>CP96SDB80-400C</t>
  </si>
  <si>
    <t>SMC</t>
  </si>
  <si>
    <t>VERIN DOUBLE EFFET SERIE CP96 ISO15552 DIAMETRE 80MM COURSE 400MM ORIFICES 3/8'' GAZ</t>
  </si>
  <si>
    <t>SAFIM</t>
  </si>
  <si>
    <t>086948</t>
  </si>
  <si>
    <t>DEJA CREE - article code 086948, ligne non retraitee.</t>
  </si>
  <si>
    <t>Dimitri SOODTS</t>
  </si>
  <si>
    <t>ROULEAU-ENVELOPPEUR-928</t>
  </si>
  <si>
    <t>BONDUELLE</t>
  </si>
  <si>
    <t>ROULEAU ENVELOPPEUR POUR FARDELEUSE PM 40 PLAN 928</t>
  </si>
  <si>
    <t>244501 PRASMATIC : FARDELEUSES</t>
  </si>
  <si>
    <t>FARDELEUSE PM40</t>
  </si>
  <si>
    <t>MECALIBRE</t>
  </si>
  <si>
    <t>RENESCURE</t>
  </si>
  <si>
    <t>plan 928</t>
  </si>
  <si>
    <t>086982</t>
  </si>
  <si>
    <t>Plan dans la colonne Q81 Q82</t>
  </si>
  <si>
    <t>DEJA CREE - article code 086982, ligne non retraitee.</t>
  </si>
  <si>
    <t>ARBRE-ENVELOPPEUR-928</t>
  </si>
  <si>
    <t>ARBRE ENVELOPPEUR POUR FARDELEUSE PM 40 PLAN 928</t>
  </si>
  <si>
    <t>086983</t>
  </si>
  <si>
    <t>DEJA CREE - article code 086983, ligne non retraitee.</t>
  </si>
  <si>
    <t>1.0619+N FIG:35.046 FAF:230 ARI</t>
  </si>
  <si>
    <t>FABA</t>
  </si>
  <si>
    <t>ROBINET FABA + DN50 PN40 ACIER</t>
  </si>
  <si>
    <t>110930 VAPEUR : VANNES ROBINETS DETENDEURS</t>
  </si>
  <si>
    <t>086986</t>
  </si>
  <si>
    <t>DEJA CREE - article code 086986, ligne non retraitee.</t>
  </si>
  <si>
    <t>DF16 DRN71M4</t>
  </si>
  <si>
    <t>MOTOVARIATEUR VARIMOT 0,37KW 230/400V</t>
  </si>
  <si>
    <t>150710 REDUCTEURS / MOTOREDUCTEURS : A VITESSE VARIABLE</t>
  </si>
  <si>
    <t>CONVOYEURS</t>
  </si>
  <si>
    <t>Motoréducteur four PM40</t>
  </si>
  <si>
    <t>086969</t>
  </si>
  <si>
    <t>DEJA CREE - article code 086969, ligne non retraitee.</t>
  </si>
  <si>
    <t>Clarisse CHAPELAIN</t>
  </si>
  <si>
    <t>ADVU-32-55-A-P-A 156044</t>
  </si>
  <si>
    <t>VERIN ADVU-32-55-A-P-A 156044</t>
  </si>
  <si>
    <t>FFR_14436</t>
  </si>
  <si>
    <t>SAINT BENOIST</t>
  </si>
  <si>
    <t>086945</t>
  </si>
  <si>
    <t>DEJA CREE - article code 086945, ligne non retraitee.</t>
  </si>
  <si>
    <t>E5GC-RX1DCM-000</t>
  </si>
  <si>
    <t>OMRON</t>
  </si>
  <si>
    <t>REGULATEUR 24*48 RELAIS 24ACDC</t>
  </si>
  <si>
    <t>COLUSSI</t>
  </si>
  <si>
    <t>FFR_23531</t>
  </si>
  <si>
    <t>57061049</t>
  </si>
  <si>
    <t>087012</t>
  </si>
  <si>
    <t>DEJA CREE - article code 087012, ligne non retraitee.</t>
  </si>
  <si>
    <t>Martine ELGART</t>
  </si>
  <si>
    <t>MM07D-503-16</t>
  </si>
  <si>
    <t>VARIATEUR PREMONTE AVEC KIT VISSERIE 0,75KW 380V/500V POUR MOTEUR DR</t>
  </si>
  <si>
    <t>Variateur MM07D-503-16</t>
  </si>
  <si>
    <t>059644</t>
  </si>
  <si>
    <t>Doublon avec l'article 059644 (VARIATEUR DE VITESSE PREM. MOVIMOT 0.7KW IP65 50/60HZ MM07D-503-16). Demande non creee.</t>
  </si>
  <si>
    <t>DEJA CREE - article code 059644, ligne non retraitee.</t>
  </si>
  <si>
    <t>2.56286</t>
  </si>
  <si>
    <t>PRASMATIC</t>
  </si>
  <si>
    <t>TIGE FILETEE M24</t>
  </si>
  <si>
    <t>244510 PRASMATIC : MACHINES A LOTS</t>
  </si>
  <si>
    <t>RECENTREUR L2</t>
  </si>
  <si>
    <t>AETNA</t>
  </si>
  <si>
    <t>Recentreur bague fixation vérin</t>
  </si>
  <si>
    <t>086988</t>
  </si>
  <si>
    <t>DEJA CREE - article code 086988, ligne non retraitee.</t>
  </si>
  <si>
    <t>3.A03.G03515</t>
  </si>
  <si>
    <t>BAGUE</t>
  </si>
  <si>
    <t>086989</t>
  </si>
  <si>
    <t>DEJA CREE - article code 086989, ligne non retraitee.</t>
  </si>
  <si>
    <t>CSK-20-M-2RS-C5</t>
  </si>
  <si>
    <t>STIEBER</t>
  </si>
  <si>
    <t>ROUE LIBRE CSK-20-M-2RS-C5 20X47X19</t>
  </si>
  <si>
    <t>150800 ROULEMENTS</t>
  </si>
  <si>
    <t>087009</t>
  </si>
  <si>
    <t>DEJA CREE - article code 087009, ligne non retraitee.</t>
  </si>
  <si>
    <t>AZM40Z-ST-1P2P</t>
  </si>
  <si>
    <t>INTERVERROUILLAGE DE SECURITE AVAEC ACTIONNEUR SEPARE A TECHNOLOGIE RFID AZM40Z-ST-1P2P</t>
  </si>
  <si>
    <t>105900 DETECTION</t>
  </si>
  <si>
    <t>086931</t>
  </si>
  <si>
    <t>DEJA CREE - article code 086931, ligne non retraitee.</t>
  </si>
  <si>
    <t>AZM40-B1</t>
  </si>
  <si>
    <t>ACTIONNEUR DROIT FLEXIBILITE D'ANGLE D'ACTIONNEMENT DE 180° 40MMx40MMx20MM AZM40-B1</t>
  </si>
  <si>
    <t>086933</t>
  </si>
  <si>
    <t>DEJA CREE - article code 086933, ligne non retraitee.</t>
  </si>
  <si>
    <t>SRB-E-301ST</t>
  </si>
  <si>
    <t>BOITIER DE SECURITE SCHMERSAL SRB-E-301ST 103007672</t>
  </si>
  <si>
    <t>105000 ELECTRICITE ELECTRONIQUE AUTOMATISME</t>
  </si>
  <si>
    <t>FFR_62425</t>
  </si>
  <si>
    <t>SRB-E-301ST 103007672</t>
  </si>
  <si>
    <t>086952</t>
  </si>
  <si>
    <t>DEJA CREE - article code 086952, ligne non retraitee.</t>
  </si>
  <si>
    <t>2312</t>
  </si>
  <si>
    <t>SILENCIEUX FESTO U-1 2312</t>
  </si>
  <si>
    <t>086946</t>
  </si>
  <si>
    <t>DEJA CREE - article code 086946, ligne non retraitee.</t>
  </si>
  <si>
    <t>Jonathan DEFACHELLE</t>
  </si>
  <si>
    <t>LAME-COMP-1010</t>
  </si>
  <si>
    <t>LAME COMPOSITE 420X60X10MM</t>
  </si>
  <si>
    <t>219000 FEMIA</t>
  </si>
  <si>
    <t>047704</t>
  </si>
  <si>
    <t>Doublon avec l'article 047704 (LAME COMPOSITE 420X60X10 MM). Demande non creee.</t>
  </si>
  <si>
    <t>DEJA CREE - article code 047704, ligne non retraitee.</t>
  </si>
  <si>
    <t>6.800.1651</t>
  </si>
  <si>
    <t>TAPFLO</t>
  </si>
  <si>
    <t>ARBRE INOX 304L T820 T800 T825</t>
  </si>
  <si>
    <t>087015</t>
  </si>
  <si>
    <t>DEJA CREE - article code 087015, ligne non retraitee.</t>
  </si>
  <si>
    <t>6.800.1652</t>
  </si>
  <si>
    <t>VIS POUR ARBRE INOX T800 T820 T825</t>
  </si>
  <si>
    <t>150000 TRANSMISSION MOTORISATION ENTRAINEMENT</t>
  </si>
  <si>
    <t>087016</t>
  </si>
  <si>
    <t>DEJA CREE - article code 087016, ligne non retraitee.</t>
  </si>
  <si>
    <t>6.800.61.18</t>
  </si>
  <si>
    <t>DISTRIBUTEUR D'AIR COMPLET PET/NBR/BRASS T800</t>
  </si>
  <si>
    <t>087017</t>
  </si>
  <si>
    <t>DEJA CREE - article code 087017, ligne non retraitee.</t>
  </si>
  <si>
    <t>6.800.30</t>
  </si>
  <si>
    <t>JOINT TORIQUE DISTRIBUTEUR NBR T800 T820 T825</t>
  </si>
  <si>
    <t>110330 ETANCHEITE : JOINTS ET BAGUES D'ETANCHEITE</t>
  </si>
  <si>
    <t>087026</t>
  </si>
  <si>
    <t>DEJA CREE - article code 087026, ligne non retraitee.</t>
  </si>
  <si>
    <t>6.800.47</t>
  </si>
  <si>
    <t>JOINT D'ARBRE NBR T800 T820 T825</t>
  </si>
  <si>
    <t>110220 EAU : VANNES ROBINETS DETENDEURS</t>
  </si>
  <si>
    <t>087029</t>
  </si>
  <si>
    <t>DEJA CREE - article code 087029, ligne non retraitee.</t>
  </si>
  <si>
    <t>6.800.36</t>
  </si>
  <si>
    <t>JOINTS DE BLOC CENTRAL PE T800 T820 T825</t>
  </si>
  <si>
    <t>110300 ETANCHEITE</t>
  </si>
  <si>
    <t>087033</t>
  </si>
  <si>
    <t>DEJA CREE - article code 087033, ligne non retraitee.</t>
  </si>
  <si>
    <t>DISQUE LISSE 155X10X1,5MM</t>
  </si>
  <si>
    <t>ZENARI</t>
  </si>
  <si>
    <t>DISQUE LISSE DIAMETRE 155x10x1,5MM + 6 ENCOCHES 45°</t>
  </si>
  <si>
    <t>133100 OUTILLAGE EQUIPEMENTS : OUTILS DE COUPE</t>
  </si>
  <si>
    <t>COUPEUSE EPIS</t>
  </si>
  <si>
    <t>Oui</t>
  </si>
  <si>
    <t>IMG_1237.JPG</t>
  </si>
  <si>
    <t>Merci de mettre la famille</t>
  </si>
  <si>
    <t>Famille ajoutée le 6 octobre 2026</t>
  </si>
  <si>
    <t>ZENARI ENGINEERING S.N.C.</t>
  </si>
  <si>
    <t>Marque confirmée - référence non publiée ; VALIDER - CHAMPS NON CONFIRMES</t>
  </si>
  <si>
    <t>ARTICLE A IDENTIFIER - REFERENCE DISQUE LISSE 155X10X1,5MM</t>
  </si>
  <si>
    <t>DISQUE LISSE DIAMETRE 155X10X1,5 MM + 6 ENCOCHES 45°</t>
  </si>
  <si>
    <t>Saisie d origine uniquement, majuscules/espacement d unités et traduction usuelle sans ajout de caractéristiques. Convention de famille non disponible dans la base fraîche ; nature source conservée.</t>
  </si>
  <si>
    <t>Le site officiel Zenari Engineering confirme le constructeur et sa raison sociale S.N.C., mais ne publie pas DISQUE LISSE 155X10X1,5MM dans les recherches réalisées ; les cotes restent celles de la saisie. La marque est laissée non confirmée : les sources identifient une société ou une série, pas le fabricant de la variante demandée. Photo : Pièce propriétaire : absence normale de photo publique exacte et aucune URL image admissible renvoyée par les pages consultées.</t>
  </si>
  <si>
    <t>Normalisation de la saisie uniquement : majuscules, accents/signes retirés.</t>
  </si>
  <si>
    <t>1025885</t>
  </si>
  <si>
    <t>SCREEN INLET PUMP P4 P7</t>
  </si>
  <si>
    <t>TECHMELT</t>
  </si>
  <si>
    <t>FFR_109638</t>
  </si>
  <si>
    <t>2136996</t>
  </si>
  <si>
    <t>086973</t>
  </si>
  <si>
    <t>DEJA CREE - article code 086973, ligne non retraitee.</t>
  </si>
  <si>
    <t>H1-07622-0-01</t>
  </si>
  <si>
    <t>ACCOUPLEMENT CODEUR MOTEUR DE RATTRAPAGE COUVERCLE FERMEUSE ETL1000 H1-07622-0-01</t>
  </si>
  <si>
    <t>217800 ET PACK</t>
  </si>
  <si>
    <t>FERMEUSE BOITE B4</t>
  </si>
  <si>
    <t>Pièces détachées fermeuse de boite B4 _20170308 (1).pdf</t>
  </si>
  <si>
    <t>087039</t>
  </si>
  <si>
    <t>doc nomenclature machine en pieces jointes en Q103</t>
  </si>
  <si>
    <t>DEJA CREE - article code 087039, ligne non retraitee.</t>
  </si>
  <si>
    <t>300018A</t>
  </si>
  <si>
    <t>JBT</t>
  </si>
  <si>
    <t>INTERRUPTEUR MAGNETIQUE GIGA GMS9 300018A</t>
  </si>
  <si>
    <t>227035 IMC-FMC-JBT : TUNNELS DE SURGELATION</t>
  </si>
  <si>
    <t>JOHN BEAN TECHNOLOGIES AB</t>
  </si>
  <si>
    <t>piéces detachées tunnel spi 6-PJ0000508_Spareparts.pdf</t>
  </si>
  <si>
    <t>087040</t>
  </si>
  <si>
    <t>doc nomenclature machine en pieces jointes en Q105</t>
  </si>
  <si>
    <t>DEJA CREE - article code 087040, ligne non retraitee.</t>
  </si>
  <si>
    <t>300019A</t>
  </si>
  <si>
    <t>AIMANT M1 300019A</t>
  </si>
  <si>
    <t>046677</t>
  </si>
  <si>
    <t>Doublon avec l'article 046677 (AIMANT 3000 19 A). Demande non creee.</t>
  </si>
  <si>
    <t>DEJA CREE - article code 046677, ligne non retraitee.</t>
  </si>
  <si>
    <t>300793H</t>
  </si>
  <si>
    <t>BAGUE D'ARRET 15 300793H</t>
  </si>
  <si>
    <t>086993</t>
  </si>
  <si>
    <t>DEJA CREE - article code 086993, ligne non retraitee.</t>
  </si>
  <si>
    <t>13415808</t>
  </si>
  <si>
    <t>ROUE/TURBINE DE VENTILATEUR 13415808</t>
  </si>
  <si>
    <t>087041</t>
  </si>
  <si>
    <t>DEJA CREE - article code 087041, ligne non retraitee.</t>
  </si>
  <si>
    <t>300184F</t>
  </si>
  <si>
    <t>GRAISSE FORMULA 450 300184F</t>
  </si>
  <si>
    <t>Fiche d'intégration de produit chimique obligatoire</t>
  </si>
  <si>
    <t>John Bean Technologies AB</t>
  </si>
  <si>
    <t>GRAISSE FORMULA 450 CONTACT ALIMENTAIRE FORTUIT H1 - CORRESPONDANCE DU CODE A VALIDER 300184F</t>
  </si>
  <si>
    <t>Termes techniques issus exclusivement des sources vérifiées du 07/10/2026, reformulés selon l usage de la famille. Portée limitée à la série : cette proposition ne valide pas la variante ni les détails de saisie exclus des sources. Sources : Ratsit — John Bean Technologies AB — personne morale suédoise active; Hitta — John Bean Technologies AB — société mère JBT Corp; Parts Town — JBT Replacement Parts — catalogue général, sans preuve de ce code; JBT Marel — Spare parts — offre générale, sans catalogue de codes; JBT Marel — Lubricants — famille Formula; NSF International — Certificate of Conformity — FORMULA 450 GREASE™; NSF International — Nonfood Compounds Listing — John Bean Technologies AB</t>
  </si>
  <si>
    <t>Saisie d origine uniquement, majuscules/espacement d unités et traduction usuelle sans ajout de caractéristiques. Nature source conservée sans substitution sémantique : 29 codes distincts de famille. Dominante MOTEUR : 6/29, soit 20.7% ; seuil d éligibilité 30 %, jamais une validation technique.</t>
  </si>
  <si>
    <t>JBT Marel atteste la famille Formula et NSF publie FORMULA 450 GREASE™ au nom de John Bean Technologies AB, mais aucune source ne relie le code exact 300184F à ce produit ou à un conditionnement. Photo : Famille Formula et produit NSF attestés, mais code 300184F non rattaché publiquement et aucune URL d’image produit renvoyée par la consultation des pages.</t>
  </si>
  <si>
    <t>1127045A</t>
  </si>
  <si>
    <t>ENSEMBLE DE BIELLETTE INTERIEUR 1127045A</t>
  </si>
  <si>
    <t>087042</t>
  </si>
  <si>
    <t>DEJA CREE - article code 087042, ligne non retraitee.</t>
  </si>
  <si>
    <t>180057A</t>
  </si>
  <si>
    <t>SECURITE DE CHAINE INTERIEUR 180057A</t>
  </si>
  <si>
    <t>086994</t>
  </si>
  <si>
    <t>DEJA CREE - article code 086994, ligne non retraitee.</t>
  </si>
  <si>
    <t>1380060A</t>
  </si>
  <si>
    <t>CHAINE A BILLE FLEXIBLE INTERIEUR 1380060A</t>
  </si>
  <si>
    <t>086995</t>
  </si>
  <si>
    <t>DEJA CREE - article code 086995, ligne non retraitee.</t>
  </si>
  <si>
    <t>1370631C</t>
  </si>
  <si>
    <t>PETIT GALET 1370631C</t>
  </si>
  <si>
    <t>086996</t>
  </si>
  <si>
    <t>DEJA CREE - article code 086996, ligne non retraitee.</t>
  </si>
  <si>
    <t>1377153A</t>
  </si>
  <si>
    <t>GRAND GALET 1377153A</t>
  </si>
  <si>
    <t>087027</t>
  </si>
  <si>
    <t>DEJA CREE - article code 087027, ligne non retraitee.</t>
  </si>
  <si>
    <t>1382798A</t>
  </si>
  <si>
    <t>MANCHON DE GLISSEMENT 1382798A</t>
  </si>
  <si>
    <t>087044</t>
  </si>
  <si>
    <t>DEJA CREE - article code 087044, ligne non retraitee.</t>
  </si>
  <si>
    <t>1378767A</t>
  </si>
  <si>
    <t>BANDE DE GLISSEMENT 1378767A</t>
  </si>
  <si>
    <t>087028</t>
  </si>
  <si>
    <t>DEJA CREE - article code 087028, ligne non retraitee.</t>
  </si>
  <si>
    <t>1077167A</t>
  </si>
  <si>
    <t>TAQUET/BRACKET 1077167A</t>
  </si>
  <si>
    <t>087046</t>
  </si>
  <si>
    <t>DEJA CREE - article code 087046, ligne non retraitee.</t>
  </si>
  <si>
    <t>1087849A</t>
  </si>
  <si>
    <t>PALIER 1087849A</t>
  </si>
  <si>
    <t>087048</t>
  </si>
  <si>
    <t>DEJA CREE - article code 087048, ligne non retraitee.</t>
  </si>
  <si>
    <t>1370627C</t>
  </si>
  <si>
    <t>ROUE 1370627C</t>
  </si>
  <si>
    <t>087049</t>
  </si>
  <si>
    <t>DEJA CREE - article code 087049, ligne non retraitee.</t>
  </si>
  <si>
    <t>1384693A</t>
  </si>
  <si>
    <t>GALET 1384693A</t>
  </si>
  <si>
    <t>087051</t>
  </si>
  <si>
    <t>DEJA CREE - article code 087051, ligne non retraitee.</t>
  </si>
  <si>
    <t>300413A</t>
  </si>
  <si>
    <t>RESSORT N°23780 300413A</t>
  </si>
  <si>
    <t>087052</t>
  </si>
  <si>
    <t>DEJA CREE - article code 087052, ligne non retraitee.</t>
  </si>
  <si>
    <t>865405A</t>
  </si>
  <si>
    <t>GOUPILLE FENDUE RPA 6X60 865405A</t>
  </si>
  <si>
    <t>087054</t>
  </si>
  <si>
    <t>DEJA CREE - article code 087054, ligne non retraitee.</t>
  </si>
  <si>
    <t>1414160A</t>
  </si>
  <si>
    <t>JOINT ENCEINTE /SEALING ENCL 1414160A</t>
  </si>
  <si>
    <t>087057</t>
  </si>
  <si>
    <t>DEJA CREE - article code 087057, ligne non retraitee.</t>
  </si>
  <si>
    <t>1414161A</t>
  </si>
  <si>
    <t>JOINT DE TOURELLE /SEALING STACK 1414161A</t>
  </si>
  <si>
    <t>087056</t>
  </si>
  <si>
    <t>DEJA CREE - article code 087056, ligne non retraitee.</t>
  </si>
  <si>
    <t>1370628C</t>
  </si>
  <si>
    <t>GALET CRANTER 1370628C</t>
  </si>
  <si>
    <t>087061</t>
  </si>
  <si>
    <t>DEJA CREE - article code 087061, ligne non retraitee.</t>
  </si>
  <si>
    <t>1390052A</t>
  </si>
  <si>
    <t>RACLEUR NEZ EN PLASTIQUE 1390052A</t>
  </si>
  <si>
    <t>087060</t>
  </si>
  <si>
    <t>DEJA CREE - article code 087060, ligne non retraitee.</t>
  </si>
  <si>
    <t>300297B</t>
  </si>
  <si>
    <t>PALIER/ROULEMENT NOLU-S FDS-16 300297B</t>
  </si>
  <si>
    <t>087065</t>
  </si>
  <si>
    <t>DEJA CREE - article code 087065, ligne non retraitee.</t>
  </si>
  <si>
    <t>300844B</t>
  </si>
  <si>
    <t>CALE ARRET/ CLAVETTE 8X7-32 300844B</t>
  </si>
  <si>
    <t>087064</t>
  </si>
  <si>
    <t>DEJA CREE - article code 087064, ligne non retraitee.</t>
  </si>
  <si>
    <t>300880A</t>
  </si>
  <si>
    <t>CALE ARRET/ CLAVETTE 8X7-36 300880A</t>
  </si>
  <si>
    <t>087068</t>
  </si>
  <si>
    <t>DEJA CREE - article code 087068, ligne non retraitee.</t>
  </si>
  <si>
    <t>300881N</t>
  </si>
  <si>
    <t>CALE ARRET/ CLAVETTE 12X8-44 300881N</t>
  </si>
  <si>
    <t>087067</t>
  </si>
  <si>
    <t>DEJA CREE - article code 087067, ligne non retraitee.</t>
  </si>
  <si>
    <t>301485A</t>
  </si>
  <si>
    <t>RESSORT N°43060 301485A</t>
  </si>
  <si>
    <t>087069</t>
  </si>
  <si>
    <t>DEJA CREE - article code 087069, ligne non retraitee.</t>
  </si>
  <si>
    <t>1374956AA</t>
  </si>
  <si>
    <t>PAIRE DE ROUE CRANTER/WHEEL PAIR 1374956AA</t>
  </si>
  <si>
    <t>087072</t>
  </si>
  <si>
    <t>DEJA CREE - article code 087072, ligne non retraitee.</t>
  </si>
  <si>
    <t>1392235A</t>
  </si>
  <si>
    <t>ROUE/TURBINE DE VENTILATEUR 1392235A</t>
  </si>
  <si>
    <t>087073</t>
  </si>
  <si>
    <t>DEJA CREE - article code 087073, ligne non retraitee.</t>
  </si>
  <si>
    <t>1394544A</t>
  </si>
  <si>
    <t>COUVERCLE 1394544A</t>
  </si>
  <si>
    <t>087075</t>
  </si>
  <si>
    <t>DEJA CREE - article code 087075, ligne non retraitee.</t>
  </si>
  <si>
    <t>1400678A</t>
  </si>
  <si>
    <t>RONDELLE 1400678A</t>
  </si>
  <si>
    <t>087074</t>
  </si>
  <si>
    <t>DEJA CREE - article code 087074, ligne non retraitee.</t>
  </si>
  <si>
    <t>302408A</t>
  </si>
  <si>
    <t>BUSE DE PULVÉRISATION 688,763,16,CC 302408A</t>
  </si>
  <si>
    <t>087076</t>
  </si>
  <si>
    <t>DEJA CREE - article code 087076, ligne non retraitee.</t>
  </si>
  <si>
    <t>1394542A</t>
  </si>
  <si>
    <t>AXE/TIGES DE VEROUILLAGE 1394542A</t>
  </si>
  <si>
    <t>087077</t>
  </si>
  <si>
    <t>DEJA CREE - article code 087077, ligne non retraitee.</t>
  </si>
  <si>
    <t>193070AK</t>
  </si>
  <si>
    <t>AXE/TIGES DE TAPIS DIAMETRE 5MM LONGUEUR 76MM 193070BAK</t>
  </si>
  <si>
    <t>087078</t>
  </si>
  <si>
    <t>DEJA CREE - article code 087078, ligne non retraitee.</t>
  </si>
  <si>
    <t>191678EFB</t>
  </si>
  <si>
    <t>TAPIS FBN SF 76-08-5,0 M 9-1,5 CR 191678EFB</t>
  </si>
  <si>
    <t>087031</t>
  </si>
  <si>
    <t>DEJA CREE - article code 087031, ligne non retraitee.</t>
  </si>
  <si>
    <t>320916BAX</t>
  </si>
  <si>
    <t>MOTOREDUCTEUR SK773,1F 90LP/4 320916BAX</t>
  </si>
  <si>
    <t>087079</t>
  </si>
  <si>
    <t>DEJA CREE - article code 087079, ligne non retraitee.</t>
  </si>
  <si>
    <t>320917BA</t>
  </si>
  <si>
    <t>MOTEUR 100LP/4 320917BA</t>
  </si>
  <si>
    <t>087080</t>
  </si>
  <si>
    <t>DEJA CREE - article code 087080, ligne non retraitee.</t>
  </si>
  <si>
    <t>320917BAX</t>
  </si>
  <si>
    <t>MOTOREDUCTEUR SK773,1F 100LP/4 320917BAX</t>
  </si>
  <si>
    <t>087081</t>
  </si>
  <si>
    <t>DEJA CREE - article code 087081, ligne non retraitee.</t>
  </si>
  <si>
    <t>1380074A</t>
  </si>
  <si>
    <t>BLOC DE GUIDAGE 1380074A</t>
  </si>
  <si>
    <t>087032</t>
  </si>
  <si>
    <t>DEJA CREE - article code 087032, ligne non retraitee.</t>
  </si>
  <si>
    <t>1380081AB</t>
  </si>
  <si>
    <t>BANDE DE GLISSEMENT 1380081AB</t>
  </si>
  <si>
    <t>087082</t>
  </si>
  <si>
    <t>DEJA CREE - article code 087082, ligne non retraitee.</t>
  </si>
  <si>
    <t>1380081AC</t>
  </si>
  <si>
    <t>BANDE DE GLISSEMENT 1380081AC</t>
  </si>
  <si>
    <t>087083</t>
  </si>
  <si>
    <t>DEJA CREE - article code 087083, ligne non retraitee.</t>
  </si>
  <si>
    <t>1380081AD</t>
  </si>
  <si>
    <t>BANDE DE GLISSEMENT 1380081AD</t>
  </si>
  <si>
    <t>087084</t>
  </si>
  <si>
    <t>DEJA CREE - article code 087084, ligne non retraitee.</t>
  </si>
  <si>
    <t>1380081AE</t>
  </si>
  <si>
    <t>BANDE DE GLISSEMENT 1380081AE</t>
  </si>
  <si>
    <t>087085</t>
  </si>
  <si>
    <t>DEJA CREE - article code 087085, ligne non retraitee.</t>
  </si>
  <si>
    <t>321118BDQ</t>
  </si>
  <si>
    <t>MOTEUR T3A 90L-2 2.2 KW PZR 321118BDQ</t>
  </si>
  <si>
    <t>087086</t>
  </si>
  <si>
    <t>DEJA CREE - article code 087086, ligne non retraitee.</t>
  </si>
  <si>
    <t>1015803X</t>
  </si>
  <si>
    <t>RESSORT 1015803X</t>
  </si>
  <si>
    <t>087087</t>
  </si>
  <si>
    <t>DEJA CREE - article code 087087, ligne non retraitee.</t>
  </si>
  <si>
    <t>1367735A</t>
  </si>
  <si>
    <t>ROUE/POULIE 1367735A</t>
  </si>
  <si>
    <t>087088</t>
  </si>
  <si>
    <t>DEJA CREE - article code 087088, ligne non retraitee.</t>
  </si>
  <si>
    <t>1474562A</t>
  </si>
  <si>
    <t>BLOC DE GUIDAGE 1474562A</t>
  </si>
  <si>
    <t>087089</t>
  </si>
  <si>
    <t>DEJA CREE - article code 087089, ligne non retraitee.</t>
  </si>
  <si>
    <t>1476169A</t>
  </si>
  <si>
    <t>BANDE DE GLISSEMENT 1476169A</t>
  </si>
  <si>
    <t>087090</t>
  </si>
  <si>
    <t>DEJA CREE - article code 087090, ligne non retraitee.</t>
  </si>
  <si>
    <t>1476171A</t>
  </si>
  <si>
    <t>GLISSIERE FIXE 1476171A</t>
  </si>
  <si>
    <t>087091</t>
  </si>
  <si>
    <t>DEJA CREE - article code 087091, ligne non retraitee.</t>
  </si>
  <si>
    <t>1476172A</t>
  </si>
  <si>
    <t>GLISSIERE FIXE 1476172A</t>
  </si>
  <si>
    <t>087092</t>
  </si>
  <si>
    <t>DEJA CREE - article code 087092, ligne non retraitee.</t>
  </si>
  <si>
    <t>1476183A</t>
  </si>
  <si>
    <t>SUPPORT BANDE DE GLISSEMENT 1476183A</t>
  </si>
  <si>
    <t>087093</t>
  </si>
  <si>
    <t>DEJA CREE - article code 087093, ligne non retraitee.</t>
  </si>
  <si>
    <t>1476184A</t>
  </si>
  <si>
    <t>SUPPORT BANDE DE GLISSEMENT 1476184A</t>
  </si>
  <si>
    <t>087094</t>
  </si>
  <si>
    <t>DEJA CREE - article code 087094, ligne non retraitee.</t>
  </si>
  <si>
    <t>1476191A</t>
  </si>
  <si>
    <t>GLISSIERE MOBILE 1476191A</t>
  </si>
  <si>
    <t>087095</t>
  </si>
  <si>
    <t>DEJA CREE - article code 087095, ligne non retraitee.</t>
  </si>
  <si>
    <t>1476192A</t>
  </si>
  <si>
    <t>GLISSIERE MOBILE 1476192A</t>
  </si>
  <si>
    <t>087096</t>
  </si>
  <si>
    <t>DEJA CREE - article code 087096, ligne non retraitee.</t>
  </si>
  <si>
    <t>302099FA</t>
  </si>
  <si>
    <t>DETECTEUR DE PROXIMITE M12 302099FA</t>
  </si>
  <si>
    <t>087097</t>
  </si>
  <si>
    <t>DEJA CREE - article code 087097, ligne non retraitee.</t>
  </si>
  <si>
    <t>320808A</t>
  </si>
  <si>
    <t>PALIER LISSE / BAGUE / BEARING SLIDE 320808A</t>
  </si>
  <si>
    <t>087098</t>
  </si>
  <si>
    <t>DEJA CREE - article code 087098, ligne non retraitee.</t>
  </si>
  <si>
    <t>1382821A</t>
  </si>
  <si>
    <t>BANDE DE GLISSEMENT L=506 1382821A</t>
  </si>
  <si>
    <t>087099</t>
  </si>
  <si>
    <t>DEJA CREE - article code 087099, ligne non retraitee.</t>
  </si>
  <si>
    <t>3001672ABB</t>
  </si>
  <si>
    <t>MOTEUR 1TZ9A 180M-4 18.5 KW3001672ABB</t>
  </si>
  <si>
    <t>087100</t>
  </si>
  <si>
    <t>DEJA CREE - article code 087100, ligne non retraitee.</t>
  </si>
  <si>
    <t>1476818A</t>
  </si>
  <si>
    <t>ROUE/TURBINE DE VENTILATEUR 33" ECF-9 88% 1476818A</t>
  </si>
  <si>
    <t>087101</t>
  </si>
  <si>
    <t>DEJA CREE - article code 087101, ligne non retraitee.</t>
  </si>
  <si>
    <t>4503487A</t>
  </si>
  <si>
    <t>CONE D'ADMISSION 33" 4503487A</t>
  </si>
  <si>
    <t>087102</t>
  </si>
  <si>
    <t>DEJA CREE - article code 087102, ligne non retraitee.</t>
  </si>
  <si>
    <t>1372141BA</t>
  </si>
  <si>
    <t>PIGNON D'ENTRAINEMENT 1372141BA</t>
  </si>
  <si>
    <t>087103</t>
  </si>
  <si>
    <t>DEJA CREE - article code 087103, ligne non retraitee.</t>
  </si>
  <si>
    <t>300582A</t>
  </si>
  <si>
    <t>RONDELLE D'ETANCHEITE POUR TUBE GB-R1/8" 300582A</t>
  </si>
  <si>
    <t>087104</t>
  </si>
  <si>
    <t>DEJA CREE - article code 087104, ligne non retraitee.</t>
  </si>
  <si>
    <t>301652A</t>
  </si>
  <si>
    <t>BOUCHON POUR TUBE 301652A</t>
  </si>
  <si>
    <t>087105</t>
  </si>
  <si>
    <t>DEJA CREE - article code 087105, ligne non retraitee.</t>
  </si>
  <si>
    <t>301654A</t>
  </si>
  <si>
    <t>RACCORD EXTREMITE TUYAU 301654A</t>
  </si>
  <si>
    <t>087106</t>
  </si>
  <si>
    <t>DEJA CREE - article code 087106, ligne non retraitee.</t>
  </si>
  <si>
    <t>301655A</t>
  </si>
  <si>
    <t>RACCORD CANNELE MALE 301655A</t>
  </si>
  <si>
    <t>087107</t>
  </si>
  <si>
    <t>DEJA CREE - article code 087107, ligne non retraitee.</t>
  </si>
  <si>
    <t>301653A</t>
  </si>
  <si>
    <t>TUYAU 1519-1/4" 301653A</t>
  </si>
  <si>
    <t>087108</t>
  </si>
  <si>
    <t>DEJA CREE - article code 087108, ligne non retraitee.</t>
  </si>
  <si>
    <t>1158280B</t>
  </si>
  <si>
    <t>ENSEMBLE DE FLEXIBLE/TUYAU 1158280B</t>
  </si>
  <si>
    <t>087109</t>
  </si>
  <si>
    <t>DEJA CREE - article code 087109, ligne non retraitee.</t>
  </si>
  <si>
    <t>1427751A</t>
  </si>
  <si>
    <t>ENSEMBLE MOYEU 1427751A</t>
  </si>
  <si>
    <t>087110</t>
  </si>
  <si>
    <t>DEJA CREE - article code 087110, ligne non retraitee.</t>
  </si>
  <si>
    <t>1380066A</t>
  </si>
  <si>
    <t>BLOC DE GUIDAGE DE SORTIE1380066A</t>
  </si>
  <si>
    <t>087111</t>
  </si>
  <si>
    <t>DEJA CREE - article code 087111, ligne non retraitee.</t>
  </si>
  <si>
    <t>1380069A</t>
  </si>
  <si>
    <t>RACLEUR NEZ EN PLASTIQUE 1380069A</t>
  </si>
  <si>
    <t>087112</t>
  </si>
  <si>
    <t>DEJA CREE - article code 087112, ligne non retraitee.</t>
  </si>
  <si>
    <t>Doublon avec la ligne 144</t>
  </si>
  <si>
    <t>1380081AJ</t>
  </si>
  <si>
    <t>BANDE DE GLISSEMENT GC70 1380081AJ</t>
  </si>
  <si>
    <t>087114</t>
  </si>
  <si>
    <t>DEJA CREE - article code 087114, ligne non retraitee.</t>
  </si>
  <si>
    <t>1380081AT</t>
  </si>
  <si>
    <t>BANDE DE GLISSEMENT GC70 1380081AT</t>
  </si>
  <si>
    <t>087115</t>
  </si>
  <si>
    <t>DEJA CREE - article code 087115, ligne non retraitee.</t>
  </si>
  <si>
    <t>1380081AU</t>
  </si>
  <si>
    <t>BANDE DE GLISSEMENT GC70 1380081AU</t>
  </si>
  <si>
    <t>087117</t>
  </si>
  <si>
    <t>DEJA CREE - article code 087117, ligne non retraitee.</t>
  </si>
  <si>
    <t>1425887A</t>
  </si>
  <si>
    <t>BANDE DE GLISSEMENT 1425887A</t>
  </si>
  <si>
    <t>087119</t>
  </si>
  <si>
    <t>DEJA CREE - article code 087119, ligne non retraitee.</t>
  </si>
  <si>
    <t>1425888A</t>
  </si>
  <si>
    <t>BANDE DE GLISSEMENT 1425888A</t>
  </si>
  <si>
    <t>087121</t>
  </si>
  <si>
    <t>DEJA CREE - article code 087121, ligne non retraitee.</t>
  </si>
  <si>
    <t>3001786A</t>
  </si>
  <si>
    <t>SILENT BLOC A RESSORT VT4414-07 3001786A</t>
  </si>
  <si>
    <t>087123</t>
  </si>
  <si>
    <t>DEJA CREE - article code 087123, ligne non retraitee.</t>
  </si>
  <si>
    <t>303864A</t>
  </si>
  <si>
    <t>BUSE ROTATIVE 303864A</t>
  </si>
  <si>
    <t>087126</t>
  </si>
  <si>
    <t>DEJA CREE - article code 087126, ligne non retraitee.</t>
  </si>
  <si>
    <t>303864B</t>
  </si>
  <si>
    <t>BUSE ROTATIVE 303864B</t>
  </si>
  <si>
    <t>087127</t>
  </si>
  <si>
    <t>DEJA CREE - article code 087127, ligne non retraitee.</t>
  </si>
  <si>
    <t>4526814B</t>
  </si>
  <si>
    <t>PLAQUE D'EJECTION 4526814B</t>
  </si>
  <si>
    <t>087128</t>
  </si>
  <si>
    <t>DEJA CREE - article code 087128, ligne non retraitee.</t>
  </si>
  <si>
    <t>4526853A</t>
  </si>
  <si>
    <t>PLAQUE EVACUATION 4526853A</t>
  </si>
  <si>
    <t>087129</t>
  </si>
  <si>
    <t>DEJA CREE - article code 087129, ligne non retraitee.</t>
  </si>
  <si>
    <t>1381739B</t>
  </si>
  <si>
    <t>TRAPPE EQD 1381739B</t>
  </si>
  <si>
    <t>087130</t>
  </si>
  <si>
    <t>DEJA CREE - article code 087130, ligne non retraitee.</t>
  </si>
  <si>
    <t>1385045A</t>
  </si>
  <si>
    <t>TRAPPE DE TUNNEL 1385045A</t>
  </si>
  <si>
    <t>087132</t>
  </si>
  <si>
    <t>DEJA CREE - article code 087132, ligne non retraitee.</t>
  </si>
  <si>
    <t>1414076A</t>
  </si>
  <si>
    <t>CONE DE VENTILATEUR 1414076A</t>
  </si>
  <si>
    <t>087133</t>
  </si>
  <si>
    <t>DEJA CREE - article code 087133, ligne non retraitee.</t>
  </si>
  <si>
    <t>1414077A</t>
  </si>
  <si>
    <t>ENSEMBLE DE COUVERCLE SUPERIEUR 1414077A</t>
  </si>
  <si>
    <t>087134</t>
  </si>
  <si>
    <t>DEJA CREE - article code 087134, ligne non retraitee.</t>
  </si>
  <si>
    <t>1407698A</t>
  </si>
  <si>
    <t>TUBE 1407698A</t>
  </si>
  <si>
    <t>ARTICLE A IDENTIFIER - REFERENCE 1407698A</t>
  </si>
  <si>
    <t>Les recherches propres à 1407698A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</si>
  <si>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302436C</t>
  </si>
  <si>
    <t>JOINT 302436C</t>
  </si>
  <si>
    <t>ARTICLE A IDENTIFIER - REFERENCE 302436C</t>
  </si>
  <si>
    <t>Les recherches propres à 302436C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</si>
  <si>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308834A</t>
  </si>
  <si>
    <t>ELECTROVANNE 308834A</t>
  </si>
  <si>
    <t>ARTICLE A IDENTIFIER - REFERENCE 308834A</t>
  </si>
  <si>
    <t>Les recherches propres à 308834A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</si>
  <si>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308834D</t>
  </si>
  <si>
    <t>CONNECTEUR AVEC DIODE DE REDRESSEMENT 308834D</t>
  </si>
  <si>
    <t>ARTICLE A IDENTIFIER - REFERENCE 308834D</t>
  </si>
  <si>
    <t>Les recherches propres à 308834D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</si>
  <si>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308835A</t>
  </si>
  <si>
    <t>RACCORD RAPIDE 308835A</t>
  </si>
  <si>
    <t>ARTICLE A IDENTIFIER - REFERENCE 308835A</t>
  </si>
  <si>
    <t>Les recherches propres à 308835A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</si>
  <si>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308835B</t>
  </si>
  <si>
    <t>PRISE 308835B</t>
  </si>
  <si>
    <t>ARTICLE A IDENTIFIER - REFERENCE 308835B</t>
  </si>
  <si>
    <t>Les recherches propres à 308835B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</si>
  <si>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308835C</t>
  </si>
  <si>
    <t>BOUCHON FILETE 308835C</t>
  </si>
  <si>
    <t>ARTICLE A IDENTIFIER - REFERENCE 308835C</t>
  </si>
  <si>
    <t>Les recherches propres à 308835C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</si>
  <si>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308835D</t>
  </si>
  <si>
    <t>RACCORD RAPIDE 308835D</t>
  </si>
  <si>
    <t>ARTICLE A IDENTIFIER - REFERENCE 308835D</t>
  </si>
  <si>
    <t>Les recherches propres à 308835D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</si>
  <si>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308835E</t>
  </si>
  <si>
    <t>RACCORD BANJO 308835E</t>
  </si>
  <si>
    <t>ARTICLE A IDENTIFIER - REFERENCE 308835E</t>
  </si>
  <si>
    <t>Les recherches propres à 308835E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</si>
  <si>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308835F</t>
  </si>
  <si>
    <t>DISTRIBUTEUR 352 308835F</t>
  </si>
  <si>
    <t>ARTICLE A IDENTIFIER - REFERENCE 308835F</t>
  </si>
  <si>
    <t>Les recherches propres à 308835F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</si>
  <si>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308835G</t>
  </si>
  <si>
    <t>RACCORD RAPIDE 308835G</t>
  </si>
  <si>
    <t>ARTICLE A IDENTIFIER - REFERENCE 308835G</t>
  </si>
  <si>
    <t>Eximpedia reproduit une occurrence publique « QUICK COUPLING 308835G » sur une page John Bean Technologies AB, mais les recherches et pages générales JBT Marel et Parts Town ne prouvent ni fabricant ni configuration exacte ; la nomenclature jointe demeure inaccessible. Photo : Aucune URL d’image éditeur exacte vue dans la consultation des pages ; aucune fiche publique de cette pièce saisie comme JBT trouvée et nomenclature jointe inaccessible.</t>
  </si>
  <si>
    <t>308835L</t>
  </si>
  <si>
    <t>DISTRIBUTEUR 353 308835L</t>
  </si>
  <si>
    <t>ARTICLE A IDENTIFIER - REFERENCE 308835L</t>
  </si>
  <si>
    <t>Les recherches propres à 308835L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</si>
  <si>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308835N</t>
  </si>
  <si>
    <t>RACCORD RAPIDE 308835N</t>
  </si>
  <si>
    <t>ARTICLE A IDENTIFIER - REFERENCE 308835N</t>
  </si>
  <si>
    <t>Les recherches propres à 308835N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</si>
  <si>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F9098C</t>
  </si>
  <si>
    <t>POMPE A HUILE F9098C</t>
  </si>
  <si>
    <t>ARTICLE A IDENTIFIER - REFERENCE F9098C</t>
  </si>
  <si>
    <t>Les recherches propres à F9098C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</si>
  <si>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302447B</t>
  </si>
  <si>
    <t>TUBE NYLON Ø 6X1,25 302447B</t>
  </si>
  <si>
    <t>ARTICLE A IDENTIFIER - REFERENCE 302447B</t>
  </si>
  <si>
    <t>Les recherches propres à 302447B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</si>
  <si>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3005570BA</t>
  </si>
  <si>
    <t>MOTEUR 71LP/4 HM 3005570BA</t>
  </si>
  <si>
    <t>MOTEUR ASYNCHRONE SERIE 71 LP/4 - CONFIGURATION A VALIDER 3005570BA</t>
  </si>
  <si>
    <t>Termes techniques issus exclusivement des sources vérifiées du 07/10/2026, reformulés selon l usage de la famille. Portée limitée à la série : cette proposition ne valide pas la variante ni les détails de saisie exclus des sources. Sources : Ratsit — John Bean Technologies AB — personne morale suédoise active; Hitta — John Bean Technologies AB — société mère JBT Corp; Parts Town — JBT Replacement Parts — catalogue général, sans preuve de ce code; JBT Marel — Spare parts — offre générale, sans catalogue de codes; NORD DRIVESYSTEMS — 71 LP/4 — variante HMT, n° 32410083, portée série uniquement; Imtek Engineering — Nord 71LP/4 Motor — type de base</t>
  </si>
  <si>
    <t>Saisie d origine uniquement, majuscules/espacement d unités et traduction usuelle sans ajout de caractéristiques. Nature source MOTEUR déjà présente : 6/29 codes distincts, soit 20.7%. Conservée même minoritaire. Dominante MOTEUR : 6/29, soit 20.7% ; seuil d éligibilité 30 %, jamais une validation technique.</t>
  </si>
  <si>
    <t>La boutique NORD publie le type 71 LP/4 dans une variante HMT et Imtek le type 71LP/4, mais le suffixe HM saisi et le lien au code JBT 3005570BA ne sont pas prouvés ; aucune tension ni puissance de la variante voisine n’est transposée. La marque est laissée non confirmée : les sources identifient une société ou une série, pas le fabricant de la variante demandée. Photo : Seules des séries/types NORD sont attestés ; configuration liée au code JBT non confirmée et aucune URL d’image exacte renvoyée par la consultation des pages.</t>
  </si>
  <si>
    <t>3005570X</t>
  </si>
  <si>
    <t>REDUCTEUR SK0282.1AXF 3005570X</t>
  </si>
  <si>
    <t>REDUCTEUR A ARBRES PARALLELES SERIE 0282.1 - CONFIGURATION A VALIDER 3005570X</t>
  </si>
  <si>
    <t>Termes techniques issus exclusivement des sources vérifiées du 07/10/2026, reformulés selon l usage de la famille. Portée limitée à la série : cette proposition ne valide pas la variante ni les détails de saisie exclus des sources. Sources : Ratsit — John Bean Technologies AB — personne morale suédoise active; Hitta — John Bean Technologies AB — société mère JBT Corp; Parts Town — JBT Replacement Parts — catalogue général, sans preuve de ce code; JBT Marel — Spare parts — offre générale, sans catalogue de codes; NORD DRIVESYSTEMS — NORD's Small Parallel Shaft Gear Units — série 0282.1; Chem17 / 赛威传动技术（嘉兴）有限公司 — Pignon pour SK0282.1AXF — annonce de composant, non fiche du réducteur</t>
  </si>
  <si>
    <t>NORD confirme la série 0282.1 et Chem17 cite SK0282.1AXF pour un pignon de rechange, sans fiche constructeur de la configuration AXF complète ni équivalence au code JBT 3005570X. La marque est laissée non confirmée : les sources identifient une société ou une série, pas le fabricant de la variante demandée. Photo : Seules des séries/types NORD sont attestés ; configuration liée au code JBT non confirmée et aucune URL d’image exacte renvoyée par la consultation des pages.</t>
  </si>
  <si>
    <t>3005570BAX</t>
  </si>
  <si>
    <t>MOTOREDUCTEUR SK0282.1AXF 71LP/4 3005570BAX</t>
  </si>
  <si>
    <t>MOTOREDUCTEUR A ARBRES PARALLELES TYPES 0282.1 ET 71 LP/4 - ASSEMBLAGE A VALIDER 3005570BAX</t>
  </si>
  <si>
    <t>Termes techniques issus exclusivement des sources vérifiées du 07/10/2026, reformulés selon l usage de la famille. Portée limitée à la série : cette proposition ne valide pas la variante ni les détails de saisie exclus des sources. Sources : Ratsit — John Bean Technologies AB — personne morale suédoise active; Hitta — John Bean Technologies AB — société mère JBT Corp; Parts Town — JBT Replacement Parts — catalogue général, sans preuve de ce code; JBT Marel — Spare parts — offre générale, sans catalogue de codes; NORD DRIVESYSTEMS — 71 LP/4 — variante HMT, n° 32410083, portée série uniquement; Imtek Engineering — Nord 71LP/4 Motor — type de base; NORD DRIVESYSTEMS — NORD's Small Parallel Shaft Gear Units — série 0282.1; Chem17 / 赛威传动技术（嘉兴）有限公司 — Pignon pour SK0282.1AXF — annonce de composant, non fiche du réducteur</t>
  </si>
  <si>
    <t>Saisie d origine uniquement, majuscules/espacement d unités et traduction usuelle sans ajout de caractéristiques. Nature source MOTOREDUCTEUR déjà présente : 3/29 codes distincts, soit 10.3%. Conservée même minoritaire. Dominante MOTEUR : 6/29, soit 20.7% ; seuil d éligibilité 30 %, jamais une validation technique.</t>
  </si>
  <si>
    <t>NORD confirme séparément les séries 0282.1 et 71 LP/4 et Chem17 cite AXF dans une annonce de pignon, mais aucune source ne prouve l’ensemble SK0282.1AXF 71LP/4 ni son équivalence au code JBT 3005570BAX. La marque est laissée non confirmée : les sources identifient une société ou une série, pas le fabricant de la variante demandée. Photo : Seules des séries/types NORD sont attestés ; configuration liée au code JBT non confirmée et aucune URL d’image exacte renvoyée par la consultation des pages.</t>
  </si>
  <si>
    <t>109394</t>
  </si>
  <si>
    <t>BANDE DE GLISSEMENT 109394</t>
  </si>
  <si>
    <t>Référence confirmée par distributeur ; VALIDER - CHAMPS NON CONFIRMES</t>
  </si>
  <si>
    <t>BANDE D'USURE DE GUIDAGE DE CHAINE DE CONVOYEUR LONGUEUR 415 MM 109394</t>
  </si>
  <si>
    <t>Termes techniques issus exclusivement des sources vérifiées du 07/10/2026, reformulés selon l usage de la famille. Sources : Ratsit — John Bean Technologies AB — personne morale suédoise active; Hitta — John Bean Technologies AB — société mère JBT Corp; Parts Town — JBT Replacement Parts — catalogue général, sans preuve de ce code; JBT Marel — Spare parts — offre générale, sans catalogue de codes; Heritage Equipment — Conveyor chain guide wear strip, 109394 FMC FoodTech</t>
  </si>
  <si>
    <t>Saisie d origine uniquement, majuscules/espacement d unités et traduction usuelle sans ajout de caractéristiques. Nature source BANDE déjà présente : 1/29 codes distincts, soit 3.4%. Conservée même minoritaire. Dominante MOTEUR : 6/29, soit 20.7% ; seuil d éligibilité 30 %, jamais une validation technique.</t>
  </si>
  <si>
    <t>Heritage Equipment publie la référence exacte 109394 comme bande d’usure de guidage de chaîne FMC FoodTech, devenu JBT FoodTech, mais aucune publication de ce code chez John Bean Technologies AB ni compatibilité SPI6 n’a été établie. Photo : Fiche exacte ouverte, mais aucune URL de photo éditeur n’a été renvoyée par l’outil texte.</t>
  </si>
  <si>
    <t>1382821B</t>
  </si>
  <si>
    <t>BANDE DE GLISSEMENT L=289 1382821B</t>
  </si>
  <si>
    <t>ARTICLE A IDENTIFIER - REFERENCE 1382821B</t>
  </si>
  <si>
    <t>Les recherches propres à 1382821B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</si>
  <si>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1383375A</t>
  </si>
  <si>
    <t>GUIDE DE COURROIE 1383375A</t>
  </si>
  <si>
    <t>ARTICLE A IDENTIFIER - REFERENCE 1383375A</t>
  </si>
  <si>
    <t>Les recherches propres à 1383375A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</si>
  <si>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BANDE DE GLISSEMENT L=493 1382821A</t>
  </si>
  <si>
    <t>ARTICLE A IDENTIFIER - REFERENCE 1382821A</t>
  </si>
  <si>
    <t>Les recherches propres à 1382821A et les pages générales Parts Town et JBT Marel « Spare parts » ne fournissent aucune fiche exacte exploitable, tandis que Ratsit et Hitta confirment seulement le fournisseur John Bean Technologies AB, la nomenclature machine jointe restant inaccessible. Photo : Aucune URL d’image éditeur exacte vue dans la consultation des pages ; aucune fiche publique de cette pièce saisie comme JBT trouvée et nomenclature jointe inaccessible.</t>
  </si>
  <si>
    <t>4526703</t>
  </si>
  <si>
    <t>BANDE DE GLISSEMENT APRES LA SORTIE 4526703</t>
  </si>
  <si>
    <t>ARTICLE A IDENTIFIER - REFERENCE 4526703</t>
  </si>
  <si>
    <t>Les recherches propres à 4526703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</si>
  <si>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305337V</t>
  </si>
  <si>
    <t>BAGUE D'ETANCHEITE ALU/ SEAL RING ALU R1" D11-1 TH2,5 305337V</t>
  </si>
  <si>
    <t>ARTICLE A IDENTIFIER - REFERENCE 305337V</t>
  </si>
  <si>
    <t>Saisie d origine uniquement, majuscules/espacement d unités et traduction usuelle sans ajout de caractéristiques. Nature source BAGUE déjà présente : 2/29 codes distincts, soit 6.9%. Conservée même minoritaire. Dominante MOTEUR : 6/29, soit 20.7% ; seuil d éligibilité 30 %, jamais une validation technique.</t>
  </si>
  <si>
    <t>Les recherches exactes de 305337V et de la bague « seal ring D11-1 » épaisseur 2.5 mm n’ont identifié aucun catalogue correspondant, les cotes et l’aluminium restant des données de saisie non validées, tandis que la seule identité de John Bean Technologies AB est attestée par Allabolag (https://www.allabolag.se/foretag/john-bean-technologies-ab/helsingborg/producenter/2JYS9ZWI63IK3) et JBT Marel (https://jbtmarel.com/media/ds3h2i1e/stein-twindrum-600-en.pdf). Photo : Aucune URL d’image éditeur rattachée à cette référence n’a été exposée par les pages consultées ; absence normale pour une pièce propriétaire sans fiche publique.</t>
  </si>
  <si>
    <t>305337W</t>
  </si>
  <si>
    <t>BAGUE D'ETANCHEITE ALU/ SEAL RING ALU R1" D11-1 TH3MM 305337W</t>
  </si>
  <si>
    <t>ARTICLE A IDENTIFIER - REFERENCE 305337W</t>
  </si>
  <si>
    <t>BAGUE D'ETANCHEITE ALU/ SEAL RING ALU R1" D11-1 TH3 MM 305337 W 305337W</t>
  </si>
  <si>
    <t>Les recherches exactes de 305337W et de la bague « seal ring D11-1 » épaisseur 3 mm n’ont identifié aucun catalogue correspondant, les cotes et l’aluminium restant des données de saisie non validées, tandis que la seule identité de John Bean Technologies AB est attestée par Allabolag (https://www.allabolag.se/foretag/john-bean-technologies-ab/helsingborg/producenter/2JYS9ZWI63IK3) et JBT Marel (https://jbtmarel.com/media/ds3h2i1e/stein-twindrum-600-en.pdf). Photo : Aucune URL d’image éditeur rattachée à cette référence n’a été exposée par les pages consultées ; absence normale pour une pièce propriétaire sans fiche publique.</t>
  </si>
  <si>
    <t>305337X</t>
  </si>
  <si>
    <t>BAGUE D'ETANCHEITE ALU/ SEAL RING ALU R1" D11-1 TH2MM 305337X</t>
  </si>
  <si>
    <t>ARTICLE A IDENTIFIER - REFERENCE 305337X</t>
  </si>
  <si>
    <t>BAGUE D'ETANCHEITE ALU/ SEAL RING ALU R1" D11-1 TH2 MM 305337X</t>
  </si>
  <si>
    <t>Les recherches exactes de 305337X et de la bague « seal ring D11-1 » épaisseur 2 mm n’ont identifié aucun catalogue correspondant, les cotes et l’aluminium restant des données de saisie non validées, tandis que la seule identité de John Bean Technologies AB est attestée par Allabolag (https://www.allabolag.se/foretag/john-bean-technologies-ab/helsingborg/producenter/2JYS9ZWI63IK3) et JBT Marel (https://jbtmarel.com/media/ds3h2i1e/stein-twindrum-600-en.pdf). Photo : Aucune URL d’image éditeur rattachée à cette référence n’a été exposée par les pages consultées ; absence normale pour une pièce propriétaire sans fiche publique.</t>
  </si>
  <si>
    <t>305337Y</t>
  </si>
  <si>
    <t>BAGUE D'ETANCHEITE ALU/SEAL RING ALU R1" D11-1 TH1,5 305337Y</t>
  </si>
  <si>
    <t>ARTICLE A IDENTIFIER - REFERENCE 305337Y</t>
  </si>
  <si>
    <t>Les recherches exactes de 305337Y et de la bague « seal ring D11-1 » épaisseur 1.5 mm n’ont identifié aucun catalogue correspondant, les cotes et l’aluminium restant des données de saisie non validées, tandis que la seule identité de John Bean Technologies AB est attestée par Allabolag (https://www.allabolag.se/foretag/john-bean-technologies-ab/helsingborg/producenter/2JYS9ZWI63IK3) et JBT Marel (https://jbtmarel.com/media/ds3h2i1e/stein-twindrum-600-en.pdf). Photo : Aucune URL d’image éditeur rattachée à cette référence n’a été exposée par les pages consultées ; absence normale pour une pièce propriétaire sans fiche publique.</t>
  </si>
  <si>
    <t>201654A</t>
  </si>
  <si>
    <t>GOUPILLE SUPERIEUR 201654A</t>
  </si>
  <si>
    <t>ARTICLE A IDENTIFIER - REFERENCE 201654A</t>
  </si>
  <si>
    <t>Les recherches propres à 201654A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</si>
  <si>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201655A</t>
  </si>
  <si>
    <t>GOUPILLE INFERIEUR 201655A</t>
  </si>
  <si>
    <t>ARTICLE A IDENTIFIER - REFERENCE 201655A</t>
  </si>
  <si>
    <t>Les recherches propres à 201655A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</si>
  <si>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300057C</t>
  </si>
  <si>
    <t>BUSE DE PULVERISATION /SPRAY NOZZLE 1/2 HH SOW 300057C</t>
  </si>
  <si>
    <t>BUSE A JET CONIQUE PLEIN SERIE FULLJET HH W - VARIANTE A VALIDER 300057C</t>
  </si>
  <si>
    <t>Termes techniques issus exclusivement des sources vérifiées du 07/10/2026, reformulés selon l usage de la famille. Portée limitée à la série : cette proposition ne valide pas la variante ni les détails de saisie exclus des sources. Sources : Allabolag (sources Bolagsverket/SCB/Skatteverket) — John Bean Technologies AB — informations légales 556084-8284; Ratsit — John Bean Technologies AB — identité juridique; JBT Marel — Stein TwinDrum 600 — identité fournisseur uniquement; Spraying Systems Co. — FullJet Nozzle, Brass, 1/2HH-50W — variante voisine</t>
  </si>
  <si>
    <t>La page Spraying Systems Co. (https://portal.spray.com/en-us/products/1-2hh-50w) établit la famille FullJet HH-W et la variante voisine 1/2HH-50W, mais ne publie ni la graphie exacte « 1/2 HH SOW » ni le code JBT 300057C, la raison sociale du fournisseur étant vérifiée séparément. La marque est laissée non confirmée : les sources identifient une société ou une série, pas le fabricant de la variante demandée. Photo : Page d’une variante voisine seulement ; images déclarées représentatives et aucune URL d’image admissible exposée.</t>
  </si>
  <si>
    <t>301916H</t>
  </si>
  <si>
    <t>BUSE DE PULVERISATION /SPRAY NOZZLE HB3/4 USS80200 301916H</t>
  </si>
  <si>
    <t>HB3/4U-SS80200</t>
  </si>
  <si>
    <t>Spraying Systems Co.</t>
  </si>
  <si>
    <t>Composant standard identifié via la désignation saisie ; code JBT non publié ; VALIDER - CHAMPS NON CONFIRMES</t>
  </si>
  <si>
    <t>BUSE VEEJET À JET PLAT EN ACIER INOXYDABLE 303, HB3/4U-SS80200 301916H</t>
  </si>
  <si>
    <t>Reformulation française du libellé constructeur de la référence vérifiée. Source : Allabolag (sources Bolagsverket/SCB/Skatteverket) — John Bean Technologies AB — informations légales 556084-8284; JBT Marel — Stein TwinDrum 600 — identité fournisseur uniquement; Spraying Systems Co. — VeeJet Nozzle, 303 Stainless Steel, HB3/4U-SS80200</t>
  </si>
  <si>
    <t>BUSE VEEJET A JET PLAT INOX 303 RACCORD MALE BSPT 3/4 POUCE 301916H</t>
  </si>
  <si>
    <t>Termes techniques issus exclusivement des sources vérifiées du 07/10/2026, reformulés selon l usage de la famille. Sources : Allabolag (sources Bolagsverket/SCB/Skatteverket) — John Bean Technologies AB — informations légales 556084-8284; Ratsit — John Bean Technologies AB — identité juridique; JBT Marel — Stein TwinDrum 600 — identité fournisseur uniquement; Spraying Systems Co. — VeeJet Nozzle, 303 Stainless Steel, HB3/4U-SS80200</t>
  </si>
  <si>
    <t>La page fabricant Spraying Systems Co. (https://portal.spray.com/en-us/products/hb3-4u-ss80200) publie exactement HB3/4U-SS80200, correspondant aux éléments du code composant saisi « HB3/4 USS80200 » après rétablissement de la ponctuation fabricant, sans établir que le code JBT 301916H désigne ce composant ni sa publication chez John Bean Technologies AB. La référence fabricant du composant est publiée ; le recodage JBT 301916H reste à documenter. Photo : La page fabricant signale des images représentatives pouvant différer en matière/configuration et les outils n’exposent aucune URL d’image exacte admissible.</t>
  </si>
  <si>
    <t>302406B</t>
  </si>
  <si>
    <t>BUSE DE PULVERISATION /SPRAY NOZZLE 632.847.16.CC 302406B</t>
  </si>
  <si>
    <t>BUSE BASSE PRESSION A JET PLAT SERIE 632/633 - VARIANTE A VALIDER 302406B</t>
  </si>
  <si>
    <t>Termes techniques issus exclusivement des sources vérifiées du 07/10/2026, reformulés selon l usage de la famille. Portée limitée à la série : cette proposition ne valide pas la variante ni les détails de saisie exclus des sources. Sources : Allabolag (sources Bolagsverket/SCB/Skatteverket) — John Bean Technologies AB — informations légales 556084-8284; Ratsit — John Bean Technologies AB — identité juridique; JBT Marel — Stein TwinDrum 600 — identité fournisseur uniquement; Lechler — Low pressure flat fan nozzles — Series 632/633; Lechler — Flat fan nozzles — Series 632/633, shipbuilding</t>
  </si>
  <si>
    <t>Le catalogue officiel Lechler (https://www.lechler.com/fileadmin/media/kataloge/pdfs/industrie/katalog/EN/04_flachstrahl/lechler_flat_fan_nozzles_series_632_633.pdf) établit la famille 632/633 et le type 632.847, sans preuve univoque de la combinaison complète 632.847.16.CC dans le texte extrait des tableaux ni du code JBT 302406B, John Bean Technologies AB étant vérifié séparément. La marque est laissée non confirmée : les sources identifient une société ou une série, pas le fabricant de la variante demandée. Photo : Documentation de famille seulement ; aucune URL d’image éditeur rattachée à la configuration exacte exposée par les pages consultées.</t>
  </si>
  <si>
    <t>302406C</t>
  </si>
  <si>
    <t>BUSE DE PULVERISATION /SPRAY NOZZLE 632.964.16.CC 302406C</t>
  </si>
  <si>
    <t>BUSE BASSE PRESSION A JET PLAT SERIE 632/633 - VARIANTE A VALIDER 302406C</t>
  </si>
  <si>
    <t>Termes techniques issus exclusivement des sources vérifiées du 07/10/2026, reformulés selon l usage de la famille. Portée limitée à la série : cette proposition ne valide pas la variante ni les détails de saisie exclus des sources. Sources : Allabolag (sources Bolagsverket/SCB/Skatteverket) — John Bean Technologies AB — informations légales 556084-8284; Ratsit — John Bean Technologies AB — identité juridique; JBT Marel — Stein TwinDrum 600 — identité fournisseur uniquement; Lechler — Low pressure flat fan nozzles — Series 632/633</t>
  </si>
  <si>
    <t>Le catalogue officiel Lechler (https://www.lechler.com/fileadmin/media/kataloge/pdfs/industrie/katalog/EN/04_flachstrahl/lechler_flat_fan_nozzles_series_632_633.pdf) établit la famille 632/633 et le type 632.964, sans preuve univoque de la combinaison complète 632.964.16.CC dans le texte extrait des tableaux ni du code JBT 302406C, John Bean Technologies AB étant vérifié séparément. La marque est laissée non confirmée : les sources identifient une société ou une série, pas le fabricant de la variante demandée. Photo : Documentation de famille seulement ; aucune URL d’image éditeur rattachée à la configuration exacte exposée par les pages consultées.</t>
  </si>
  <si>
    <t>302456A</t>
  </si>
  <si>
    <t>COLLIER DE SERRAGE POUR TUBE 25/33,7/38 302456A</t>
  </si>
  <si>
    <t>ARTICLE A IDENTIFIER - REFERENCE 302456A</t>
  </si>
  <si>
    <t>Les recherches propres à 302456A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</si>
  <si>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302457A</t>
  </si>
  <si>
    <t>JOINT DE TUBE 25 TYPE A 302457A</t>
  </si>
  <si>
    <t>ARTICLE A IDENTIFIER - REFERENCE 302457A</t>
  </si>
  <si>
    <t>La copie tierce « Despiece Tunel Frigoscandia » (https://pdfcookie.com/documents/despiece-tunel-frigoscandia-90259yq78kl1) mentionne exactement 302457A comme « Tube gasket » pour un GYROCOMPACT 600 Classic sous FMC FoodTech, mais ne prouve ni le diamètre 25/type A saisi ni l’application SPI6 ni un rattachement explicite de ce code à JBT, le fournisseur suédois étant vérifié séparément. La copie tierce de nomenclature non authentifiée n est pas utilisée pour valider le produit ou sa nature. Photo : Copie textuelle tierce de nomenclature ; aucune URL d’image éditeur admissible et aucune configuration SPI6 authentifiée.</t>
  </si>
  <si>
    <t>302457B</t>
  </si>
  <si>
    <t>JOINT DE TUBE 33,7 TYPE A 302457B</t>
  </si>
  <si>
    <t>ARTICLE A IDENTIFIER - REFERENCE 302457B</t>
  </si>
  <si>
    <t>Les recherches propres à 302457B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</si>
  <si>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ARTICLE A IDENTIFIER - REFERENCE 303864A</t>
  </si>
  <si>
    <t>Les recherches propres à 303864A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</si>
  <si>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303864F</t>
  </si>
  <si>
    <t>BUSE ROTATIVE 303864F</t>
  </si>
  <si>
    <t>ARTICLE A IDENTIFIER - REFERENCE 303864F</t>
  </si>
  <si>
    <t>Les recherches propres à 303864F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</si>
  <si>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304912A</t>
  </si>
  <si>
    <t>VANNE DN20 3/4" 304912A</t>
  </si>
  <si>
    <t>ARTICLE A IDENTIFIER - REFERENCE 304912A</t>
  </si>
  <si>
    <t>Les recherches propres à 304912A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</si>
  <si>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304912B</t>
  </si>
  <si>
    <t>VANNE DN32 1 1/4” 304912B</t>
  </si>
  <si>
    <t>ARTICLE A IDENTIFIER - REFERENCE 304912B</t>
  </si>
  <si>
    <t>Les recherches propres à 304912B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</si>
  <si>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305333A</t>
  </si>
  <si>
    <t>BUSE ROTATIVE ORIENTABLE VERS LE HAUT 180° 305333A</t>
  </si>
  <si>
    <t>ARTICLE A IDENTIFIER - REFERENCE 305333A</t>
  </si>
  <si>
    <t>Les recherches propres à 305333A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</si>
  <si>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306441A</t>
  </si>
  <si>
    <t>JAUGE DE PRESSION /MANOMETRE 306441A</t>
  </si>
  <si>
    <t>ARTICLE A IDENTIFIER - REFERENCE 306441A</t>
  </si>
  <si>
    <t>Les recherches propres à 306441A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</si>
  <si>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306516B</t>
  </si>
  <si>
    <t>VANNE DN25 1" 306516B</t>
  </si>
  <si>
    <t>ARTICLE A IDENTIFIER - REFERENCE 306516B</t>
  </si>
  <si>
    <t>Les recherches propres à 306516B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</si>
  <si>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309014A</t>
  </si>
  <si>
    <t>ANNEAU DE 25MM 309014A</t>
  </si>
  <si>
    <t>ARTICLE A IDENTIFIER - REFERENCE 309014A</t>
  </si>
  <si>
    <t>ANNEAU DE 25 MM 309014A</t>
  </si>
  <si>
    <t>Les recherches propres à 309014A ne fournissent aucune preuve publique de cette pièce ni de son rattachement à JBT, tandis que John Bean Technologies AB est attesté par Allabolag (https://www.allabolag.se/foretag/john-bean-technologies-ab/helsingborg/producenter/2JYS9ZWI63IK3), Ratsit (https://www.ratsit.se/5560848284-John_Bean_Technologies_AB) et la brochure officielle JBT Marel (https://jbtmarel.com/media/ds3h2i1e/stein-twindrum-600-en.pdf), uniquement pour l’identité du fournisseur. Photo : Aucune URL d’image éditeur rattachée à cette référence n’a été exposée par les pages consultées ; absence normale pour une pièce propriétaire sans fiche publique.</t>
  </si>
  <si>
    <t>350030B</t>
  </si>
  <si>
    <t>BUSE DE PULVERISATION A JET CONIQUE /SPRAY NOZZLE CONE 3/8"NPT 350030B</t>
  </si>
  <si>
    <t>087131</t>
  </si>
  <si>
    <t>DEJA CREE - article code 087131, ligne non retraitee.</t>
  </si>
  <si>
    <t>206856A</t>
  </si>
  <si>
    <t>PIGNON /SPROCKET L=10 206856A</t>
  </si>
  <si>
    <t>087125</t>
  </si>
  <si>
    <t>DEJA CREE - article code 087125, ligne non retraitee.</t>
  </si>
  <si>
    <t>300571A</t>
  </si>
  <si>
    <t>TUYAU EN PLASTIQUE Ø8/6MM L=100 300571A</t>
  </si>
  <si>
    <t>087124</t>
  </si>
  <si>
    <t>DEJA CREE - article code 087124, ligne non retraitee.</t>
  </si>
  <si>
    <t>201132A</t>
  </si>
  <si>
    <t>BROCHE/SPINDLE L=140 201132A</t>
  </si>
  <si>
    <t>087120</t>
  </si>
  <si>
    <t>DEJA CREE - article code 087120, ligne non retraitee.</t>
  </si>
  <si>
    <t>201082A</t>
  </si>
  <si>
    <t>RONDELLE L=8 201082A</t>
  </si>
  <si>
    <t>087118</t>
  </si>
  <si>
    <t>DEJA CREE - article code 087118, ligne non retraitee.</t>
  </si>
  <si>
    <t>320570A</t>
  </si>
  <si>
    <t>RACCORD UNION R-131 U DN20 320570A</t>
  </si>
  <si>
    <t>087116</t>
  </si>
  <si>
    <t>DEJA CREE - article code 087116, ligne non retraitee.</t>
  </si>
  <si>
    <t>TL-SG105S</t>
  </si>
  <si>
    <t>TP-LINK</t>
  </si>
  <si>
    <t>SWITCH 5-PORTS GIGABIT RJ45 10/100/1000 MBPS</t>
  </si>
  <si>
    <t>106125 INFORMATIQUE : SWITCHS / HUBS</t>
  </si>
  <si>
    <t>SONEPAR PORTUGAL, S.A.</t>
  </si>
  <si>
    <t>086959</t>
  </si>
  <si>
    <t>DEJA CREE - article code 086959, ligne non retraitee.</t>
  </si>
  <si>
    <t>EE1000PR-IP66</t>
  </si>
  <si>
    <t>STAD</t>
  </si>
  <si>
    <t>ENCODER STAD REF. EE1000PR-IP66</t>
  </si>
  <si>
    <t>STAD SRL</t>
  </si>
  <si>
    <t>087014</t>
  </si>
  <si>
    <t>DEJA CREE - article code 087014, ligne non retraitee.</t>
  </si>
  <si>
    <t>SCBL5000</t>
  </si>
  <si>
    <t>CAPTEUR DE FORCE A COMPRESSION INOX SCHL 17-4PH IP68 5000 KG</t>
  </si>
  <si>
    <t>106245 MESURE ET REGULATION : MESURE DE POIDS / JAUGE</t>
  </si>
  <si>
    <t>086967</t>
  </si>
  <si>
    <t>DEJA CREE - article code 086967, ligne non retraitee.</t>
  </si>
  <si>
    <t>SV10000</t>
  </si>
  <si>
    <t>KIT MONTAGE POUR PESEE DE TREMIES POUR CAPTEUR DE FORCE SCBL</t>
  </si>
  <si>
    <t>087136</t>
  </si>
  <si>
    <t>DEJA CREE - article code 087136, ligne non retraitee.</t>
  </si>
  <si>
    <t>SFCOL200</t>
  </si>
  <si>
    <t>CAPTEUR DE FLEXION SFCOL 200KG INOX 17-4 PH. IP68 SORTIE CABLE 3 M</t>
  </si>
  <si>
    <t>087043</t>
  </si>
  <si>
    <t>DEJA CREE - article code 087043, ligne non retraitee.</t>
  </si>
  <si>
    <t>COBRA465</t>
  </si>
  <si>
    <t>MICROCONTROLEUR COBRA 465</t>
  </si>
  <si>
    <t>106200 MESURE ET REGULATION</t>
  </si>
  <si>
    <t>087135</t>
  </si>
  <si>
    <t>DEJA CREE - article code 087135, ligne non retraitee.</t>
  </si>
  <si>
    <t>SFCOL20</t>
  </si>
  <si>
    <t>CAPTEUR DE FLEXION SFCOL 20KG INOX 17-4 PH. IP68 SORTIE CABLE 3 M</t>
  </si>
  <si>
    <t>087045</t>
  </si>
  <si>
    <t>DEJA CREE - article code 087045, ligne non retraitee.</t>
  </si>
  <si>
    <t>P171523</t>
  </si>
  <si>
    <t>FILTRE HYDRAULIQUE A CARTOUCHE</t>
  </si>
  <si>
    <t>115900 HYDRAULIQUE : FILTRES</t>
  </si>
  <si>
    <t>DONALDSON ULTRAFILTER SAS VIGNY FR 95</t>
  </si>
  <si>
    <t>087047</t>
  </si>
  <si>
    <t>DEJA CREE - article code 087047, ligne non retraitee.</t>
  </si>
  <si>
    <t>C3-805</t>
  </si>
  <si>
    <t>SOUTHCO</t>
  </si>
  <si>
    <t>LOQUET DE PORTE A FERMETURE</t>
  </si>
  <si>
    <t>155500 VISSERIE FIXATION : QUINCAILLERIE (CADENAS, à)</t>
  </si>
  <si>
    <t>227-0920</t>
  </si>
  <si>
    <t>087138</t>
  </si>
  <si>
    <t>DEJA CREE - article code 087138, ligne non retraitee.</t>
  </si>
  <si>
    <t>41-05080-0-01</t>
  </si>
  <si>
    <t>JEU DE CALIBRATION AXES ROBOT D2-1000 AS-2798 ENCAISSEUSE ETC20 B4 41-05080-0-01</t>
  </si>
  <si>
    <t>ET PACK devis jeu de calibration encaisseuse b4 DEVIS_20936-.pdf</t>
  </si>
  <si>
    <t>087137</t>
  </si>
  <si>
    <t>DEJA CREE - article code 087137, ligne non retraitee.</t>
  </si>
  <si>
    <t>MC07B0004-2B1-4-00/FSE24B</t>
  </si>
  <si>
    <t>VARIATEUR 0.37KW, MONO 240V AVEC FILTRE + CARTE COM. ECAT MC07B0004-2B1-4-00/FSE24B</t>
  </si>
  <si>
    <t>24-02653-0-01</t>
  </si>
  <si>
    <t>VARIATEUR 0.37KW DEVIS_20942-.pdf</t>
  </si>
  <si>
    <t>087139</t>
  </si>
  <si>
    <t>DEJA CREE - article code 087139, ligne non retraitee.</t>
  </si>
  <si>
    <t>915165</t>
  </si>
  <si>
    <t>CONTINENTAL</t>
  </si>
  <si>
    <t>TUYAU MOYENNE PRESSION BLEU SUPER RAGNO N ACQUA 20M 1/2""M X 1/2""F ACIER INOXYDABLE</t>
  </si>
  <si>
    <t>110800 TUYAUTERIE</t>
  </si>
  <si>
    <t>SCALHIDRAULICA, UNIPESSOAL LDA</t>
  </si>
  <si>
    <t>087050</t>
  </si>
  <si>
    <t>DEJA CREE - article code 087050, ligne non retraitee.</t>
  </si>
  <si>
    <t>10.2W00.05</t>
  </si>
  <si>
    <t>BALFLEX</t>
  </si>
  <si>
    <t>TUYAU DE LAVAGE HP BALWASH 2SN 22X1,5F X 1/4F 15M</t>
  </si>
  <si>
    <t>087034</t>
  </si>
  <si>
    <t>DEJA CREE - article code 087034, ligne non retraitee.</t>
  </si>
  <si>
    <t>CRT102/00</t>
  </si>
  <si>
    <t>PENTAX</t>
  </si>
  <si>
    <t>POMPE CENTRIFUGE BASSE PRESSION TYPE CRT 102/00 1,2KW 2800TR 50-280L/MIN H=20,5M</t>
  </si>
  <si>
    <t>SCALBOMBAS REP E MONT ELECTOBOMBAS LDA</t>
  </si>
  <si>
    <t>IMP652CR102TP</t>
  </si>
  <si>
    <t>087140</t>
  </si>
  <si>
    <t>DEJA CREE - article code 087140, ligne non retraitee.</t>
  </si>
  <si>
    <t>96511844</t>
  </si>
  <si>
    <t>GARNITURE MECANIQUE HQQE P/CR10/15</t>
  </si>
  <si>
    <t>110320 ETANCHEITE : GARNITURES MECANIQUES</t>
  </si>
  <si>
    <t>MGL196511844</t>
  </si>
  <si>
    <t>087142</t>
  </si>
  <si>
    <t>DEJA CREE - article code 087142, ligne non retraitee.</t>
  </si>
  <si>
    <t>KH37 AQSH100/4</t>
  </si>
  <si>
    <t>REDUCTEUR CONIQUE KH37 AVEC ADAPTATEUR AQSH100/4 1400/49 TRS/MN ARBRE CREUX 19 MM</t>
  </si>
  <si>
    <t>SEW EURODRIVE PORTUGAL LDA</t>
  </si>
  <si>
    <t>087141</t>
  </si>
  <si>
    <t>DEJA CREE - article code 087141, ligne non retraitee.</t>
  </si>
  <si>
    <t>AF-153 450X410X2MM</t>
  </si>
  <si>
    <t>GAMBIT</t>
  </si>
  <si>
    <t>JOINT EN CARTON FDA 450X410X2MM</t>
  </si>
  <si>
    <t>ISMAEL ANTUNES DE SOUSA, LDA.</t>
  </si>
  <si>
    <t>087143</t>
  </si>
  <si>
    <t>DEJA CREE - article code 087143, ligne non retraitee.</t>
  </si>
  <si>
    <t>2-3250139</t>
  </si>
  <si>
    <t>CFT SPA</t>
  </si>
  <si>
    <t>TURBINE POUR VENTILATEUR DE REFROIDISSEMENT FRITURE</t>
  </si>
  <si>
    <t>150500 MOTEURS</t>
  </si>
  <si>
    <t>087223</t>
  </si>
  <si>
    <t>DEJA CREE - article code 087223, ligne non retraitee.</t>
  </si>
  <si>
    <t>C1070093</t>
  </si>
  <si>
    <t>JOULIN</t>
  </si>
  <si>
    <t>KIT DE REPARATION VERIN Ø32 C350 TELESCOPIQUE TBLD.032.0350</t>
  </si>
  <si>
    <t>JOULIN AERO ETAMPES FR 91</t>
  </si>
  <si>
    <t>devis kit de reparation verin joulin DV11970-A.pdf</t>
  </si>
  <si>
    <t>087241</t>
  </si>
  <si>
    <t>DEJA CREE - article code 087241, ligne non retraitee.</t>
  </si>
  <si>
    <t>DP...01298270002</t>
  </si>
  <si>
    <t>MOTOREDUCTEUR 4270 -C3.1.1 PORTE FMI HEUX.80.LR4 0.55KW 1400TR/MIN</t>
  </si>
  <si>
    <t>FMI (FERMETURES MENUISERIES ISOTHERMES) VIGNEUX-DE-BRETAGNE FR 44</t>
  </si>
  <si>
    <t>MOTOREDUCTEUR 4270 FMI DEVIS DM016656 BONDUELLE.pdf</t>
  </si>
  <si>
    <t>087242</t>
  </si>
  <si>
    <t>DEJA CREE - article code 087242, ligne non retraitee.</t>
  </si>
  <si>
    <t>00906361850-LC</t>
  </si>
  <si>
    <t>METALWORK</t>
  </si>
  <si>
    <t>KIT BANDE D'ETANCHEITE INFERIEUR ET SUPERIEUR VERIN SANS TIGE Ø63 C=1850 00906361850-LC</t>
  </si>
  <si>
    <t>110310 ETANCHEITE : AUTRES</t>
  </si>
  <si>
    <t>NOYER SAFIA DEXIS VENDIN-LE-VIEIL FR 62</t>
  </si>
  <si>
    <t>12839090</t>
  </si>
  <si>
    <t>DEVIS KIT BANDE ETANCHEITE DEFR0326-046569.pdf</t>
  </si>
  <si>
    <t>087240</t>
  </si>
  <si>
    <t>DEJA CREE - article code 087240, ligne non retraitee.</t>
  </si>
  <si>
    <t>E3Z-T86</t>
  </si>
  <si>
    <t>CELLULE PHOTOELECTRIQUE DE BARRAGE PNP CONNECTEUR M8 PORTEE 15M 12/24VDC EMETEUR/ RECEPTEUR E3Z-T86</t>
  </si>
  <si>
    <t>087063</t>
  </si>
  <si>
    <t>DEJA CREE - article code 087063, ligne non retraitee.</t>
  </si>
  <si>
    <t>RMH-ND-66-BK</t>
  </si>
  <si>
    <t>ELESA</t>
  </si>
  <si>
    <t>Aimants plats RoHS avec goujon fileté</t>
  </si>
  <si>
    <t>AK2S</t>
  </si>
  <si>
    <t>ELESA FRANCE</t>
  </si>
  <si>
    <t>FFR_38865</t>
  </si>
  <si>
    <t>Merci de corriger la famille, ce n'est pas de l'outillage/consommable</t>
  </si>
  <si>
    <t>ELESA FRANCE STANDARD MACHINE ELEMENTS</t>
  </si>
  <si>
    <t>Référence et marque confirmées (constructeur) ; VALIDER - CHAMPS NON CONFIRMES</t>
  </si>
  <si>
    <t>AIMANT PLAT AVEC GOUJON FILETÉ RMH-ND-66-BK</t>
  </si>
  <si>
    <t>Reformulation française du libellé constructeur de la référence vérifiée. Source : ELESA — RMH-ND-BK — Flat magnets; ELESA — RMH — Flat magnets with threaded pin; Annuaire des Entreprises — ELESA FRANCE STANDARD MACHINE ELEMENTS</t>
  </si>
  <si>
    <t>AIMANT PLAT NDFEB D 66 MM GOUJON M8 REVETEMENT TPE NOIR RMH-ND-66-BK</t>
  </si>
  <si>
    <t>Termes techniques issus exclusivement des sources vérifiées du 07/10/2026, reformulés selon l usage de la famille. Sources : ELESA — RMH-ND-BK — Flat magnets; ELESA — RMH — Flat magnets with threaded pin; Annuaire des Entreprises — ELESA FRANCE STANDARD MACHINE ELEMENTS</t>
  </si>
  <si>
    <t>AIMANTS PLATS ROHS AVEC GOUJON FILETÉ RMH-ND-66-BK</t>
  </si>
  <si>
    <t>Saisie d origine uniquement, majuscules/espacement d unités et traduction usuelle sans ajout de caractéristiques. Nature source conservée sans substitution sémantique : 1042 codes distincts de famille. Dominante RESSORT : 40/1042, soit 3.8% ; seuil d éligibilité 30 %, jamais une validation technique.</t>
  </si>
  <si>
    <t>La page ELESA RMH-ND-BK et la fiche RMH publient exactement RMH-ND-66-BK (501721), et l’Annuaire des Entreprises confirme l’identité d’ELESA France, sans preuve distincte du code dans son catalogue local. Photo : Aucune URL d’image éditeur exploitable n’a été renvoyée par les pages consultées.</t>
  </si>
  <si>
    <t>VALIDER - COMPOSANT DE CATALOGUE ; MERE 200000 INCOMPATIBLE. Libellé commercial précis à choisir dans le référentiel, sans supposition.</t>
  </si>
  <si>
    <t>PSD100CPNP</t>
  </si>
  <si>
    <t>COVAL</t>
  </si>
  <si>
    <t>Vacuostat électronique carré à affichage 3 couleurs série PSD</t>
  </si>
  <si>
    <t>COVAL SAS</t>
  </si>
  <si>
    <t>FFR_66168</t>
  </si>
  <si>
    <t>087144</t>
  </si>
  <si>
    <t>Attention code fournisseurs FRESH pour BELL -&gt; 66168</t>
  </si>
  <si>
    <t>DEJA CREE - article code 087144, ligne non retraitee.</t>
  </si>
  <si>
    <t>CMSM90X15SVOC14PG2K</t>
  </si>
  <si>
    <t>Mini-pompes à vide multi-étagées pilotées, CMSM_SVO_VVO</t>
  </si>
  <si>
    <t>087145</t>
  </si>
  <si>
    <t>DEJA CREE - article code 087145, ligne non retraitee.</t>
  </si>
  <si>
    <t>NRV4</t>
  </si>
  <si>
    <t>Nourrices à vide, série NVS - NVR - NVA</t>
  </si>
  <si>
    <t>087146</t>
  </si>
  <si>
    <t>Attention code fournisseurs FRESH pour BELL -&gt; 66170</t>
  </si>
  <si>
    <t>DEJA CREE - article code 087146, ligne non retraitee.</t>
  </si>
  <si>
    <t>19240</t>
  </si>
  <si>
    <t>Vérin normalisé DSNU-20-125-PPV-A</t>
  </si>
  <si>
    <t>FESTO BRY-SUR-MARNE FR 94</t>
  </si>
  <si>
    <t>087053</t>
  </si>
  <si>
    <t>DEJA CREE - article code 087053, ligne non retraitee.</t>
  </si>
  <si>
    <t>5138193</t>
  </si>
  <si>
    <t>Vérin compact ADN-S-50-30-I-P-A</t>
  </si>
  <si>
    <t>087055</t>
  </si>
  <si>
    <t>DEJA CREE - article code 087055, ligne non retraitee.</t>
  </si>
  <si>
    <t>8091435</t>
  </si>
  <si>
    <t>Vérin compact ADN-S-20-45-A-P-A</t>
  </si>
  <si>
    <t>087058</t>
  </si>
  <si>
    <t>DEJA CREE - article code 087058, ligne non retraitee.</t>
  </si>
  <si>
    <t>SME-8M-DS-24V-K-2,5-OE</t>
  </si>
  <si>
    <t>Détecteur pneumatique de position Festo</t>
  </si>
  <si>
    <t>004040</t>
  </si>
  <si>
    <t>Doublon avec l'article 004040 (CAPTEUR 12 30 V NO BIPOLAIRE 3 CONDUCTEUR SME 8). Demande non creee.</t>
  </si>
  <si>
    <t>DEJA CREE - article code 004040, ligne non retraitee.</t>
  </si>
  <si>
    <t>STHWICB20</t>
  </si>
  <si>
    <t>MISUMI</t>
  </si>
  <si>
    <t>Support d'arbre / bride ronde guidée, bride ronde aplatie des deux côtés / fendue (STHWICB20)</t>
  </si>
  <si>
    <t>???</t>
  </si>
  <si>
    <t>Merci d'ajouter un fournisseur pour cet article</t>
  </si>
  <si>
    <t>fournisseur non trouvé</t>
  </si>
  <si>
    <t>SUPPORT D'ARBRE À BRIDE RONDE APLATIE DES DEUX CÔTÉS, FENDU</t>
  </si>
  <si>
    <t>Reformulation française du libellé constructeur de la référence vérifiée. Source : MISUMI — STHWICB20 — Support d’arbre à embase compacte fendu</t>
  </si>
  <si>
    <t>SUPPORT D'ARBRE FENDU A EMBASE COMPACTE D 20 MM ACIER OXYDE NOIR</t>
  </si>
  <si>
    <t>Termes techniques issus exclusivement des sources vérifiées du 07/10/2026, reformulés selon l usage de la famille. Sources : MISUMI — STHWICB20 — Support d’arbre à embase compacte fendu</t>
  </si>
  <si>
    <t>SUPPORT D'ARBRE / BRIDE RONDE GUIDÉE, BRIDE RONDE APLATIE DES DEUX CÔTÉS / FENDUE (STHWICB20)</t>
  </si>
  <si>
    <t>Saisie d origine uniquement, majuscules/espacement d unités et traduction usuelle sans ajout de caractéristiques. Nature source SUPPORT déjà présente : 10/1910 codes distincts, soit 0.5%. Conservée même minoritaire. Dominante COURROIE : 231/1910, soit 12.1% ; seuil d éligibilité 30 %, jamais une validation technique.</t>
  </si>
  <si>
    <t>La page MISUMI France affiche STHWICB20 et ses caractéristiques exactes, tandis que le fournisseur saisi « ??? » ne peut pas être confirmé. Photo : Aucune URL d’image éditeur exploitable n’a été renvoyée par les pages consultées.</t>
  </si>
  <si>
    <t>150400 GUIDAGE LINEAIRE</t>
  </si>
  <si>
    <t>VALIDER - FAMILLE PROPOSEE : Support d arbre linéaire officiellement identifié ; guidage linéaire plutôt que famille mère transmission.</t>
  </si>
  <si>
    <t>PSFJWEU20-122-M8-N8</t>
  </si>
  <si>
    <t>Arbres linéaires / filetage intérieur aux deux extrémités / h6, h7 / Cf53 / EN 1.1213</t>
  </si>
  <si>
    <t>ARBRE LINEAIRE PSFJWEU A FILETAGES INTERNES EN 1.1213 H7 - CONFIGURATION A VALIDER</t>
  </si>
  <si>
    <t>Termes techniques issus exclusivement des sources vérifiées du 07/10/2026, reformulés selon l usage de la famille. Portée limitée à la série : cette proposition ne valide pas la variante ni les détails de saisie exclus des sources. Sources : MISUMI — Arbres linéaires à filetage intérieur des deux côtés — SFJWEU / PSFJWEU; MISUMI — SFJWEU / PSFJWEU — Linear shafts, internal thread on both sides</t>
  </si>
  <si>
    <t>ARBRES LINÉAIRES / FILETAGE INTÉRIEUR AUX DEUX EXTRÉMITÉS / H6, H7 / CF53 / EN 1.1213</t>
  </si>
  <si>
    <t>Saisie d origine uniquement, majuscules/espacement d unités et traduction usuelle sans ajout de caractéristiques. Nature source conservée sans substitution sémantique : 1910 codes distincts de famille. Dominante COURROIE : 231/1910, soit 12.1% ; seuil d éligibilité 30 %, jamais une validation technique.</t>
  </si>
  <si>
    <t>La page de famille MISUMI 110311064159 confirme le type PSFJWEU et la syntaxe D-L-M-N, mais ne montre pas la configuration complète PSFJWEU20-122-M8-N8, et le fournisseur « ??? » reste vide. La marque est laissée non confirmée : les sources identifient une société ou une série, pas le fabricant de la variante demandée. Photo : Aucune URL d’image éditeur exploitable n’a été renvoyée par les pages consultées.</t>
  </si>
  <si>
    <t>VALIDER - FAMILLE PROPOSEE : Nature arbre linéaire documentée par MISUMI ; configuration complète toujours à valider.</t>
  </si>
  <si>
    <t>SFJWEU16-80-M6-N6</t>
  </si>
  <si>
    <t>Arbres linéaires / filetage intérieur aux deux extrémités / h6, h7 / Cf53 / EN 1.1214</t>
  </si>
  <si>
    <t>ARBRE LINEAIRE SFJWEU A FILETAGES INTERNES EN 1.1213 H6 - CONFIGURATION A VALIDER</t>
  </si>
  <si>
    <t>ARBRES LINÉAIRES / FILETAGE INTÉRIEUR AUX DEUX EXTRÉMITÉS / H6, H7 / CF53 / EN 1.1214</t>
  </si>
  <si>
    <t>La page de famille MISUMI 110311064159 confirme le type SFJWEU et la syntaxe D-L-M-N, mais ne montre pas la configuration complète SFJWEU16-80-M6-N6, et le fournisseur « ??? » reste vide. La marque est laissée non confirmée : les sources identifient une société ou une série, pas le fabricant de la variante demandée. La matière de série documentée est EN 1.1213 ; les mentions EN 1.1215/1.1214 de saisie ne sont pas confirmées et restent intactes. Photo : Aucune URL d’image éditeur exploitable n’a été renvoyée par les pages consultées.</t>
  </si>
  <si>
    <t>PSFJWEU20-142-M8-N8</t>
  </si>
  <si>
    <t>Arbres linéaires / filetage intérieur aux deux extrémités / h6, h7 / Cf53 / EN 1.1215</t>
  </si>
  <si>
    <t>ARBRES LINÉAIRES / FILETAGE INTÉRIEUR AUX DEUX EXTRÉMITÉS / H6, H7 / CF53 / EN 1.1215</t>
  </si>
  <si>
    <t>La page de famille MISUMI 110311064159 confirme le type PSFJWEU et la syntaxe D-L-M-N, mais ne montre pas la configuration complète PSFJWEU20-142-M8-N8, et le fournisseur « ??? » reste vide. La marque est laissée non confirmée : les sources identifient une société ou une série, pas le fabricant de la variante demandée. La matière de série documentée est EN 1.1213 ; les mentions EN 1.1215/1.1214 de saisie ne sont pas confirmées et restent intactes. Photo : Aucune URL d’image éditeur exploitable n’a été renvoyée par les pages consultées.</t>
  </si>
  <si>
    <t>174378</t>
  </si>
  <si>
    <t>Fixation par flasque FNC-50</t>
  </si>
  <si>
    <t>087153</t>
  </si>
  <si>
    <t>DEJA CREE - article code 087153, ligne non retraitee.</t>
  </si>
  <si>
    <t>8068726</t>
  </si>
  <si>
    <t>Limiteur de débit unidirectionnel VFOE-LE-T-G18-Q6</t>
  </si>
  <si>
    <t>140800 PNEUMATIQUE : LIMITEURS / REGULATEURS</t>
  </si>
  <si>
    <t>087059</t>
  </si>
  <si>
    <t>DEJA CREE - article code 087059, ligne non retraitee.</t>
  </si>
  <si>
    <t>566496</t>
  </si>
  <si>
    <t>Électrodistributeur VUVG-L14-T32C-AT-G18-1P3</t>
  </si>
  <si>
    <t>087235</t>
  </si>
  <si>
    <t>DEJA CREE - article code 087235, ligne non retraitee.</t>
  </si>
  <si>
    <t>574432</t>
  </si>
  <si>
    <t>Électrodistributeur VUVG-L18-P53E-T-G14-1P3</t>
  </si>
  <si>
    <t>087238</t>
  </si>
  <si>
    <t>DEJA CREE - article code 087238, ligne non retraitee.</t>
  </si>
  <si>
    <t>575509</t>
  </si>
  <si>
    <t>Électrodistributeur VUVS-L25-M52-MD-G14-F8</t>
  </si>
  <si>
    <t>087239</t>
  </si>
  <si>
    <t>DEJA CREE - article code 087239, ligne non retraitee.</t>
  </si>
  <si>
    <t>1524720000</t>
  </si>
  <si>
    <t>WEIDMUELLER</t>
  </si>
  <si>
    <t>Connecteur Y, M8 / M8, Multiplicateur de signaux</t>
  </si>
  <si>
    <t>105905 DETECTION : CONNECTIQUE, CABLES</t>
  </si>
  <si>
    <t>WEIDMULLER</t>
  </si>
  <si>
    <t>FAB WEIDMULLER</t>
  </si>
  <si>
    <t>087243</t>
  </si>
  <si>
    <t>DEJA CREE - article code 087243, ligne non retraitee.</t>
  </si>
  <si>
    <t>9903180</t>
  </si>
  <si>
    <t>PIAB</t>
  </si>
  <si>
    <t>ventouse lèvre souple diamètre 39 G1/4 1 soufflet G.FX39T50.B1.S1.G14M.01</t>
  </si>
  <si>
    <t>PIAB SAS</t>
  </si>
  <si>
    <t>FFR_68540</t>
  </si>
  <si>
    <t>087245</t>
  </si>
  <si>
    <t>DEJA CREE - article code 087245, ligne non retraitee.</t>
  </si>
  <si>
    <t>IES215</t>
  </si>
  <si>
    <t>Détecteur inductif PNP NO M8 IES215</t>
  </si>
  <si>
    <t>087062</t>
  </si>
  <si>
    <t>DEJA CREE - article code 087062, ligne non retraitee.</t>
  </si>
  <si>
    <t>QSLL-1/8-8 153079</t>
  </si>
  <si>
    <t>RACCORD COUDE FESTO QSLL-1/8-8 153079</t>
  </si>
  <si>
    <t>087277</t>
  </si>
  <si>
    <t>DEJA CREE - article code 087277, ligne non retraitee.</t>
  </si>
  <si>
    <t>132-106</t>
  </si>
  <si>
    <t>LST</t>
  </si>
  <si>
    <t>GUIDE ETIQUETTE CPL (HAUT) M.DR.A.G.</t>
  </si>
  <si>
    <t>ETIQUETEUSE BOITES RONDE</t>
  </si>
  <si>
    <t>LST CHELLES FR 77</t>
  </si>
  <si>
    <t>087293</t>
  </si>
  <si>
    <t>mis en articles spécifique car demande faite pour création de nouvelles familles mais demande sans réponse</t>
  </si>
  <si>
    <t>DEJA CREE - article code 087293, ligne non retraitee.</t>
  </si>
  <si>
    <t>1-018-76-621-0</t>
  </si>
  <si>
    <t>ROULEAU TENDEUR CPL GA (005-265)</t>
  </si>
  <si>
    <t>087295</t>
  </si>
  <si>
    <t>DEJA CREE - article code 087295, ligne non retraitee.</t>
  </si>
  <si>
    <t>132-226</t>
  </si>
  <si>
    <t>GUIDE ETIQUETTE CPL. (BAS) M.DR.A.G.</t>
  </si>
  <si>
    <t>087297</t>
  </si>
  <si>
    <t>DEJA CREE - article code 087297, ligne non retraitee.</t>
  </si>
  <si>
    <t>1-071-76-147-2</t>
  </si>
  <si>
    <t>GARNITURE/CROCHET D'ARRET DRT.A.GA (goutte d'eau allongée)</t>
  </si>
  <si>
    <t>087298</t>
  </si>
  <si>
    <t>DEJA CREE - article code 087298, ligne non retraitee.</t>
  </si>
  <si>
    <t>1073768035/SUP</t>
  </si>
  <si>
    <t>GUIDE ETIQUETTE LARGE SUPERIEUR CPL. M.DR.A.GA. X=30</t>
  </si>
  <si>
    <t>087300</t>
  </si>
  <si>
    <t>DEJA CREE - article code 087300, ligne non retraitee.</t>
  </si>
  <si>
    <t>10737680335/INF</t>
  </si>
  <si>
    <t>GUIDE ETIQUETTE LARGE INFERIEURCPL. M.DR.A.GA. X=30</t>
  </si>
  <si>
    <t>087301</t>
  </si>
  <si>
    <t>DEJA CREE - article code 087301, ligne non retraitee.</t>
  </si>
  <si>
    <t>012-275</t>
  </si>
  <si>
    <t>RAIL RESSORT SUPERIEUR (8-071-76-3115)</t>
  </si>
  <si>
    <t>087303</t>
  </si>
  <si>
    <t>DEJA CREE - article code 087303, ligne non retraitee.</t>
  </si>
  <si>
    <t xml:space="preserve">073178-20-6672-20S </t>
  </si>
  <si>
    <t>BARRETTE DE RETENUE A BILLE SUP MAG1/2-278x76</t>
  </si>
  <si>
    <t>073178-20-6672-20S</t>
  </si>
  <si>
    <t>087304</t>
  </si>
  <si>
    <t>DEJA CREE - article code 087304, ligne non retraitee.</t>
  </si>
  <si>
    <t>2073767880</t>
  </si>
  <si>
    <t>GUIDE ETIQUETTE CPL. LATERAL ETROIT (AVEC RESSORT)</t>
  </si>
  <si>
    <t>087306</t>
  </si>
  <si>
    <t>DEJA CREE - article code 087306, ligne non retraitee.</t>
  </si>
  <si>
    <t>A/73-76-198-0</t>
  </si>
  <si>
    <t>RAIL ONDULE SUP L=200</t>
  </si>
  <si>
    <t>087307</t>
  </si>
  <si>
    <t>DEJA CREE - article code 087307, ligne non retraitee.</t>
  </si>
  <si>
    <t xml:space="preserve">073761360606013SUP </t>
  </si>
  <si>
    <t>BARRETTE RAIL A BILLES MAGASIN 4/4 330x109</t>
  </si>
  <si>
    <t>073761360606013SUP</t>
  </si>
  <si>
    <t>087309</t>
  </si>
  <si>
    <t>DEJA CREE - article code 087309, ligne non retraitee.</t>
  </si>
  <si>
    <t>A/073-76-191-0 L4</t>
  </si>
  <si>
    <t>RAIL ONDULE INF L=145</t>
  </si>
  <si>
    <t>A/073-76-191-0</t>
  </si>
  <si>
    <t>087310</t>
  </si>
  <si>
    <t>DEJA CREE - article code 087310, ligne non retraitee.</t>
  </si>
  <si>
    <t>A/073-76-218-0</t>
  </si>
  <si>
    <t>RAIL ONDULE INF L=123</t>
  </si>
  <si>
    <t>087312</t>
  </si>
  <si>
    <t>DEJA CREE - article code 087312, ligne non retraitee.</t>
  </si>
  <si>
    <t>A/073-76-219-0</t>
  </si>
  <si>
    <t>RAIL ONDULE SUP L=158</t>
  </si>
  <si>
    <t>087313</t>
  </si>
  <si>
    <t>DEJA CREE - article code 087313, ligne non retraitee.</t>
  </si>
  <si>
    <t>1071769980</t>
  </si>
  <si>
    <t>RAIL RESSORT ARRIERE L=660MM</t>
  </si>
  <si>
    <t>087314</t>
  </si>
  <si>
    <t>DEJA CREE - article code 087314, ligne non retraitee.</t>
  </si>
  <si>
    <t>PPAESMAG3601</t>
  </si>
  <si>
    <t>GRIFFE DE RETENUE</t>
  </si>
  <si>
    <t>087247</t>
  </si>
  <si>
    <t>DEJA CREE - article code 087247, ligne non retraitee.</t>
  </si>
  <si>
    <t>NGE2120FT-M0680</t>
  </si>
  <si>
    <t>TAPIS MODULAIRE DROIT SERIE 2120 LARGEUR 680</t>
  </si>
  <si>
    <t>100400 CONVOYAGE A BANDES PLASTIQUES</t>
  </si>
  <si>
    <t>FARDELEUSE PRASMATIC 2707</t>
  </si>
  <si>
    <t>087248</t>
  </si>
  <si>
    <t>DEJA CREE - article code 087248, ligne non retraitee.</t>
  </si>
  <si>
    <t>NGE2124FT-K134</t>
  </si>
  <si>
    <t>TAPIS MODULAIRE DROIT SERIE 2124 LARGEUR 34 MINI PBT</t>
  </si>
  <si>
    <t>mettre plus de détail dans la description merci</t>
  </si>
  <si>
    <t>FAIT</t>
  </si>
  <si>
    <t>System Plast</t>
  </si>
  <si>
    <t>Rexnord Flattop Europe S.r.l.</t>
  </si>
  <si>
    <t>TAPIS MODULAIRE À SURFACE PLANE, MONOPISTE, SÉRIE 2124</t>
  </si>
  <si>
    <t>Reformulation française du libellé constructeur de la référence vérifiée. Source : Regal Rexnord — System Plast 10941741 NGE2124FT-K134 — AA2501994; System Plast, hébergé par Dertec — System Plast Smart Guide — page 30030a; Archimedes — AA2501994 modular belt NGE2124FT-K134; PagineBianche — Rexnord Flattop Europe S.r.l. a Correggio</t>
  </si>
  <si>
    <t>TAPIS MODULAIRE PLAN SERIE 2124 LARGEUR 34 MM NGE AXES PBT PAS 12,7 MM</t>
  </si>
  <si>
    <t>Termes techniques issus exclusivement des sources vérifiées du 07/10/2026, reformulés selon l usage de la famille. Sources : Regal Rexnord — System Plast 10941741 NGE2124FT-K134 — AA2501994; System Plast, hébergé par Dertec — System Plast Smart Guide — page 30030a; Archimedes — AA2501994 modular belt NGE2124FT-K134; PagineBianche — Rexnord Flattop Europe S.r.l. a Correggio</t>
  </si>
  <si>
    <t>Saisie d origine uniquement, majuscules/espacement d unités et traduction usuelle sans ajout de caractéristiques. Nature source TAPIS déjà présente : 34/269 codes distincts, soit 12.6%. Conservée même minoritaire. Dominante BANDE : 167/269, soit 62.1% ; seuil d éligibilité 30 %, jamais une validation technique.</t>
  </si>
  <si>
    <t>Regal Rexnord publie exactement NGE2124FT-K134 et le catalogue System Plast ouvert chez Dertec confirme K134 = 34 mm et NGE, les axes seuls étant en PBT, tandis que PagineBianche vérifie Rexnord Flattop Europe à Correggio. Photo : Aucune URL d’image éditeur exploitable n’a été renvoyée par les pages consultées.</t>
  </si>
  <si>
    <t>100410 CONVOYAGE A BANDES PLASTIQUES : BANDES</t>
  </si>
  <si>
    <t>VALIDER - FAMILLE PROPOSEE : Tapis/bande modulaire plastique exact documenté ; sous-famille BANDES du référentiel.</t>
  </si>
  <si>
    <t>FARDELEUSE PRA 2707</t>
  </si>
  <si>
    <t>7016381739</t>
  </si>
  <si>
    <t>KIT CHAÎNES+LEVIERS+DENTS POUR SEPARATION POUR TC600CW 2707</t>
  </si>
  <si>
    <t>AETNA GROUP VILLA VERUCCHIO IT 47 (POUR FRANCE)</t>
  </si>
  <si>
    <t>087155</t>
  </si>
  <si>
    <t>DEJA CREE - article code 087155, ligne non retraitee.</t>
  </si>
  <si>
    <t>4100380007</t>
  </si>
  <si>
    <t>CAME GUIDE CHAINE ENVELOPPEMENT REF 4100380007 TC600CW 2707</t>
  </si>
  <si>
    <t>087156</t>
  </si>
  <si>
    <t>DEJA CREE - article code 087156, ligne non retraitee.</t>
  </si>
  <si>
    <t>4100380008</t>
  </si>
  <si>
    <t>CAME GUIDE CHAINE ENVELOPPEMENT REF 4100380008 TC600CW 2707</t>
  </si>
  <si>
    <t>087157</t>
  </si>
  <si>
    <t>DEJA CREE - article code 087157, ligne non retraitee.</t>
  </si>
  <si>
    <t>4100380024</t>
  </si>
  <si>
    <t>CAME GUIDE CHAINE ENVELOPPEMENT REF 4100380024 TC600CW 2707</t>
  </si>
  <si>
    <t>087158</t>
  </si>
  <si>
    <t>DEJA CREE - article code 087158, ligne non retraitee.</t>
  </si>
  <si>
    <t>4100380025</t>
  </si>
  <si>
    <t>CAME GUIDE CHAINE ENVELOPPEMENT REF 4100380025 TC600CW 2707</t>
  </si>
  <si>
    <t>087159</t>
  </si>
  <si>
    <t>DEJA CREE - article code 087159, ligne non retraitee.</t>
  </si>
  <si>
    <t>4100380026</t>
  </si>
  <si>
    <t>CAME GUIDE CHAINE ENVELOPPEMENT REF 4100380026 TC600CW 2707</t>
  </si>
  <si>
    <t>087160</t>
  </si>
  <si>
    <t>DEJA CREE - article code 087160, ligne non retraitee.</t>
  </si>
  <si>
    <t>4100380027</t>
  </si>
  <si>
    <t>CAME GUIDE CHAINE ENVELOPPEMENT REF 4100380027 TC600CW 2707</t>
  </si>
  <si>
    <t>087161</t>
  </si>
  <si>
    <t>DEJA CREE - article code 087161, ligne non retraitee.</t>
  </si>
  <si>
    <t>3890380182</t>
  </si>
  <si>
    <t>BARRE SUPPORT DOIGT DE SEPARATION TC600CW 2707</t>
  </si>
  <si>
    <t>087294</t>
  </si>
  <si>
    <t xml:space="preserve"> Cette reference n'est pas dans la liste des pièces de la machine ; Merci de vérifier</t>
  </si>
  <si>
    <t>DESSIN 7370386169</t>
  </si>
  <si>
    <t>DEJA CREE - article code 087294, ligne non retraitee.</t>
  </si>
  <si>
    <t>2.51571A</t>
  </si>
  <si>
    <t>SUPPORT DOUBLE DOIGT DE SEPARATION TC600CW 2707</t>
  </si>
  <si>
    <t>024631</t>
  </si>
  <si>
    <t>Attention doublon . Déjà créé avec le code coswin 024631</t>
  </si>
  <si>
    <t>DEJA CREE - article code 024631, ligne non retraitee.</t>
  </si>
  <si>
    <t>2.61321</t>
  </si>
  <si>
    <t>SUPPORT GAUCHE DOIGT DE SEPARATION TC600CW 2707</t>
  </si>
  <si>
    <t>087162</t>
  </si>
  <si>
    <t>DEJA CREE - article code 087162, ligne non retraitee.</t>
  </si>
  <si>
    <t>2.67741</t>
  </si>
  <si>
    <t>SUPPORT DROIT DOIGT DE SEPARATION TC600CW 2707</t>
  </si>
  <si>
    <t>087163</t>
  </si>
  <si>
    <t>DEJA CREE - article code 087163, ligne non retraitee.</t>
  </si>
  <si>
    <t>5010388019</t>
  </si>
  <si>
    <t>DOIGT DE SEPARATION GACUHE TC600CW 2707</t>
  </si>
  <si>
    <t>087164</t>
  </si>
  <si>
    <t>DEJA CREE - article code 087164, ligne non retraitee.</t>
  </si>
  <si>
    <t>5010388020</t>
  </si>
  <si>
    <t>DOIGT DE SEPARATION DROIT TC600CW 2707</t>
  </si>
  <si>
    <t>087165</t>
  </si>
  <si>
    <t>DEJA CREE - article code 087165, ligne non retraitee.</t>
  </si>
  <si>
    <t>3.D01.B2028B</t>
  </si>
  <si>
    <t>DOUILLE BAGUE BRONZE TC600CW 2707</t>
  </si>
  <si>
    <t>087296</t>
  </si>
  <si>
    <t>Attention creer avec la ref. de remplacement 0000601051</t>
  </si>
  <si>
    <t>DEJA CREE - article code 087296, ligne non retraitee.</t>
  </si>
  <si>
    <t>2.82349</t>
  </si>
  <si>
    <t>VIS TRAPEZOIDALE DROITE TC600CW 2707</t>
  </si>
  <si>
    <t>087166</t>
  </si>
  <si>
    <t>DEJA CREE - article code 087166, ligne non retraitee.</t>
  </si>
  <si>
    <t>2.82350</t>
  </si>
  <si>
    <t>VIS TRAPEZOIDALE GAUCHE TC600CW 2707</t>
  </si>
  <si>
    <t>087167</t>
  </si>
  <si>
    <t>DEJA CREE - article code 087167, ligne non retraitee.</t>
  </si>
  <si>
    <t>3.D25.CTP30D</t>
  </si>
  <si>
    <t>ECROU EPAULE PERCE BRONZE TC600CW 2707</t>
  </si>
  <si>
    <t>087168</t>
  </si>
  <si>
    <t>DEJA CREE - article code 087168, ligne non retraitee.</t>
  </si>
  <si>
    <t>2230380778</t>
  </si>
  <si>
    <t>BANDE DE TRANSPORT TAPIS MAILLE AVANT ENVELOPPEMENT TC600CW 2707</t>
  </si>
  <si>
    <t>087169</t>
  </si>
  <si>
    <t>DEJA CREE - article code 087169, ligne non retraitee.</t>
  </si>
  <si>
    <t>2.84250</t>
  </si>
  <si>
    <t>POULIE DENTEE Z36 AT10 D47L DEROULEMENT MONTEE FILM TC600CW 2707</t>
  </si>
  <si>
    <t>087170</t>
  </si>
  <si>
    <t>DEJA CREE - article code 087170, ligne non retraitee.</t>
  </si>
  <si>
    <t>2.58574</t>
  </si>
  <si>
    <t>POULIE DENTEE Z21 T10 D25 L30 DEROULEMENT MONTEE FILM TC600CW 2707</t>
  </si>
  <si>
    <t>087171</t>
  </si>
  <si>
    <t>DEJA CREE - article code 087171, ligne non retraitee.</t>
  </si>
  <si>
    <t>2.83130</t>
  </si>
  <si>
    <t>POULIE DENTEE Z24 40T10 D24 L30 DEROULEMENT MONTEE FILM TC600CW 2707</t>
  </si>
  <si>
    <t>087172</t>
  </si>
  <si>
    <t>DEJA CREE - article code 087172, ligne non retraitee.</t>
  </si>
  <si>
    <t>2.54735</t>
  </si>
  <si>
    <t>POULIE DENTEE Z24 40T10 D25 L30 DEROULEMENT MONTEE FILM TC600CW 2707</t>
  </si>
  <si>
    <t>087174</t>
  </si>
  <si>
    <t>DEJA CREE - article code 087174, ligne non retraitee.</t>
  </si>
  <si>
    <t>5010382058</t>
  </si>
  <si>
    <t>POULIE DENTEE Z30 AT10 D40L DEROULEMENT MONTEE FILM TC600CW 2707</t>
  </si>
  <si>
    <t>087175</t>
  </si>
  <si>
    <t>DEJA CREE - article code 087175, ligne non retraitee.</t>
  </si>
  <si>
    <t>2.77802</t>
  </si>
  <si>
    <t>POULIE DENTEE Z54 AT10 D47 DEROULEMENT MONTEE FILM TC600CW 2707</t>
  </si>
  <si>
    <t>087177</t>
  </si>
  <si>
    <t>DEJA CREE - article code 087177, ligne non retraitee.</t>
  </si>
  <si>
    <t>2.82676</t>
  </si>
  <si>
    <t>POULIE DENTEE MOTEUR LAME DE COUPE FILM DEROULEMENT MONTEE FILM TC600CW 2707</t>
  </si>
  <si>
    <t>087179</t>
  </si>
  <si>
    <t>DEJA CREE - article code 087179, ligne non retraitee.</t>
  </si>
  <si>
    <t>2.77801</t>
  </si>
  <si>
    <t>BRIDE D25 PERCAGE 6x60° D75 DEROULEMENT MONTEE FILM TC600CW 2707</t>
  </si>
  <si>
    <t xml:space="preserve">087181 </t>
  </si>
  <si>
    <t>DEJA CREE - article code 087181 , ligne non retraitee.</t>
  </si>
  <si>
    <t>2.81954</t>
  </si>
  <si>
    <t>BRIDE DEROULEMENT MONTEE FILM TC600CW 2707</t>
  </si>
  <si>
    <t>087182</t>
  </si>
  <si>
    <t>DEJA CREE - article code 087182, ligne non retraitee.</t>
  </si>
  <si>
    <t>2.82673A</t>
  </si>
  <si>
    <t>BRIDE D19 PERCAGE 6x60° D75 DEROULEMENT MONTEE FILM TC600CW 2707</t>
  </si>
  <si>
    <t>087184</t>
  </si>
  <si>
    <t>DEJA CREE - article code 087184, ligne non retraitee.</t>
  </si>
  <si>
    <t>3.A02.152210</t>
  </si>
  <si>
    <t>RONDELLE DE CALAGE 15x22x1 DIN 988</t>
  </si>
  <si>
    <t>087186</t>
  </si>
  <si>
    <t>DEJA CREE - article code 087186, ligne non retraitee.</t>
  </si>
  <si>
    <t>5651380044</t>
  </si>
  <si>
    <t>ROULEAU TENDEUR CHAINE POUR TENDEUR ROSTA SE11</t>
  </si>
  <si>
    <t>087187</t>
  </si>
  <si>
    <t>DEJA CREE - article code 087187, ligne non retraitee.</t>
  </si>
  <si>
    <t>5270380124</t>
  </si>
  <si>
    <t>AXE POUR ROULEAU TENDEUR DE CHAINE</t>
  </si>
  <si>
    <t>087188</t>
  </si>
  <si>
    <t>DEJA CREE - article code 087188, ligne non retraitee.</t>
  </si>
  <si>
    <t>2.51264</t>
  </si>
  <si>
    <t>ROULEAU COURROIE MONTEE FILM TC600CW 2707</t>
  </si>
  <si>
    <t>087189</t>
  </si>
  <si>
    <t>DEJA CREE - article code 087189, ligne non retraitee.</t>
  </si>
  <si>
    <t>2.82686</t>
  </si>
  <si>
    <t>ROULEAU ACIER MONTEE FILM TC600CW 2707</t>
  </si>
  <si>
    <t>087190</t>
  </si>
  <si>
    <t>DEJA CREE - article code 087190, ligne non retraitee.</t>
  </si>
  <si>
    <t>2.55494</t>
  </si>
  <si>
    <t>ARBRE DU ROULEAU COURROIE MONTEE FILM TC600CW 2707</t>
  </si>
  <si>
    <t>087191</t>
  </si>
  <si>
    <t>DEJA CREE - article code 087191, ligne non retraitee.</t>
  </si>
  <si>
    <t>2.82683A</t>
  </si>
  <si>
    <t>ARBRE PREMIER ROULEAU ACIER MONTEE FILM TC600CW 2707</t>
  </si>
  <si>
    <t>087192</t>
  </si>
  <si>
    <t>DEJA CREE - article code 087192, ligne non retraitee.</t>
  </si>
  <si>
    <t>2.55492A</t>
  </si>
  <si>
    <t>ARBRE ROULEAU JAUNE DEROULEMENT FILM TC600CW 2707</t>
  </si>
  <si>
    <t>016763</t>
  </si>
  <si>
    <t>DOUBLON AVEC REFERENCE COSWIN 016763</t>
  </si>
  <si>
    <t>DEJA CREE - article code 016763, ligne non retraitee.</t>
  </si>
  <si>
    <t>2.83131</t>
  </si>
  <si>
    <t>ARBRE BAS MONTEE FILM TC600CW 2707</t>
  </si>
  <si>
    <t>087193</t>
  </si>
  <si>
    <t>DEJA CREE - article code 087193, ligne non retraitee.</t>
  </si>
  <si>
    <t>2.84247</t>
  </si>
  <si>
    <t>ARBRE DEUXIEME ROULEAU ACIER MONTEE FILM TC600CW 2707</t>
  </si>
  <si>
    <t>087194</t>
  </si>
  <si>
    <t>DEJA CREE - article code 087194, ligne non retraitee.</t>
  </si>
  <si>
    <t>2.83485</t>
  </si>
  <si>
    <t>ARBRE ROULEAU HAUT MONTEE FILM TC600CW 2707</t>
  </si>
  <si>
    <t>087195</t>
  </si>
  <si>
    <t>DEJA CREE - article code 087195, ligne non retraitee.</t>
  </si>
  <si>
    <t>2.82471</t>
  </si>
  <si>
    <t>ARBRE SUPPORT COUTEAU TC600CW 2707</t>
  </si>
  <si>
    <t>087196</t>
  </si>
  <si>
    <t>DEJA CREE - article code 087196, ligne non retraitee.</t>
  </si>
  <si>
    <t>2.62619</t>
  </si>
  <si>
    <t>ENTRETOISE 25x35x5 AVEC PASSAGE DE CLAVETTE TC600CW 2707</t>
  </si>
  <si>
    <t>087197</t>
  </si>
  <si>
    <t>DEJA CREE - article code 087197, ligne non retraitee.</t>
  </si>
  <si>
    <t>2.51404</t>
  </si>
  <si>
    <t>ENTRETOISE 25x30x11 TC600CW 2707</t>
  </si>
  <si>
    <t>087198</t>
  </si>
  <si>
    <t>DEJA CREE - article code 087198, ligne non retraitee.</t>
  </si>
  <si>
    <t>2.52873A</t>
  </si>
  <si>
    <t>ENTRETOISE 25x30x27.5 TC600CW 2707</t>
  </si>
  <si>
    <t>087299</t>
  </si>
  <si>
    <t xml:space="preserve">PIECE PRESENTE DANS LA NOMENCLATURE </t>
  </si>
  <si>
    <t>DEJA CREE - article code 087299, ligne non retraitee.</t>
  </si>
  <si>
    <t>5010386095</t>
  </si>
  <si>
    <t>ENTRETOISE 25x30x14 TC600CW 2707</t>
  </si>
  <si>
    <t>087199</t>
  </si>
  <si>
    <t>DEJA CREE - article code 087199, ligne non retraitee.</t>
  </si>
  <si>
    <t>4550380242</t>
  </si>
  <si>
    <t>ENTRETOISE 25x35x41 TC600CW 2707</t>
  </si>
  <si>
    <t>087200</t>
  </si>
  <si>
    <t>DEJA CREE - article code 087200, ligne non retraitee.</t>
  </si>
  <si>
    <t>2.82457</t>
  </si>
  <si>
    <t>ENTRETOISE 25x30x2.7 TC600CW 2707</t>
  </si>
  <si>
    <t>087302</t>
  </si>
  <si>
    <t>Merci de verifier la ref. correspond a 25x30x2,7 et non 25x35x2,7 - Erreur de frappe ?? Merci de vérifier</t>
  </si>
  <si>
    <t>ERREUR DE FRAPPE</t>
  </si>
  <si>
    <t>DEJA CREE - article code 087302, ligne non retraitee.</t>
  </si>
  <si>
    <t>2.82456</t>
  </si>
  <si>
    <t>ENTRETOISE 25x30x11.6 TC600CW 2707</t>
  </si>
  <si>
    <t>087202</t>
  </si>
  <si>
    <t>DEJA CREE - article code 087202, ligne non retraitee.</t>
  </si>
  <si>
    <t>2.51263</t>
  </si>
  <si>
    <t>ENTRETOISE 25x29x19 TC600CW 2707</t>
  </si>
  <si>
    <t>087203</t>
  </si>
  <si>
    <t>DEJA CREE - article code 087203, ligne non retraitee.</t>
  </si>
  <si>
    <t>2.14604</t>
  </si>
  <si>
    <t>COLLIER D'ARBRE TC600CW 2707</t>
  </si>
  <si>
    <t>087205</t>
  </si>
  <si>
    <t>DEJA CREE - article code 087205, ligne non retraitee.</t>
  </si>
  <si>
    <t>2.37573</t>
  </si>
  <si>
    <t>PIGNON Z20 D20 3/8D TC600CW 2707</t>
  </si>
  <si>
    <t>087207</t>
  </si>
  <si>
    <t>DEJA CREE - article code 087207, ligne non retraitee.</t>
  </si>
  <si>
    <t>3.A10.ABUX10</t>
  </si>
  <si>
    <t>BAGUE D10-20 M5 A 90° TC600CW 2707</t>
  </si>
  <si>
    <t>087208</t>
  </si>
  <si>
    <t>DEJA CREE - article code 087208, ligne non retraitee.</t>
  </si>
  <si>
    <t>2.51328A</t>
  </si>
  <si>
    <t>TOURILLON POUR POULIE DENTEE FOLLE Z20 AT10 D25 L30 TC600CW 2707</t>
  </si>
  <si>
    <t>087209</t>
  </si>
  <si>
    <t>DEJA CREE - article code 087209, ligne non retraitee.</t>
  </si>
  <si>
    <t>2.51308</t>
  </si>
  <si>
    <t>TOURILLON DE POULIE DENTEE TC600CW 2707</t>
  </si>
  <si>
    <t>087210</t>
  </si>
  <si>
    <t>DEJA CREE - article code 087210, ligne non retraitee.</t>
  </si>
  <si>
    <t>2.54046A</t>
  </si>
  <si>
    <t>PEIGNE DE LAME DE COUPE FILM TC600CW 2707</t>
  </si>
  <si>
    <t>087211</t>
  </si>
  <si>
    <t>DEJA CREE - article code 087211, ligne non retraitee.</t>
  </si>
  <si>
    <t>2.51246</t>
  </si>
  <si>
    <t>CORNIERE FIXATION LAME DE COUPE TC600CW 2707</t>
  </si>
  <si>
    <t>087212</t>
  </si>
  <si>
    <t>DEJA CREE - article code 087212, ligne non retraitee.</t>
  </si>
  <si>
    <t>2.51247B</t>
  </si>
  <si>
    <t>LISTEL DE FIXATION LAME DE COUPE TC600CW 2707</t>
  </si>
  <si>
    <t>021490</t>
  </si>
  <si>
    <t>DOUBLON AVEC REFERENCE COSWIN 021490</t>
  </si>
  <si>
    <t>DEJA CREE - article code 021490, ligne non retraitee.</t>
  </si>
  <si>
    <t>5010380589</t>
  </si>
  <si>
    <t>ARBRE D25 L567.3 PERCE TARAUDE M8 DES 2 COTES DEROULEMENT FILM TC600CW 2707</t>
  </si>
  <si>
    <t>087213</t>
  </si>
  <si>
    <t>DEJA CREE - article code 087213, ligne non retraitee.</t>
  </si>
  <si>
    <t>3890380196</t>
  </si>
  <si>
    <t>BARRE D'ENVELOPPEMENT TC600CW 2707</t>
  </si>
  <si>
    <t>087214</t>
  </si>
  <si>
    <t>DEJA CREE - article code 087214, ligne non retraitee.</t>
  </si>
  <si>
    <t>2481380049</t>
  </si>
  <si>
    <t>CHAINE D'ENVELOPPEMENT TC600CW 2707</t>
  </si>
  <si>
    <t>087305</t>
  </si>
  <si>
    <t>DEJA CREE - article code 087305, ligne non retraitee.</t>
  </si>
  <si>
    <t>2.84268</t>
  </si>
  <si>
    <t>GUIDE ENVELOPPEMENT TC600 2707 REF 2.84268</t>
  </si>
  <si>
    <t>087215</t>
  </si>
  <si>
    <t>DEJA CREE - article code 087215, ligne non retraitee.</t>
  </si>
  <si>
    <t>5010382133</t>
  </si>
  <si>
    <t>GUIDE ENVELOPPEMENT TC600 2707 REF 5010382133</t>
  </si>
  <si>
    <t>087216</t>
  </si>
  <si>
    <t>DEJA CREE - article code 087216, ligne non retraitee.</t>
  </si>
  <si>
    <t>5010382134</t>
  </si>
  <si>
    <t>GUIDE ENVELOPPEMENT TC600 2707 REF 5010382134</t>
  </si>
  <si>
    <t>087217</t>
  </si>
  <si>
    <t>DEJA CREE - article code 087217, ligne non retraitee.</t>
  </si>
  <si>
    <t>5010385256</t>
  </si>
  <si>
    <t>GUIDE ENVELOPPEMENT TC600 2707 REF 5010385256</t>
  </si>
  <si>
    <t>087218</t>
  </si>
  <si>
    <t>DEJA CREE - article code 087218, ligne non retraitee.</t>
  </si>
  <si>
    <t>5010385260</t>
  </si>
  <si>
    <t>GUIDE ENVELOPPEMENT TC600 2707 REF 5010385260</t>
  </si>
  <si>
    <t>087219</t>
  </si>
  <si>
    <t>DEJA CREE - article code 087219, ligne non retraitee.</t>
  </si>
  <si>
    <t>5010385262</t>
  </si>
  <si>
    <t>GUIDE ENVELOPPEMENT TC600 2707 REF 5010385262</t>
  </si>
  <si>
    <t>087220</t>
  </si>
  <si>
    <t>DEJA CREE - article code 087220, ligne non retraitee.</t>
  </si>
  <si>
    <t>5010385265</t>
  </si>
  <si>
    <t>GUIDE ENVELOPPEMENT TC600 2707 REF 5010385265</t>
  </si>
  <si>
    <t>087221</t>
  </si>
  <si>
    <t>DEJA CREE - article code 087221, ligne non retraitee.</t>
  </si>
  <si>
    <t>5010385271</t>
  </si>
  <si>
    <t>GUIDE ENVELOPPEMENT TC600 2707 REF 5010385271</t>
  </si>
  <si>
    <t>087222</t>
  </si>
  <si>
    <t>DEJA CREE - article code 087222, ligne non retraitee.</t>
  </si>
  <si>
    <t>5010388532</t>
  </si>
  <si>
    <t>GUIDE ENVELOPPEMENT TC600 2707 REF 5010388532</t>
  </si>
  <si>
    <t>087224</t>
  </si>
  <si>
    <t>DEJA CREE - article code 087224, ligne non retraitee.</t>
  </si>
  <si>
    <t>3980380167</t>
  </si>
  <si>
    <t>SUPPORT BARRE D'ENVELOPPEMENT ORANGE</t>
  </si>
  <si>
    <t>087225</t>
  </si>
  <si>
    <t>DEJA CREE - article code 087225, ligne non retraitee.</t>
  </si>
  <si>
    <t>3980380168</t>
  </si>
  <si>
    <t>SUPPORT BARRE D'ENVELOPPEMENT JAUNE</t>
  </si>
  <si>
    <t>087226</t>
  </si>
  <si>
    <t>DEJA CREE - article code 087226, ligne non retraitee.</t>
  </si>
  <si>
    <t>3980380169</t>
  </si>
  <si>
    <t>SUPPORT BARRE D'ENVELOPPEMENT BLEU</t>
  </si>
  <si>
    <t>087227</t>
  </si>
  <si>
    <t>DEJA CREE - article code 087227, ligne non retraitee.</t>
  </si>
  <si>
    <t>2601380004</t>
  </si>
  <si>
    <t>BANDE DE TRANSPORT TAPIS MAILLE ENVELOPPEMENT TC600CW 2707</t>
  </si>
  <si>
    <t>087228</t>
  </si>
  <si>
    <t>DEJA CREE - article code 087228, ligne non retraitee.</t>
  </si>
  <si>
    <t>6130380176</t>
  </si>
  <si>
    <t>BARRE SUPPORT PEIGNE ROULEAU ROUGE TC600CW 2707</t>
  </si>
  <si>
    <t>087229</t>
  </si>
  <si>
    <t>DEJA CREE - article code 087229, ligne non retraitee.</t>
  </si>
  <si>
    <t>2.51435A</t>
  </si>
  <si>
    <t>DENTS ROULEAU ROUGE TC600CW 2707</t>
  </si>
  <si>
    <t>087230</t>
  </si>
  <si>
    <t>DEJA CREE - article code 087230, ligne non retraitee.</t>
  </si>
  <si>
    <t>2.55438A</t>
  </si>
  <si>
    <t>BARRE SUPPORT PEIGNE ROULEAU JAUNE TC600CW 2707</t>
  </si>
  <si>
    <t>05/10 : Mail Prasmatic, diffrence entre Ref. 2.55438A et 2.55438B</t>
  </si>
  <si>
    <t>AETNA GROUP S.P.A.</t>
  </si>
  <si>
    <t>ARTICLE A IDENTIFIER - REFERENCE 2.55438A</t>
  </si>
  <si>
    <t>BARRE SUPPORT PEIGNE ROULEAU JAUNE TC600CW 2707 2.55438A</t>
  </si>
  <si>
    <t>Saisie d origine uniquement, majuscules/espacement d unités et traduction usuelle sans ajout de caractéristiques. Nature source BARRE déjà présente : 5/628 codes distincts, soit 0.8%. Conservée même minoritaire. Dominante ARBRE : 58/628, soit 9.2% ; seuil d éligibilité 30 %, jamais une validation technique.</t>
  </si>
  <si>
    <t>Aetna Group atteste la marque de machines Prasmatic TC600 Combi et le registre LEI atteste AETNA GROUP S.P.A. à Villa Verucchio, sans publication de la pièce 2.55438A ni de son code fournisseur. La marque est laissée non confirmée : les sources identifient une société ou une série, pas le fabricant de la variante demandée. Photo : Pièce propriétaire : absence normale de photo publique exacte et aucune URL image admissible renvoyée par les pages consultées.</t>
  </si>
  <si>
    <t>2.51301A</t>
  </si>
  <si>
    <t>DENTS ROULEAU JAUNE TC600CW 2707</t>
  </si>
  <si>
    <t>087231</t>
  </si>
  <si>
    <t>DEJA CREE - article code 087231, ligne non retraitee.</t>
  </si>
  <si>
    <t>5010381513</t>
  </si>
  <si>
    <t>ROULEAU DE CHANGEMENT DE DIRECTION FILM TC600CW 2707</t>
  </si>
  <si>
    <t>087232</t>
  </si>
  <si>
    <t>DEJA CREE - article code 087232, ligne non retraitee.</t>
  </si>
  <si>
    <t>2.24187</t>
  </si>
  <si>
    <t>ROULEAU TENDEUR TAPIS MAILLE TC600CW 2707</t>
  </si>
  <si>
    <t>087233</t>
  </si>
  <si>
    <t>DEJA CREE - article code 087233, ligne non retraitee.</t>
  </si>
  <si>
    <t>2.79668</t>
  </si>
  <si>
    <t>ARBRE ROULEAU TENDEUR TC600CW 2707</t>
  </si>
  <si>
    <t>087234</t>
  </si>
  <si>
    <t>DEJA CREE - article code 087234, ligne non retraitee.</t>
  </si>
  <si>
    <t>5010384917</t>
  </si>
  <si>
    <t>ARBRE REF 5010384917 TC6OOCW 2707</t>
  </si>
  <si>
    <t>087236</t>
  </si>
  <si>
    <t>DEJA CREE - article code 087236, ligne non retraitee.</t>
  </si>
  <si>
    <t>3.E08.CC1035</t>
  </si>
  <si>
    <t>MACHINE A BROCHER REF 3.E08.CC1035 TC600CW 2707</t>
  </si>
  <si>
    <t>087237</t>
  </si>
  <si>
    <t>DEJA CREE - article code 087237, ligne non retraitee.</t>
  </si>
  <si>
    <t>ARBRE ROULEAU REF 5010384917 TC600CW 2707</t>
  </si>
  <si>
    <t>DOUBLON AVEC LE CODE 087236</t>
  </si>
  <si>
    <t>SE11</t>
  </si>
  <si>
    <t>ROSTA</t>
  </si>
  <si>
    <t>BRAS TENDEUR NU ROSTA SE11</t>
  </si>
  <si>
    <t>150100 ACCOUPLEMENTS / TRANSMISSION</t>
  </si>
  <si>
    <t>PRUD'HOMME TRANS ST DENIS FR 93</t>
  </si>
  <si>
    <t>005000</t>
  </si>
  <si>
    <t>Doublon avec l'article 005000 (TENDEUR AUTOMATIQUE EN FRITTE FIXATION STANDARD D EXTERIEUR 35MM). Demande non creee.</t>
  </si>
  <si>
    <t>DEJA CREE - article code 005000, ligne non retraitee.</t>
  </si>
  <si>
    <t>6305 RS1</t>
  </si>
  <si>
    <t>SKF</t>
  </si>
  <si>
    <t>ROULEMENT RIGIDE A UNE RANGEE BILLES 25X62X17MM ETANCHEITE EAU 6305 RS1</t>
  </si>
  <si>
    <t>RUBIX FRANCE</t>
  </si>
  <si>
    <t>FFR_132499</t>
  </si>
  <si>
    <t>087315</t>
  </si>
  <si>
    <t xml:space="preserve">Merci de verifier car dans la designation 25x47x12 mm et dans la fiche technique pas les memes dimensions </t>
  </si>
  <si>
    <t>DEJA CREE - article code 087315, ligne non retraitee.</t>
  </si>
  <si>
    <t>63000 2RS1</t>
  </si>
  <si>
    <t>Roulement rigide à une rangée de bille 10x26x12 63000 2RS1</t>
  </si>
  <si>
    <t>070816</t>
  </si>
  <si>
    <t>Doublon avec l'article 070816. Demande non creee.</t>
  </si>
  <si>
    <t>DEJA CREE - article code 070816, ligne non retraitee.</t>
  </si>
  <si>
    <t>19253</t>
  </si>
  <si>
    <t>VERIN CYLINDRIQUE DSNU-25-300-PPV-A</t>
  </si>
  <si>
    <t>032066</t>
  </si>
  <si>
    <t>Doublon avec l'article 032066 (VERIN DOUBLE EFFET ISO 6432 DSNU-25-300-PPV-A 19253). Demande non creee.</t>
  </si>
  <si>
    <t>DEJA CREE - article code 032066, ligne non retraitee.</t>
  </si>
  <si>
    <t>178465</t>
  </si>
  <si>
    <t>UNITE DE BLOCAGE KPE 10</t>
  </si>
  <si>
    <t>087249</t>
  </si>
  <si>
    <t>DEJA CREE - article code 087249, ligne non retraitee.</t>
  </si>
  <si>
    <t>5P3B1H-2FJ30/0</t>
  </si>
  <si>
    <t>DEBITMETRE ELECTROMAGNETIQUE PROMAG P 300 DN100</t>
  </si>
  <si>
    <t>87147</t>
  </si>
  <si>
    <t>DEJA CREE - article code 87147, ligne non retraitee.</t>
  </si>
  <si>
    <t>5P3B80-2T6C8/0</t>
  </si>
  <si>
    <t>DEBITMETRE ELECTROMAGNETIQUE PROMAG P 300 DN 80</t>
  </si>
  <si>
    <t>87148</t>
  </si>
  <si>
    <t>DEJA CREE - article code 87148, ligne non retraitee.</t>
  </si>
  <si>
    <t>5P3B25-2TX80/0</t>
  </si>
  <si>
    <t>DEBITMETRE ELECTROMAGNETIQUE PROMAG P 300 DN 25</t>
  </si>
  <si>
    <t>87149</t>
  </si>
  <si>
    <t>DEJA CREE - article code 87149, ligne non retraitee.</t>
  </si>
  <si>
    <t>5P3B1F-1XKU0/0</t>
  </si>
  <si>
    <t>DEBITMETRE ELECTROMAGNETIQUE PROMAG P 300 DN 150</t>
  </si>
  <si>
    <t>87150</t>
  </si>
  <si>
    <t>DEJA CREE - article code 87150, ligne non retraitee.</t>
  </si>
  <si>
    <t>5W4C40-10P03/0</t>
  </si>
  <si>
    <t>DEBITMETRE ELECTROMAGNETIQUE PROMAG W 400 DN 40</t>
  </si>
  <si>
    <t>87151</t>
  </si>
  <si>
    <t>DEJA CREE - article code 87151, ligne non retraitee.</t>
  </si>
  <si>
    <t>5W4C80-2V7E5/0</t>
  </si>
  <si>
    <t>DEBITMETRE ELECTROMAGNETIQUE PROMAG W 400 DN 80</t>
  </si>
  <si>
    <t>87152</t>
  </si>
  <si>
    <t>DEJA CREE - article code 87152, ligne non retraitee.</t>
  </si>
  <si>
    <t>80INC5-28FOI-2IFPM9</t>
  </si>
  <si>
    <t>FENWAL CONTROLS</t>
  </si>
  <si>
    <t>DETECTEUR TYPE 28 INOX FERMETURE A 135C° CONTACT NO BOITIER INOX 316 TYPE 80INC5 IP68 PE 2X8 A 9MM</t>
  </si>
  <si>
    <t>145200 SECURITE DES BIENS : DETECTION ALARMES</t>
  </si>
  <si>
    <t>CHUBB SECURITE TINQUEUX FR 51</t>
  </si>
  <si>
    <t>087257</t>
  </si>
  <si>
    <t>DEJA CREE - article code 087257, ligne non retraitee.</t>
  </si>
  <si>
    <t>80INC5-28IOI-2IFPM9</t>
  </si>
  <si>
    <t>DETECTEUR TYPE 28 INOX FERMETURE A 232C° CONTACT NO BOITIER INOX 316 TYPE 80INC5 IP68 PE 2X8 A 9MM</t>
  </si>
  <si>
    <t>087259</t>
  </si>
  <si>
    <t>DEJA CREE - article code 087259, ligne non retraitee.</t>
  </si>
  <si>
    <t>80INC5-28JOI-1IFPM9</t>
  </si>
  <si>
    <t>DETECTEUR TYPE 28 INOX FERMETURE A 260C° CONTACT NO BOITIER INOX 316 TYPE 80INC5 IP68 PE 1X8 A 9MM</t>
  </si>
  <si>
    <t>087261</t>
  </si>
  <si>
    <t>DEJA CREE - article code 087261, ligne non retraitee.</t>
  </si>
  <si>
    <t>SS-6FK-TA-1-4</t>
  </si>
  <si>
    <t>SWAGELOK</t>
  </si>
  <si>
    <t>RACCORD ADAPTATEUR MALE INOX POUR TUBE DIAMETRE EXTERIEUR 3/8 FILETAGE 1/4</t>
  </si>
  <si>
    <t>110730 RACCORD : RACCORD INOX</t>
  </si>
  <si>
    <t>087263</t>
  </si>
  <si>
    <t>DEJA CREE - article code 087263, ligne non retraitee.</t>
  </si>
  <si>
    <t>SS-6FK-TA-1-8</t>
  </si>
  <si>
    <t>RACCORD ADAPTATEUR MALE INOX POUR TUBE DIAMETRE EXTERIEUR 3/8 FILETAGE 1/2</t>
  </si>
  <si>
    <t>087264</t>
  </si>
  <si>
    <t>DEJA CREE - article code 087264, ligne non retraitee.</t>
  </si>
  <si>
    <t>XB4BD912R1K</t>
  </si>
  <si>
    <t>POTENTIOMETRE HARMONY XB4 DIAMETRE 22MM 1KOHM</t>
  </si>
  <si>
    <t>105630 COMPOSANTS ELECTRONIQUES : POTENTIOMETRES</t>
  </si>
  <si>
    <t>YESSS CAMPAGNE-LES-WARDRECQUES FR 62</t>
  </si>
  <si>
    <t>087266</t>
  </si>
  <si>
    <t>DEJA CREE - article code 087266, ligne non retraitee.</t>
  </si>
  <si>
    <t>XB4BD912R10K</t>
  </si>
  <si>
    <t>POTENTIOMETRE HARMONY XB4 DIAMETRE 22MM 10KOHMS</t>
  </si>
  <si>
    <t>087270</t>
  </si>
  <si>
    <t>DEJA CREE - article code 087270, ligne non retraitee.</t>
  </si>
  <si>
    <t>Hervé GODIN</t>
  </si>
  <si>
    <t>33084101ZZ00</t>
  </si>
  <si>
    <t>ROLLIX</t>
  </si>
  <si>
    <t>COURONNE ORIENTATION SERIE LEGERE BAGUE PLEINE AVEC PERCAGE TAPIS EJECTEUR MET</t>
  </si>
  <si>
    <t>120954 SERMATEC : MACHINE A FUMIER</t>
  </si>
  <si>
    <t>MET</t>
  </si>
  <si>
    <t>SERMATEC</t>
  </si>
  <si>
    <t>ART001473</t>
  </si>
  <si>
    <t>LA TOURTE</t>
  </si>
  <si>
    <t>087276</t>
  </si>
  <si>
    <t>DEJA CREE - article code 087276, ligne non retraitee.</t>
  </si>
  <si>
    <t>88301394 - 60040M17</t>
  </si>
  <si>
    <t>GEMU</t>
  </si>
  <si>
    <t>MEMBRANE 600 TAILLE 40M EPDM</t>
  </si>
  <si>
    <t>DISTRILAB HATRY</t>
  </si>
  <si>
    <t>11995740</t>
  </si>
  <si>
    <t>087286</t>
  </si>
  <si>
    <t>DEJA CREE - article code 087286, ligne non retraitee.</t>
  </si>
  <si>
    <t>88294597 - 600100m17</t>
  </si>
  <si>
    <t>MEMBRANE 600 TAILLE 100M EPDM</t>
  </si>
  <si>
    <t>12198781</t>
  </si>
  <si>
    <t>087289</t>
  </si>
  <si>
    <t>DEJA CREE - article code 087289, ligne non retraitee.</t>
  </si>
  <si>
    <t>QSM-M5-4 153304</t>
  </si>
  <si>
    <t>RACCORD DROIT FESTO QSM-M5-4 153304</t>
  </si>
  <si>
    <t>087278</t>
  </si>
  <si>
    <t>DEJA CREE - article code 087278, ligne non retraitee.</t>
  </si>
  <si>
    <t>58x80x10 DL</t>
  </si>
  <si>
    <t>SIMRIT</t>
  </si>
  <si>
    <t xml:space="preserve">JOINT A LEVRES 58x80x10 DL </t>
  </si>
  <si>
    <t xml:space="preserve">58x80x10DL </t>
  </si>
  <si>
    <t>087284</t>
  </si>
  <si>
    <t>DEJA CREE - article code 087284, ligne non retraitee.</t>
  </si>
  <si>
    <t>CE.82654-DD52R-AR-0001.0-S-C2</t>
  </si>
  <si>
    <t>INDICATEUR DE POSITION MECANIQUE 5 SEGMENTS</t>
  </si>
  <si>
    <t>087291</t>
  </si>
  <si>
    <t>DEJA CREE - article code 087291, ligne non retraitee.</t>
  </si>
  <si>
    <t>CE.87955-RB52-15</t>
  </si>
  <si>
    <t>BAGUE D'AJUSTAGE POUR INDICATEUR MECANIQUE DE POSITION DD52R</t>
  </si>
  <si>
    <t>087292</t>
  </si>
  <si>
    <t>DEJA CREE - article code 087292, ligne non retraitee.</t>
  </si>
  <si>
    <t>DKE1710X24DC</t>
  </si>
  <si>
    <t>ATOS</t>
  </si>
  <si>
    <t>DISTRIBUTEUR HYDRAULIQUE 4/3 4 VOIE 3 POSITION CENTRE H CETOP5/NG10 24VDC 150L/MIN 350BAR</t>
  </si>
  <si>
    <t>115700 HYDRAULIQUE : DISTRIBUTEURS</t>
  </si>
  <si>
    <t>C3S AMIENS FR 80</t>
  </si>
  <si>
    <t>DKE-1710-X 24DC</t>
  </si>
  <si>
    <t>Atos</t>
  </si>
  <si>
    <t>COMPOSANTS SYSTEMES SOLUTIONS SCE</t>
  </si>
  <si>
    <t>DISTRIBUTEUR HYDRAULIQUE A TIROIR DKE TAILLE 10 TROIS POSITIONS 24 V CC SANS CONNECTEUR</t>
  </si>
  <si>
    <t>Termes techniques issus exclusivement des sources vérifiées du 07/10/2026, reformulés selon l usage de la famille. Sources : Radwell — DKE-1710-X 24DC — Hydraulic Valve; Atos — E025-11/E — Solenoid directional valves type DKE; Pappers — COMPOSANTS SYSTEMES SOLUTIONS SCE (C3S)</t>
  </si>
  <si>
    <t>DISTRIBUTEUR HYDRAULIQUE 4/3 4 VOIE 3 POSITION CENTRE H CETOP5/NG10 24 VDC 150L/MIN 350 BAR</t>
  </si>
  <si>
    <t>Saisie d origine uniquement, majuscules/espacement d unités et traduction usuelle sans ajout de caractéristiques. Nature source DISTRIBUTEUR déjà présente : 57/91 codes distincts, soit 62.6%. Conservée même minoritaire. Dominante DISTRIBUTEUR : 57/91, soit 62.6% ; seuil d éligibilité 30 %, jamais une validation technique.</t>
  </si>
  <si>
    <t>Radwell publie le code exact DKE-1710-X 24DC et la fiche constructeur Atos E025 explique 71, X et 24 DC à l’échelle de gamme, tandis que Pappers vérifie C3S sans référence produit fournisseur publiée. Photo : Les sorties de consultation des pages consultées fournissent du texte sans URL d’image éditeur pleine résolution vérifiable ; aucune image retenue.</t>
  </si>
  <si>
    <t>DKQ024/O/24DC</t>
  </si>
  <si>
    <t>VALVE MODULAIRE DE REGULATION DE DEBIT ET DE VITESSE RAPIDE/LENT TAILLE 10 24L/MIN 250BAR NO 24VDC</t>
  </si>
  <si>
    <t>115600 HYDRAULIQUE : CONTROLE ET REGULATION (PRESSION, DEBIT)</t>
  </si>
  <si>
    <t>VALVE MODULAIRE RAPIDE LENTE SERIE DKQ TAILLE 10 - CONFIGURATION A VALIDER</t>
  </si>
  <si>
    <t>Termes techniques issus exclusivement des sources vérifiées du 07/10/2026, reformulés selon l usage de la famille. Portée limitée à la série : cette proposition ne valide pas la variante ni les détails de saisie exclus des sources. Sources : Atos / hébergement LD — D170-6/E — Modular fast/slow valves type DHQ and DKQ; Atos — D170-11/E — Modular fast/slow valves type DHQ; Pappers — COMPOSANTS SYSTEMES SOLUTIONS SCE (C3S)</t>
  </si>
  <si>
    <t>VALVE MODULAIRE DE REGULATION DE DEBIT ET DE VITESSE RAPIDE/LENT TAILLE 10 24L/MIN 250 BAR NO 24 VDC</t>
  </si>
  <si>
    <t>Saisie d origine uniquement, majuscules/espacement d unités et traduction usuelle sans ajout de caractéristiques. Nature source VALVE déjà présente : 1/24 codes distincts, soit 4.2%. Conservée même minoritaire. Dominante LIMITEUR : 9/24, soit 37.5% ; seuil d éligibilité 30 %, jamais une validation technique.</t>
  </si>
  <si>
    <t>La fiche Atos D170-6/E hébergée par LD prouve la famille DKQ mais pas le code complet DKQ024/O/24DC, la D170 actuelle d’atos.com ne traite que DHQ et Pappers vérifie C3S sans code produit publié. La marque est laissée non confirmée : les sources identifient une société ou une série, pas le fabricant de la variante demandée. Photo : Les sorties de consultation des pages consultées fournissent du texte sans URL d’image éditeur pleine résolution vérifiable ; aucune image retenue.</t>
  </si>
  <si>
    <t>DSBF-C-32-500-PPVA-N3-R</t>
  </si>
  <si>
    <t>VERIN DOUBLE EFFET D 32MM COURSE 500MM A AMORTISSEMENT PNEUMATIQUE</t>
  </si>
  <si>
    <t>DSBF-C-32-500-PPVA-N3-R (1773763)</t>
  </si>
  <si>
    <t>087281</t>
  </si>
  <si>
    <t>DEJA CREE - article code 087281, ligne non retraitee.</t>
  </si>
  <si>
    <t>MI-DM0217 DM2173-B++0+B0EM5FA-607MM</t>
  </si>
  <si>
    <t>TAMBOUR MOTEUR Ø237,5MM L= 607MM 1.5KW 0,57M/S AXE40 MEPLAT30X25 NBR BLANC70SH RAINURE K13 17X11X9MM</t>
  </si>
  <si>
    <t>DEVIS INTERROLL TAPIS COLLECTEUR MELANGE PUREE.pdf</t>
  </si>
  <si>
    <t>087282</t>
  </si>
  <si>
    <t>DEJA CREE - article code 087282, ligne non retraitee.</t>
  </si>
  <si>
    <t>1100174</t>
  </si>
  <si>
    <t>NORDSON </t>
  </si>
  <si>
    <t>KIT-SVCE-FULFILL-LID SWITCH-PROXIMITY</t>
  </si>
  <si>
    <t>NORDSON FRANCE SAS SERRIS FR 77</t>
  </si>
  <si>
    <t>087285</t>
  </si>
  <si>
    <t>DEJA CREE - article code 087285, ligne non retraitee.</t>
  </si>
  <si>
    <t>1128173</t>
  </si>
  <si>
    <t>KIT-SERVICE-LID SWITCH</t>
  </si>
  <si>
    <t>087288</t>
  </si>
  <si>
    <t>DEJA CREE - article code 087288, ligne non retraitee.</t>
  </si>
  <si>
    <t>5CFAST.016G-00</t>
  </si>
  <si>
    <t>SWISSBIT</t>
  </si>
  <si>
    <t>CARTE MEMOIRE FLASH CFAST 16GB</t>
  </si>
  <si>
    <t>105220 AUTOMATISATION : CARTES MEMOIRE API</t>
  </si>
  <si>
    <t xml:space="preserve"> BR AUTOMATION</t>
  </si>
  <si>
    <t>087290</t>
  </si>
  <si>
    <t>DEJA CREE - article code 087290, ligne non retraitee.</t>
  </si>
  <si>
    <t>R17 DRN63M4</t>
  </si>
  <si>
    <t>MOTOREDUCTEUR 0.18KW 159 TR/MIN 230/400V IP55/F ARBRE PLEIN 20X40MM</t>
  </si>
  <si>
    <t>150702 SEW</t>
  </si>
  <si>
    <t>SEBA</t>
  </si>
  <si>
    <t>SEBA MOTORISATION</t>
  </si>
  <si>
    <t>MOTOREDUCTEUR COAXIAL DRN IE3 - CONFIGURATION A VALIDER</t>
  </si>
  <si>
    <t>Termes techniques issus exclusivement des sources vérifiées du 07/10/2026, reformulés selon l usage de la famille. Portée limitée à la série : cette proposition ne valide pas la variante ni les détails de saisie exclus des sources. Sources : SEW-EURODRIVE — Type Codes, Volume 1 Drive Technology, 31976336/EN; SEW-EURODRIVE — Gearmotor Nomenclature, 2024; Radwell International — R17 DRN63M4 Gear Motor; SEW USOCOME — SEBA MOTORISATION — Drive Service Partner</t>
  </si>
  <si>
    <t>MOTOREDUCTEUR 0.18 KW 159 TR/MIN 230/400V IP55/F ARBRE PLEIN 20X40 MM</t>
  </si>
  <si>
    <t>Saisie d origine uniquement, majuscules/espacement d unités et traduction usuelle sans ajout de caractéristiques. Nature source MOTOREDUCTEUR déjà présente : 5/77 codes distincts, soit 6.5%. Conservée même minoritaire. Dominante STATOR : 14/77, soit 18.2% ; seuil d éligibilité 30 %, jamais une validation technique.</t>
  </si>
  <si>
    <t>Radwell publie le type R17 DRN63M4 et la clé SEW explique ses segments, mais la tension et la fréquence de l’exemplaire Radwell diffèrent du contexte saisi; le répertoire officiel SEW identifie le fournisseur saisi comme SEBA MOTORISATION sans publier son code article.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</si>
  <si>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1131748</t>
  </si>
  <si>
    <t>HOSE BLUE SERIES 5/16 X 6 FT 240V AUTO</t>
  </si>
  <si>
    <t>009371</t>
  </si>
  <si>
    <t>DEJA CREE - article code 009371, ligne non retraitee.</t>
  </si>
  <si>
    <t>ENM10134128</t>
  </si>
  <si>
    <t>MARKEM-IMAJE</t>
  </si>
  <si>
    <t>ROULEAU D'IMPRESSION HEUTE RESISTANCE A L'USURE (ENSEMBLE COMPLET)</t>
  </si>
  <si>
    <t>235750 MARKEM</t>
  </si>
  <si>
    <t>MARKEM IMAJE</t>
  </si>
  <si>
    <t>087283</t>
  </si>
  <si>
    <t>DEJA CREE - article code 087283, ligne non retraitee.</t>
  </si>
  <si>
    <t>MS01_CARTEX-DN15/85-00_17509B02</t>
  </si>
  <si>
    <t>EAGLE BURGMANN</t>
  </si>
  <si>
    <t xml:space="preserve"> GARNITURE MECANIQUE DOUBLE DN 15 Ø85MM Q1Q1VMG-BQ1VMG MS01_CARTEX-DN15/85-00_17509B02</t>
  </si>
  <si>
    <t>EB Quote 2060097744 - your inquiry CARTEX-DN15 85-.PDF</t>
  </si>
  <si>
    <t>EagleBurgmann</t>
  </si>
  <si>
    <t>GARNITURE MECANIQUE DOUBLE EN CARTOUCHE EQUILIBREE SERIE CARTEX DN - CONFIGURATION A VALIDER</t>
  </si>
  <si>
    <t>Termes techniques issus exclusivement des sources vérifiées du 07/10/2026, reformulés selon l usage de la famille. Portée limitée à la série : cette proposition ne valide pas la variante ni les détails de saisie exclus des sources. Sources : EagleBurgmann — Cartex Dual seals — dimensions et données techniques; EagleBurgmann — Cartex Dual seal — MS_Cartex-DN</t>
  </si>
  <si>
    <t>GARNITURE MECANIQUE DOUBLE DN 15 Ø85 MM Q1Q1VMG-BQ1VMG MS01_CARTEX-DN15/85-00_17509B02</t>
  </si>
  <si>
    <t>Saisie d origine uniquement, majuscules/espacement d unités et traduction usuelle sans ajout de caractéristiques. Nature source GARNITURE déjà présente : 238/427 codes distincts, soit 55.7%. Conservée même minoritaire. Dominante GARNITURE : 238/427, soit 55.7% ; seuil d éligibilité 30 %, jamais une validation technique.</t>
  </si>
  <si>
    <t>La fiche et la boutique EagleBurgmann confirment la série Cartex-DN et une taille d’arbre 85 mm, mais pas le libellé complet MS01_CARTEX-DN15/85-00_17509B02 issu d’un devis non lu, qui ne peut donc être confirmé par devis. La marque est laissée non confirmée : les sources identifient une société ou une série, pas le fabricant de la variante demandée. Photo : Configuration liée à un devis non consulté : absence normale de photo exacte ; aucune URL d’image éditeur exploitable renvoyée par les sources de famille.</t>
  </si>
  <si>
    <t>S0818-125-160</t>
  </si>
  <si>
    <t xml:space="preserve">JOINT ETANCHEITE DOUBLE LEVRE DANS ARMATURE </t>
  </si>
  <si>
    <t>150350 CHAINES / PIGNONS : BAGUES ETANCHEITE</t>
  </si>
  <si>
    <t>JOHN BEAN TECHNOLOGIES SINT-NIKLAAS BE 91</t>
  </si>
  <si>
    <t>John Bean Technologies NV</t>
  </si>
  <si>
    <t>ARTICLE A IDENTIFIER - REFERENCE S0818-125-160</t>
  </si>
  <si>
    <t>JOINT ETANCHEITE DOUBLE LEVRE DANS ARMATURE</t>
  </si>
  <si>
    <t>Saisie d origine uniquement, majuscules/espacement d unités et traduction usuelle sans ajout de caractéristiques. Nature source JOINT déjà présente : 59/1274 codes distincts, soit 4.6%. Conservée même minoritaire. Dominante BAGUE : 1203/1274, soit 94.4% ; seuil d éligibilité 30 %, jamais une validation technique.</t>
  </si>
  <si>
    <t>Les recherches exactes S0818-125-160 et S0818125160 ne fournissent aucune preuve publique du joint, sans déduction de cotes ni matière, tandis que Companyweb (https://www.companyweb.be/nl/0405035475/john-bean-technologies) et la brochure officielle JBT Marel (https://jbtmarel.com/media/cm0ndldc/jbt-ab-process-systems-controls-and-automation_en.pdf) établissent John Bean Technologies NV à Sint-Niklaas et non le libellé administratif saisi. Photo : Aucune fiche ni URL d’image éditeur pour S0818-125-160 exposée ; cotes et matière non déduites de la référence.</t>
  </si>
  <si>
    <t>086001L</t>
  </si>
  <si>
    <t>LEGRAND</t>
  </si>
  <si>
    <t>INTERRUPTEUR VA ET VIENT / POUSSOIR APPAREILLAGE SAILLIE COMPLET BLANC</t>
  </si>
  <si>
    <t>105540 COMPOSANTS DE CABLAGE : PRISES FICHES ET INTERRUPTEURS</t>
  </si>
  <si>
    <t>087279</t>
  </si>
  <si>
    <t>DEJA CREE - article code 087279, ligne non retraitee.</t>
  </si>
  <si>
    <t>MCHMS5-SS-21-DC-LQD</t>
  </si>
  <si>
    <t>MECHAN-CONTROLS</t>
  </si>
  <si>
    <t>INTERUPTEUR DE SECURITE MAGNETIQUE SANS CONTACT</t>
  </si>
  <si>
    <t>ELEC SUD OUEST</t>
  </si>
  <si>
    <t>304674-OFFRE</t>
  </si>
  <si>
    <t>087267</t>
  </si>
  <si>
    <t>DEJA CREE - article code 087267, ligne non retraitee.</t>
  </si>
  <si>
    <t>Alexis DELEAU</t>
  </si>
  <si>
    <t>62632-12</t>
  </si>
  <si>
    <t>EMILE MAURIN</t>
  </si>
  <si>
    <t>ECROU HEXAGONAL INOX M12 INDESSERABLE BAGUE METAL</t>
  </si>
  <si>
    <t>155910 VISSERIE FIXATION : VIS ECROUS : INOX</t>
  </si>
  <si>
    <t>087183</t>
  </si>
  <si>
    <t>DEJA CREE - article code 087183, ligne non retraitee.</t>
  </si>
  <si>
    <t>18X130X7,5X225</t>
  </si>
  <si>
    <t>DELAVAL</t>
  </si>
  <si>
    <t>RESSORT DIAM EXT 130 DIAM FIL 18MM LONGUEUR 210MM A CHARGE LONGUEUR HORS CHARGE 225MM</t>
  </si>
  <si>
    <t>087185</t>
  </si>
  <si>
    <t>DEJA CREE - article code 087185, ligne non retraitee.</t>
  </si>
  <si>
    <t>GARNITURE MECANIQUE W/W - REPERE 2</t>
  </si>
  <si>
    <t>SIDE</t>
  </si>
  <si>
    <t>GARNITURE POUR DIP101R/4VV-15KW</t>
  </si>
  <si>
    <t>SIDE INDUSTRIE</t>
  </si>
  <si>
    <t>DIP garniture pompe Devis n°34230</t>
  </si>
  <si>
    <t>087273</t>
  </si>
  <si>
    <t>DEJA CREE - article code 087273, ligne non retraitee.</t>
  </si>
  <si>
    <t xml:space="preserve"> AC00012492</t>
  </si>
  <si>
    <t>ROSER</t>
  </si>
  <si>
    <t xml:space="preserve">AXE SUPPORT FOURCHETTE POS.7 24174 </t>
  </si>
  <si>
    <t xml:space="preserve">ROSER </t>
  </si>
  <si>
    <t>AC00012492</t>
  </si>
  <si>
    <t>ROSER CONSTRUCCIONES METALICAS SA</t>
  </si>
  <si>
    <t>ARTICLE A IDENTIFIER - REFERENCE AC00012492</t>
  </si>
  <si>
    <t>AXE SUPPORT FOURCHETTE POS.7 24174  AC00012492</t>
  </si>
  <si>
    <t>Saisie d origine uniquement, majuscules/espacement d unités et traduction usuelle sans ajout de caractéristiques. Nature source AXE déjà présente : 32/1042 codes distincts, soit 3.1%. Conservée même minoritaire. Dominante RESSORT : 40/1042, soit 3.8% ; seuil d éligibilité 30 %, jamais une validation technique.</t>
  </si>
  <si>
    <t>Roser Group et Iberinform attestent le constructeur ROSER CONSTRUCCIONES METALICAS SA, mais les recherches ne publient pas AC00012492 ; aucun code voisin ne vaut preuve de cette pièce. La marque est laissée non confirmée : les sources identifient une société ou une série, pas le fabricant de la variante demandée. Photo : Pièce propriétaire : absence normale de photo publique exacte et aucune URL image admissible renvoyée par les pages consultées.</t>
  </si>
  <si>
    <t>VALIDER - FAMILLE MERE 200000 ; identité spécifique et machine à documenter, pas une famille de composant de commerce.</t>
  </si>
  <si>
    <t>RENSEIGNER - MACHINE NON IDENTIFIEE ; aucune valeur inventée.</t>
  </si>
  <si>
    <t>AC00006768</t>
  </si>
  <si>
    <t>ANNEAU DE FIXATION PAR AXE FOURCHETTE DIAM.95/13x10mm DELRIN  REF.8 25224</t>
  </si>
  <si>
    <t>ARTICLE A IDENTIFIER - REFERENCE AC00006768</t>
  </si>
  <si>
    <t>ANNEAU DE FIXATION PAR AXE FOURCHETTE DIAM 95/13X10 MM DELRIN REF.8 25224 AC00006768</t>
  </si>
  <si>
    <t>Saisie d origine uniquement, majuscules/espacement d unités et traduction usuelle sans ajout de caractéristiques. Nature source ANNEAU déjà présente : 1/1042 codes distincts, soit 0.1%. Conservée même minoritaire. Dominante RESSORT : 40/1042, soit 3.8% ; seuil d éligibilité 30 %, jamais une validation technique.</t>
  </si>
  <si>
    <t>Roser Group et Iberinform attestent le constructeur ROSER CONSTRUCCIONES METALICAS SA, mais les recherches ne publient pas AC00006768 ; aucun code voisin ne vaut preuve de cette pièce. La marque est laissée non confirmée : les sources identifient une société ou une série, pas le fabricant de la variante demandée. Photo : Pièce propriétaire : absence normale de photo publique exacte et aucune URL image admissible renvoyée par les pages consultées.</t>
  </si>
  <si>
    <t>1102144</t>
  </si>
  <si>
    <t xml:space="preserve">
BARRIERES DE SECURITE DETEM L-MUTING RIGHT PSN02-2301 4 FAISCEAUX PORTEE 3.2 M IP67</t>
  </si>
  <si>
    <t>105901 DETECTION : BARRIERES IMMATERIELLES</t>
  </si>
  <si>
    <t>DEVIS SICK</t>
  </si>
  <si>
    <t>Référence et marque confirmées (constructeur)</t>
  </si>
  <si>
    <t>UNITÉ PASSIVE DE BARRIÈRE MULTIFAISCEAUX DE SÉCURITÉ</t>
  </si>
  <si>
    <t>Reformulation française du libellé constructeur de la référence vérifiée. Source : SICK — PSN02-2301, Data sheet; SICK — PSN02-2301 — deTem — Part no. 1102144; SICK — M4M-ZA04300D20 — Part no. 1096014; Annuaire des Entreprises — Société SICK — SIREN 972204770</t>
  </si>
  <si>
    <t>BARRIERE MULTIFAISCEAUX SECURITE UNITE PASSIVE PSN02-2301 4 FAISCEAUX IP65 IP67</t>
  </si>
  <si>
    <t>Termes techniques issus exclusivement des sources vérifiées du 07/10/2026, reformulés selon l usage de la famille. Sources : SICK — PSN02-2301, Data sheet; SICK — PSN02-2301 — deTem — Part no. 1102144; SICK — M4M-ZA04300D20 — Part no. 1096014; Annuaire des Entreprises — Société SICK — SIREN 972204770</t>
  </si>
  <si>
    <t>BARRIERES DE SECURITE DETEM L-MUTING RIGHT PSN02-2301 4 FAISCEAUX PORTEE 3.2 M IP67</t>
  </si>
  <si>
    <t>Saisie d origine uniquement, majuscules/espacement d unités et traduction usuelle sans ajout de caractéristiques. Nature source conservée sans substitution sémantique : 99 codes distincts de famille. Dominante BARRIERE : 33/99, soit 33.3% ; seuil d éligibilité 30 %, jamais une validation technique.</t>
  </si>
  <si>
    <t>La page SICK PSN02-2301 et sa fiche associent 1102144 à l’unité passive, distincte de 1096014 active, tandis que l’Annuaire des Entreprises vérifie la dénomination SICK et sa forme SARL. Photo : Les sorties de consultation des pages consultées fournissent du texte sans URL d’image éditeur pleine résolution vérifiable ; aucune image retenue.</t>
  </si>
  <si>
    <t>1096014</t>
  </si>
  <si>
    <t>BARRIERE DE SECURITE TEM 4LT MUTING A/P PLE, SIL 3 TYPE4 PORTEE 3.2 4 FAISCEAUX  M12 8POLES IP67</t>
  </si>
  <si>
    <t>BARRIÈRE MULTIFAISCEAUX DE SÉCURITÉ DETEM4 LT MUTING A/P M4M-ZA04300D20 - UNITÉ ACTIVE</t>
  </si>
  <si>
    <t>Reformulation française du libellé constructeur de la référence vérifiée. Source : SICK — M4M-ZA04300D20 - deTem | SICK (Part no. 1096014); SICK — deTem M4M-ZA04300D20, Data sheet; DigiKey — 1096014 SICK, Inc. | DigiKey; Annuaire des Entreprises — Société SICK — SIREN 972204770</t>
  </si>
  <si>
    <t>BARRIERE MULTIFAISCEAUX SECURITE UNITE ACTIVE DETEM4 LT MUTING 4 FAISCEAUX PORTEE 3,2 M</t>
  </si>
  <si>
    <t>Termes techniques issus exclusivement des sources vérifiées du 07/10/2026, reformulés selon l usage de la famille. Sources : SICK — M4M-ZA04300D20 - deTem | SICK (Part no. 1096014); SICK — deTem M4M-ZA04300D20, Data sheet; DigiKey — 1096014 SICK, Inc. | DigiKey; Annuaire des Entreprises — Société SICK — SIREN 972204770</t>
  </si>
  <si>
    <t>BARRIERE DE SECURITE TEM 4LT MUTING A/P PLE, SIL 3 TYPE4 PORTEE 3.2 4 FAISCEAUX M12 8POLES IP67</t>
  </si>
  <si>
    <t>Saisie d origine uniquement, majuscules/espacement d unités et traduction usuelle sans ajout de caractéristiques. Nature source BARRIERE déjà présente : 33/99 codes distincts, soit 33.3%. Conservée même minoritaire. Dominante BARRIERE : 33/99, soit 33.3% ; seuil d éligibilité 30 %, jamais une validation technique.</t>
  </si>
  <si>
    <t>La page produit et la fiche technique SICK du M4M-ZA04300D20 publient le n° de pièce 1096014 comme unité active deTem4 LT Muting A/P, 3,2 m, 4 faisceaux, M12 8 broches, IP67, Type 4/SIL 3/PL e, concordants avec la saisie ; le SIL ne doit pas être transféré à l'unité passive 1102144. Photo : Aucune URL d'image éditeur exploitable : les outils web autorisés (recherche web et ouverture de pages) n'ont renvoyé que le texte des pages, sans adresse d'image ; la recherche d'images dédiée est indisponible par politique de l'organisation et n'a été ni relancée ni contournée ; un essai d'adresse d'image constructeur n'a donné aucun résultat, donc non retenu.</t>
  </si>
  <si>
    <t>ADN-25-60-A-P-A</t>
  </si>
  <si>
    <t>VERIN COMPACT ADN-25-60-A-P-A</t>
  </si>
  <si>
    <t>536373</t>
  </si>
  <si>
    <t>087269</t>
  </si>
  <si>
    <t>DEJA CREE - article code 087269, ligne non retraitee.</t>
  </si>
  <si>
    <t xml:space="preserve">CMJT136 </t>
  </si>
  <si>
    <t>LMIA</t>
  </si>
  <si>
    <t>JOINT TORIQUE</t>
  </si>
  <si>
    <t>LMIA SA</t>
  </si>
  <si>
    <t>FFR_6486</t>
  </si>
  <si>
    <t>SIA_CMJT136</t>
  </si>
  <si>
    <t>2212_001.pdf</t>
  </si>
  <si>
    <t>30/09 : Merci de nous transmettre un devis</t>
  </si>
  <si>
    <t>ARTICLE A IDENTIFIER - REFERENCE CMJT136</t>
  </si>
  <si>
    <t>Saisie d origine uniquement, majuscules/espacement d unités et traduction usuelle sans ajout de caractéristiques. Nature source JOINT déjà présente : 681/866 codes distincts, soit 78.6%. Conservée même minoritaire. Dominante JOINT : 681/866, soit 78.6% ; seuil d éligibilité 30 %, jamais une validation technique.</t>
  </si>
  <si>
    <t>Le site LMIA et la Communauté de communes de la Basse-Zorn confirment LMIA SA comme fournisseur de machines agroalimentaires, mais ni CMJT136 ni SIA_CMJT136 ne sont publiés dans les résultats obtenus et le fabricant du joint reste inconnu. Photo : Pièce propriétaire : absence normale de photo publique exacte et aucune URL image admissible renvoyée par les pages consultées. Accès à la pièce jointe d origine Q479 refusé lors de la vérification du lien ; aucune autre voie d accès tentée et aucune donnée technique issue de ce document.</t>
  </si>
  <si>
    <t>87060C1M141</t>
  </si>
  <si>
    <t>SAPELEM</t>
  </si>
  <si>
    <t xml:space="preserve">VENTOUSE 1,5 SOUFFLETS DIAMETRE 60 CAOUTCHOUC NATUREL + RACCORD MALE 1/4  </t>
  </si>
  <si>
    <t>110100 AIR / VIDE</t>
  </si>
  <si>
    <t>087272</t>
  </si>
  <si>
    <t>DEJA CREE - article code 087272, ligne non retraitee.</t>
  </si>
  <si>
    <t>1.428-568.0</t>
  </si>
  <si>
    <t>KARCHER</t>
  </si>
  <si>
    <t>ASPIRATEUR EAU ET POUSSIERE NT 30/1 ME CLASSIC EDITION</t>
  </si>
  <si>
    <t>135100 OUTILLAGE PRODUITS CHIMIQUES : ACCESSOIRES D'EXPLOITATION</t>
  </si>
  <si>
    <t>AB59719</t>
  </si>
  <si>
    <t>Kärcher</t>
  </si>
  <si>
    <t>ASPIRATEUR EAU ET POUSSIÈRES NT 30/1 ME CLASSIC EDITION</t>
  </si>
  <si>
    <t>Reformulation française du libellé constructeur de la référence vérifiée. Source : Kärcher — NT 30/1 Me Classic Edition | Kärcher International; Kärcher — NT 30/1 Me Classic Edition | Kärcher Professional (France); Manutan — Aspirateur eau et poussières NT 30/1 Me classic Edition - Karcher - Manutan.fr (Réf. AB59719)</t>
  </si>
  <si>
    <t>ASPIRATEUR EAU ET POUSSIERES NT 30/1 ME CLASSIC EDITION CUVE INOX 30 L 1500 W</t>
  </si>
  <si>
    <t>Termes techniques issus exclusivement des sources vérifiées du 07/10/2026, reformulés selon l usage de la famille. Sources : Kärcher — NT 30/1 Me Classic Edition | Kärcher International; Kärcher — NT 30/1 Me Classic Edition | Kärcher Professional (France); Manutan — Aspirateur eau et poussières NT 30/1 Me classic Edition - Karcher - Manutan.fr (Réf. AB59719); Manutan — Mentions légales Manutan</t>
  </si>
  <si>
    <t>Saisie d origine uniquement, majuscules/espacement d unités et traduction usuelle sans ajout de caractéristiques. Nature source ASPIRATEUR déjà présente : 2/249 codes distincts, soit 0.8%. Conservée même minoritaire. Dominante TEFLON : 15/249, soit 6.0% ; seuil d éligibilité 30 %, jamais une validation technique.</t>
  </si>
  <si>
    <t>La page officielle Kärcher publie le numéro de commande 1.428-568.0 pour le NT 30/1 Me Classic Edition avec des caractéristiques concordantes, et la page manutan.fr publie ce même appareil sous la référence AB59719 du fournisseur saisi MANUTAN. Photo : Aucune URL d'image éditeur exploitable : les outils web autorisés (recherche web et ouverture de pages) n'ont renvoyé que le texte des pages, sans adresse d'image ; la recherche d'images dédiée est indisponible par politique de l'organisation et n'a été ni relancée ni contournée ; un essai d'adresse d'image constructeur n'a donné aucun résultat, donc non retenu.</t>
  </si>
  <si>
    <t>15SV03F030T/D</t>
  </si>
  <si>
    <t>LOWARA</t>
  </si>
  <si>
    <t>POMPE SURPRESSEUR 15SV03F030T/D CODE 1016LD421</t>
  </si>
  <si>
    <t>SPI5</t>
  </si>
  <si>
    <t>ABV</t>
  </si>
  <si>
    <t>1016LD421</t>
  </si>
  <si>
    <t>DEVIS</t>
  </si>
  <si>
    <t>Lowara</t>
  </si>
  <si>
    <t>POMPE VERTICALE MULTICELLULAIRE 15SV03F030T/D 3 KW TRIPHASEE 230/400 V DN50</t>
  </si>
  <si>
    <t>Termes techniques issus exclusivement des sources vérifiées du 07/10/2026, reformulés selon l usage de la famille. Sources : Pumps UK — Lowara 15SV03F030T/D Multistage Pump (1016LD421); Pumpalia — 15SV03F030T/D, product code 1016LD421</t>
  </si>
  <si>
    <t>Pumps UK et Pumpalia confirment 15SV03F030T/D, le code fabricant 1016LD421 et 3 kW en 3×230/400 V, mais aucune source ne relie ce code au fournisseur saisi ABV, et la simple note DEVIS ne constitue pas un devis consulté. Photo : Les sorties web consultées ne fournissent aucune URL complète d'image éditeur admissible rattachée à cette référence; aucune recherche d'images dédiée effectuée.</t>
  </si>
  <si>
    <t>227542</t>
  </si>
  <si>
    <t>BURKERT</t>
  </si>
  <si>
    <t>ELECTROVANNE TYPE 6213 2/2 NF LAITON 1"1/2 MEMBRANE EPDM 24VDC</t>
  </si>
  <si>
    <t>141000 PNEUMATIQUE : VANNES ELECTROVANNES</t>
  </si>
  <si>
    <t xml:space="preserve">	
FELDMANN LESQUIN FR 59</t>
  </si>
  <si>
    <t>9514513/JTN</t>
  </si>
  <si>
    <t>Bürkert</t>
  </si>
  <si>
    <t>FELDMANN</t>
  </si>
  <si>
    <t>ÉLECTROVANNE 2/2 VOIES À MEMBRANE SERVO-ASSISTÉE TYPE 6213</t>
  </si>
  <si>
    <t>Reformulation française du libellé constructeur de la référence vérifiée. Source : Bürkert — 2/2-way-solenoid valve, servo coupled — Type 6213 / Article Number 227542; Bürkert — Type 6213 - Servo-assisted 2/2-way diaphragm valve; Valves Direct — Burkert 227542 - 2/2 NC, G1 1/2, Orifice Size 40mm, Type 6213; Feldmann — Contactez-nous | Feldmann (FELDMANN LESQUIN); 118000.fr — Feldmann à LESQUIN 59810 (SIRET 34096955900053)</t>
  </si>
  <si>
    <t>ELECTROVANNE 2/2 NF TYPE 6213 G1 1/2 LAITON EPDM 24 V CC</t>
  </si>
  <si>
    <t>Termes techniques issus exclusivement des sources vérifiées du 07/10/2026, reformulés selon l usage de la famille. Sources : Bürkert — 2/2-way-solenoid valve, servo coupled — Type 6213 / Article Number 227542; Bürkert — Type 6213 - Servo-assisted 2/2-way diaphragm valve; Valves Direct — Burkert 227542 - 2/2 NC, G1 1/2, Orifice Size 40mm, Type 6213; Feldmann — Contactez-nous | Feldmann (FELDMANN LESQUIN); 118000.fr — Feldmann à LESQUIN 59810 (SIRET 34096955900053)</t>
  </si>
  <si>
    <t>ELECTROVANNE TYPE 6213 2/2 NF LAITON 1"1/2 MEMBRANE EPDM 24 VDC</t>
  </si>
  <si>
    <t>Saisie d origine uniquement, majuscules/espacement d unités et traduction usuelle sans ajout de caractéristiques. Nature source ELECTROVANNE déjà présente : 115/283 codes distincts, soit 40.6%. Conservée même minoritaire. Dominante ELECTROVANNE : 115/283, soit 40.6% ; seuil d éligibilité 30 %, jamais une validation technique.</t>
  </si>
  <si>
    <t>La page officielle Bürkert du type 6213, article 227542, publie une électrovanne 2/2 NF laiton G1 1/2 à membrane EPDM en 24 V, concordante avec la saisie (24VDC déjà présent), corroborée par Valves Direct ; FELDMANN Lesquin est vérifié par son site officiel mais le code 9514513/JTN n'y est pas publié. Photo : Aucune URL d'image éditeur exploitable : les outils web autorisés (recherche web et ouverture de pages) n'ont renvoyé que le texte des pages, sans adresse d'image ; la recherche d'images dédiée est indisponible par politique de l'organisation et n'a été ni relancée ni contournée ; un essai d'adresse d'image constructeur n'a donné aucun résultat, donc non retenu. Les pages Bürkert et Valves Direct précisent en outre que l'image affichée peut différer du produit réel.</t>
  </si>
  <si>
    <t>DOUBLE PIGNON COUPEUSE</t>
  </si>
  <si>
    <t>PIGNON DOUBLE CONSTITUE D UN DISQUE 18DTS 08B1 1/2P X5/16P-4MP ET UN ENGREN. MOD 3 22 DTS 38/M3/022</t>
  </si>
  <si>
    <t>COUPEUSE ZENARI</t>
  </si>
  <si>
    <t>IMG_1241.JPG</t>
  </si>
  <si>
    <t>ARTICLE A IDENTIFIER - REFERENCE DOUBLE PIGNON COUPEUSE</t>
  </si>
  <si>
    <t>PIGNON DOUBLE COMPOSE D UN DISQUE 18DENTS 08B1 1/2P X5/16P-4MP ET UN ENGREN. MOD 3 22 DENTS</t>
  </si>
  <si>
    <t>Le site officiel Zenari Engineering confirme le constructeur et sa raison sociale S.N.C., mais ne publie pas DOUBLE PIGNON COUPEUSE dans les recherches réalisées ; les cotes restent celles de la saisie. La marque est laissée non confirmée : les sources identifient une société ou une série, pas le fabricant de la variante demandée. Photo : Pièce propriétaire : absence normale de photo publique exacte et aucune URL image admissible renvoyée par les pages consultées.</t>
  </si>
  <si>
    <t>RENSEIGNER - FAMILLE VIDE ; aucune nature produit suffisamment prouvée pour choisir un libellé officiel.</t>
  </si>
  <si>
    <t>41274-BBB-409</t>
  </si>
  <si>
    <t>SEA PRODUCTIQUE</t>
  </si>
  <si>
    <t xml:space="preserve">BRAS </t>
  </si>
  <si>
    <t xml:space="preserve">PREHENSEUR PAL </t>
  </si>
  <si>
    <t xml:space="preserve">SEA PRODUCTIQUE </t>
  </si>
  <si>
    <t>ARTICLE A IDENTIFIER - REFERENCE 41274-BBB-409</t>
  </si>
  <si>
    <t>BRAS 41274-BBB-409</t>
  </si>
  <si>
    <t>Le Figaro Entreprises confirme la raison sociale SEA PRODUCTIQUE, mais aucune publication de 41274-BBB-409 ne ressort des recherches ; PREHENSEUR PAL est déjà renseigné dans la saisie et le fabricant physique du composant n’est pas établi. Photo : Pièce propriétaire : absence normale de photo publique exacte et aucune URL image admissible renvoyée par les pages consultées.</t>
  </si>
  <si>
    <t>PREHENSEUR PAL</t>
  </si>
  <si>
    <t>41274-BBB-415</t>
  </si>
  <si>
    <t>DOIGT</t>
  </si>
  <si>
    <t>ARTICLE A IDENTIFIER - REFERENCE 41274-BBB-415</t>
  </si>
  <si>
    <t>DOIGT 41274-BBB-415</t>
  </si>
  <si>
    <t>Saisie d origine uniquement, majuscules/espacement d unités et traduction usuelle sans ajout de caractéristiques. Nature source DOIGT déjà présente : 10/1042 codes distincts, soit 1.0%. Conservée même minoritaire. Dominante RESSORT : 40/1042, soit 3.8% ; seuil d éligibilité 30 %, jamais une validation technique.</t>
  </si>
  <si>
    <t>Le Figaro Entreprises confirme la raison sociale SEA PRODUCTIQUE, mais aucune publication de 41274-BBB-415 ne ressort des recherches ; PREHENSEUR PAL est déjà renseigné dans la saisie et le fabricant physique du composant n’est pas établi. Photo : Pièce propriétaire : absence normale de photo publique exacte et aucune URL image admissible renvoyée par les pages consultées.</t>
  </si>
  <si>
    <t xml:space="preserve">41274-BBB-301 </t>
  </si>
  <si>
    <t xml:space="preserve">MOYEU </t>
  </si>
  <si>
    <t>41274-BBB-31</t>
  </si>
  <si>
    <t>Non confirmé - aucune source publique trouvée ; Erreur de saisie source à corriger ; VALIDER - CHAMPS NON CONFIRMES</t>
  </si>
  <si>
    <t xml:space="preserve">ARTICLE A IDENTIFIER - REFERENCE 41274-BBB-301 </t>
  </si>
  <si>
    <t xml:space="preserve">MOYEU 41274-BBB-301 </t>
  </si>
  <si>
    <t>Saisie d origine uniquement, majuscules/espacement d unités et traduction usuelle sans ajout de caractéristiques. Nature source MOYEU déjà présente : 4/1042 codes distincts, soit 0.4%. Conservée même minoritaire. Dominante RESSORT : 40/1042, soit 3.8% ; seuil d éligibilité 30 %, jamais une validation technique.</t>
  </si>
  <si>
    <t>Le Figaro Entreprises confirme SEA PRODUCTIQUE sans publier la pièce, tandis que la saisie présente l’écart 41274-BBB-301 / 41274-BBB-31 à résoudre pour le moyeu du PREHENSEUR PAL. Photo : Pièce propriétaire : absence normale de photo publique exacte et aucune URL image admissible renvoyée par les pages consultées.</t>
  </si>
  <si>
    <t>41274-BBB-412</t>
  </si>
  <si>
    <t>BRAS SYM.</t>
  </si>
  <si>
    <t>ARTICLE A IDENTIFIER - REFERENCE 41274-BBB-412</t>
  </si>
  <si>
    <t>BRAS SYM. 41274-BBB-412</t>
  </si>
  <si>
    <t>Le Figaro Entreprises confirme la raison sociale SEA PRODUCTIQUE, mais aucune publication de 41274-BBB-412 ne ressort des recherches ; PREHENSEUR PAL est déjà renseigné dans la saisie et le fabricant physique du composant n’est pas établi. Photo : Pièce propriétaire : absence normale de photo publique exacte et aucune URL image admissible renvoyée par les pages consultées.</t>
  </si>
  <si>
    <t>41274-BBB-411</t>
  </si>
  <si>
    <t xml:space="preserve">BIELLE </t>
  </si>
  <si>
    <t>ARTICLE A IDENTIFIER - REFERENCE 41274-BBB-411</t>
  </si>
  <si>
    <t>BIELLE 41274-BBB-411</t>
  </si>
  <si>
    <t>Le Figaro Entreprises confirme la raison sociale SEA PRODUCTIQUE, mais aucune publication de 41274-BBB-411 ne ressort des recherches ; PREHENSEUR PAL est déjà renseigné dans la saisie et le fabricant physique du composant n’est pas établi. Photo : Pièce propriétaire : absence normale de photo publique exacte et aucune URL image admissible renvoyée par les pages consultées.</t>
  </si>
  <si>
    <t>A017040</t>
  </si>
  <si>
    <t>DIMENSIO</t>
  </si>
  <si>
    <t>SAC POUBELLE 168 LITRES JAUNE LOT DE 200</t>
  </si>
  <si>
    <t>SAC POUBELLE TRI SELECTIF PEHD JAUNE 168 L LOT DE 200 SACS</t>
  </si>
  <si>
    <t>Termes techniques issus exclusivement des sources vérifiées du 07/10/2026, reformulés selon l usage de la famille. Sources : Manutan — Mentions légales Manutan; Manutan UK — Bin bags 168 L : A017040 jaune, pack de 200; Manutan France — Sac-poubelle tri sélectif déchet courant 168 L</t>
  </si>
  <si>
    <t>Saisie d origine uniquement, majuscules/espacement d unités et traduction usuelle sans ajout de caractéristiques. Nature source SAC déjà présente : 4/249 codes distincts, soit 1.6%. Conservée même minoritaire. Dominante TEFLON : 15/249, soit 6.0% ; seuil d éligibilité 30 %, jamais une validation technique.</t>
  </si>
  <si>
    <t>Manutan UK publie A017040 en jaune, 168 L et lot de 200, croisé avec la famille française Manutan 168 L, mais DIMENSIO et une référence d’usine ne sont pas attestés et la page française ne montre pas le code de variante. Photo : Les pages exactes et de famille ouvertes ne renvoient aucune URL image admissible ; les images de catégorie ne sont pas une preuve.</t>
  </si>
  <si>
    <t>238710-006-D</t>
  </si>
  <si>
    <t>ASCO</t>
  </si>
  <si>
    <t>BOBINE ELECTROVANNE 238710-006-D DIAMETRE INTERIEUR 14MM HAUTEUR 39MM DC24V</t>
  </si>
  <si>
    <t>DEFR1326-019044 E.V fluide Optyx</t>
  </si>
  <si>
    <t>BOBINE ELECTROVANNE ASCO 24 V CC 11,6 W ISOLATION CLASSE F</t>
  </si>
  <si>
    <t>Termes techniques issus exclusivement des sources vérifiées du 07/10/2026, reformulés selon l usage de la famille. Sources : Valin — 238710-006-D — Solenoid Valve Coil Kit; Kleen-Rite — 238710-006-D — 24 VDC Solenoid Valve Coil; ASCO / hébergement Valin — ASCO Solenoids, Coils &amp; Accessories — Identification; Annuaire des Entreprises — Société SAFIM — SIREN 444413892</t>
  </si>
  <si>
    <t>BOBINE ELECTROVANNE 238710-006-D DIAMETRE INTERIEUR 14 MM HAUTEUR 39 MM DC24V</t>
  </si>
  <si>
    <t>Saisie d origine uniquement, majuscules/espacement d unités et traduction usuelle sans ajout de caractéristiques. Nature source BOBINE déjà présente : 15/283 codes distincts, soit 5.3%. Conservée même minoritaire. Dominante ELECTROVANNE : 115/283, soit 40.6% ; seuil d éligibilité 30 %, jamais une validation technique.</t>
  </si>
  <si>
    <t>Valin et Kleen-Rite confirment la bobine ASCO 238710-006-D en 24 V CC, le catalogue ASCO ouvert est seulement de famille et l’Annuaire des Entreprises vérifie SAFIM sans code SAFIM publié. Photo : Les sorties de consultation des pages consultées fournissent du texte sans URL d’image éditeur pleine résolution vérifiable ; aucune image retenue.</t>
  </si>
  <si>
    <t>X20BC0083</t>
  </si>
  <si>
    <t>B&amp;R AUTOMATION</t>
  </si>
  <si>
    <t>MODULE POWERLINK X20 24V CODE ALIMENTATION INTERNE E/S X2X AVEC 2 PORTE RJ45</t>
  </si>
  <si>
    <t>105250 AUTOMATISATION : INTERFACES DE PRECABLAGE</t>
  </si>
  <si>
    <t>GEA FOOD SOLUTIONS INTERNACIONAL BV IB.</t>
  </si>
  <si>
    <t>GEA Food Solutions International B.V.</t>
  </si>
  <si>
    <t>CONTRÔLEUR DE BUS POWERLINK X20</t>
  </si>
  <si>
    <t>Reformulation française du libellé constructeur de la référence vérifiée. Source : B&amp;R Industrial Automation — X20BC0083; RS — X20BC0083 — B&amp;R X20; NEX Instrument — X20BC0083 — X20 Bus Controller; LEIatlas / données GLEIF — GEA Food Solutions International B.V. — LEI 5299007KPTJPEU9TEQ59</t>
  </si>
  <si>
    <t>CONTROLEUR DE BUS POWERLINK X20 INTERFACE E/S X2X LINK 2 RJ45</t>
  </si>
  <si>
    <t>Termes techniques issus exclusivement des sources vérifiées du 07/10/2026, reformulés selon l usage de la famille. Sources : B&amp;R Industrial Automation — X20BC0083; RS — X20BC0083 — B&amp;R X20; NEX Instrument — X20BC0083 — X20 Bus Controller; LEIatlas / données GLEIF — GEA Food Solutions International B.V. — LEI 5299007KPTJPEU9TEQ59</t>
  </si>
  <si>
    <t>Saisie d origine uniquement, majuscules/espacement d unités et traduction usuelle sans ajout de caractéristiques. Nature source MODULE déjà présente : 20/85 codes distincts, soit 23.5%. Conservée même minoritaire. Dominante MODULE : 20/85, soit 23.5% ; seuil d éligibilité 30 %, jamais une validation technique.</t>
  </si>
  <si>
    <t>B&amp;R publie le numéro X20BC0083 et sa fonction POWERLINK, recoupés par RS et NEX Instrument, et LEIatlas vérifie GEA Food Solutions International B.V. sans publier de code produit GEA. Photo : Les sorties de consultation des pages consultées fournissent du texte sans URL d’image éditeur pleine résolution vérifiable ; aucune image retenue.</t>
  </si>
  <si>
    <t>105230 AUTOMATISATION : COMPOSANTS RESEAUX</t>
  </si>
  <si>
    <t>VALIDER - FAMILLE PROPOSEE : Contrôleur de bus POWERLINK officiellement identifié ; composant réseau, non interface de précâblage.</t>
  </si>
  <si>
    <t>0550105</t>
  </si>
  <si>
    <t xml:space="preserve">HENGSTLER </t>
  </si>
  <si>
    <t>ENCODER HENGSTLER 0550105 - RI58-O/10000AS.71RC</t>
  </si>
  <si>
    <t>Hengstler</t>
  </si>
  <si>
    <t>CODEUR INCRÉMENTAL RI58-O/10000AS.71RC</t>
  </si>
  <si>
    <t>Reformulation française du libellé constructeur de la référence vérifiée. Source : Hengstler — 0550105 — RI58-O/10000AS.71RC; Kempston Controls — 0550105 — ENCODER RI58-O/10000AS.71RC; LEIatlas / données GLEIF — GEA Food Solutions International B.V. — LEI 5299007KPTJPEU9TEQ59</t>
  </si>
  <si>
    <t>CODEUR INCREMENTAL OPTIQUE 10000 IMPULSIONS PAR TOUR 5 V CC SORTIE RS422 ARBRE D 6 MM</t>
  </si>
  <si>
    <t>Termes techniques issus exclusivement des sources vérifiées du 07/10/2026, reformulés selon l usage de la famille. Sources : Hengstler — 0550105 — RI58-O/10000AS.71RC; Kempston Controls — 0550105 — ENCODER RI58-O/10000AS.71RC; LEIatlas / données GLEIF — GEA Food Solutions International B.V. — LEI 5299007KPTJPEU9TEQ59</t>
  </si>
  <si>
    <t>CODEUR HENGSTLER 0550105 - RI58-O/10000AS.71RC</t>
  </si>
  <si>
    <t>Saisie d origine uniquement, majuscules/espacement d unités et traduction usuelle sans ajout de caractéristiques. Nature source ENCODER déjà présente : 3/52 codes distincts, soit 5.8%. Conservée même minoritaire. Dominante CODEUR : 38/52, soit 73.1% ; seuil d éligibilité 30 %, jamais une validation technique.</t>
  </si>
  <si>
    <t>Hengstler associe exactement 0550105 à RI58-O/10000AS.71RC, recoupé par Kempston Controls, et LEIatlas vérifie GEA Food Solutions International B.V. sans code produit GEA publié. Photo : Les sorties de consultation des pages consultées fournissent du texte sans URL d’image éditeur pleine résolution vérifiable ; aucune image retenue.</t>
  </si>
  <si>
    <t>CMT3162X</t>
  </si>
  <si>
    <t>WEINTEK</t>
  </si>
  <si>
    <t>ECRAN TACTILE 15,6' 1920X1080 WVA SERIE CMT-X</t>
  </si>
  <si>
    <t>F FONSECA S.A.</t>
  </si>
  <si>
    <t xml:space="preserve"> </t>
  </si>
  <si>
    <t>cMT3162X</t>
  </si>
  <si>
    <t>Weintek</t>
  </si>
  <si>
    <t>F. FONSECA, S.A.</t>
  </si>
  <si>
    <t>INTERFACE HOMME-MACHINE À ÉCRAN WVA 15,6 POUCES</t>
  </si>
  <si>
    <t>Reformulation française du libellé constructeur de la référence vérifiée. Source : Weintek — cMT3162X; Weintek — cMT3162X_Datasheet_ENG; F.Fonseca — News — cMT2166X e cMT3162X</t>
  </si>
  <si>
    <t>INTERFACE HOMME MACHINE ECRAN TACTILE WVA 15,6 POUCES 1920X1080 PIXELS 24 V CC</t>
  </si>
  <si>
    <t>Termes techniques issus exclusivement des sources vérifiées du 07/10/2026, reformulés selon l usage de la famille. Sources : Weintek — cMT3162X; Weintek — cMT3162X_Datasheet_ENG; F.Fonseca — News — cMT2166X e cMT3162X; Dun &amp; Bradstreet — F. FONSECA, S.A. — Company Summary</t>
  </si>
  <si>
    <t>Saisie d origine uniquement, majuscules/espacement d unités et traduction usuelle sans ajout de caractéristiques. Nature source ECRAN déjà présente : 35/2652 codes distincts, soit 1.3%. Conservée même minoritaire. Dominante CELLULE : 289/2652, soit 10.9% ; seuil d éligibilité 30 %, jamais une validation technique.</t>
  </si>
  <si>
    <t>Weintek confirme cMT3162X dans sa page et sa fiche, F.Fonseca publie ce modèle dans ses actualités et D&amp;B vérifie F. FONSECA, S.A. Photo : Les sorties de consultation des pages consultées fournissent du texte sans URL d’image éditeur pleine résolution vérifiable ; aucune image retenue.</t>
  </si>
  <si>
    <t>VALIDER - FAMILLE PROPOSEE : Interface homme-machine avec écran officiellement identifiée ; famille TERMINAUX ET ECRANS.</t>
  </si>
  <si>
    <t>101184361</t>
  </si>
  <si>
    <t>CAPTEUR DE SECURITE SCHMERSAL BNS 260-02Z-ST-R</t>
  </si>
  <si>
    <t>BNS 260-02Z-ST-R</t>
  </si>
  <si>
    <t>87317</t>
  </si>
  <si>
    <t>DEJA CREE - article code 87317, ligne non retraitee.</t>
  </si>
  <si>
    <t>101184396</t>
  </si>
  <si>
    <t>AIMANT CAPTEUR DE SECURITE SCHMERSAL BPS 260-2</t>
  </si>
  <si>
    <t>BPS 260-2</t>
  </si>
  <si>
    <t>Schmersal</t>
  </si>
  <si>
    <t>Schmersal France SAS</t>
  </si>
  <si>
    <t>ACTIONNEUR MAGNÉTIQUE BPS 260-2</t>
  </si>
  <si>
    <t>Reformulation française du libellé constructeur de la référence vérifiée. Source : Schmersal — BPS 260-2 — Article number 101184396; RS — BPS260-2 — Actuating Magnet</t>
  </si>
  <si>
    <t>ACTIONNEUR MAGNETIQUE BPS 260-2 POUR CAPTEUR BNS 260 BOITIER PLASTIQUE</t>
  </si>
  <si>
    <t>Termes techniques issus exclusivement des sources vérifiées du 07/10/2026, reformulés selon l usage de la famille. Sources : Schmersal — BPS 260-2 — Article number 101184396; RS — BPS260-2 — Actuating Magnet; Schmersal France SAS — Mentions légales</t>
  </si>
  <si>
    <t>Saisie d origine uniquement, majuscules/espacement d unités et traduction usuelle sans ajout de caractéristiques. Nature source AIMANT déjà présente : 8/407 codes distincts, soit 2.0%. Conservée même minoritaire. Dominante CAPTEUR : 82/407, soit 20.1% ; seuil d éligibilité 30 %, jamais une validation technique.</t>
  </si>
  <si>
    <t>Le catalogue Schmersal relie BPS 260-2 au n° 101184396, RS le recoupe et les mentions légales identifient le fournisseur Schmersal France SAS. Photo : Les sorties de consultation des pages consultées fournissent du texte sans URL d’image éditeur pleine résolution vérifiable ; aucune image retenue.</t>
  </si>
  <si>
    <t>Famille et libellé officiels concordants ; Actionneur magnétique de détection de sécurité documenté ; libellé source déjà cohérent.</t>
  </si>
  <si>
    <t>258/85804</t>
  </si>
  <si>
    <t>TECOM</t>
  </si>
  <si>
    <t xml:space="preserve"> Module de transfert - Réf.258/85804 L=115 ROULEAU AI AVEC BORD POINTU ET INSERT PLASTIQUE
</t>
  </si>
  <si>
    <t>100000 CONVOYAGE TRANSPORT</t>
  </si>
  <si>
    <t>MICHAUD CHAILLY LYON FR 69</t>
  </si>
  <si>
    <t>258 / 85804</t>
  </si>
  <si>
    <t>ETABLISSEMENTS MICHAUD ET CHAILLY</t>
  </si>
  <si>
    <t>MODULE DE TRANSFERT AVEC BORD POINTU</t>
  </si>
  <si>
    <t>Reformulation française du libellé constructeur de la référence vérifiée. Source : Annuaire des Entreprises / DINUM — ETABLISSEMENTS MICHAUD ET CHAILLY à Lyon; Tecom s.r.l. — Modules de transfert; Tecom s.r.l. — Modular transfer plates : Part.258, page 97; Tecom s.r.l. — Part.258 - Modular transfer plates with lip</t>
  </si>
  <si>
    <t>MODULE DE TRANSFERT A BORD POINTU LARGEUR 115 MM 3 RANGEES DE ROULEAUX INOX AISI 304</t>
  </si>
  <si>
    <t>Termes techniques issus exclusivement des sources vérifiées du 07/10/2026, reformulés selon l usage de la famille. Sources : Annuaire des Entreprises / DINUM — ETABLISSEMENTS MICHAUD ET CHAILLY à Lyon; Tecom s.r.l. — Modules de transfert; Tecom s.r.l. — Modular transfer plates : Part.258, page 97; Tecom s.r.l. — Part.258 - Modular transfer plates with lip</t>
  </si>
  <si>
    <t>MODULE DE TRANSFERT - RÉF.258/85804 L=115 ROULEAU AI AVEC BORD POINTU ET INSERT PLASTIQUE</t>
  </si>
  <si>
    <t>Saisie d origine uniquement, majuscules/espacement d unités et traduction usuelle sans ajout de caractéristiques. Nature source MODULE déjà présente : 4/520 codes distincts, soit 0.8%. Conservée même minoritaire. Dominante BANDE : 304/520, soit 58.5% ; seuil d éligibilité 30 %, jamais une validation technique.</t>
  </si>
  <si>
    <t>Le catalogue constructeur Tecom page 97 publie exactement 258 / 85804, module de largeur 115 mm avec bord pointu, trois rangées de rouleaux inox AISI 304 et bagues polyamide, tandis que Michaud et Chailly est vérifié séparément sans publication de son code fournisseur. Photo : Page constructeur et PDF ouverts : aucune URL image pleine résolution admissible renvoyée par les pages consultées.</t>
  </si>
  <si>
    <t>31ZZZX07451001</t>
  </si>
  <si>
    <t>MICHAUD CHAILLY</t>
  </si>
  <si>
    <t>ROULEAU INOX 16x1 LONGUEUR 105</t>
  </si>
  <si>
    <t>ARTICLE A IDENTIFIER - REFERENCE 31ZZZX07451001</t>
  </si>
  <si>
    <t>ROULEAU INOX 16X1 LONGUEUR 105</t>
  </si>
  <si>
    <t>Saisie d origine uniquement, majuscules/espacement d unités et traduction usuelle sans ajout de caractéristiques. Nature source ROULEAU déjà présente : 3/520 codes distincts, soit 0.6%. Conservée même minoritaire. Dominante BANDE : 304/520, soit 58.5% ; seuil d éligibilité 30 %, jamais une validation technique.</t>
  </si>
  <si>
    <t>L’Annuaire des Entreprises confirme ETABLISSEMENTS MICHAUD ET CHAILLY à Lyon et son site présente des composants et services sur mesure, mais 31ZZZX07451001 n’est pas publié et le fabricant physique du rouleau n’est pas établi. Photo : Pièce propriétaire : absence normale de photo publique exacte et aucune URL image admissible renvoyée par les pages consultées.</t>
  </si>
  <si>
    <t>Romain DELAMOTTE</t>
  </si>
  <si>
    <t>UNWR-02015</t>
  </si>
  <si>
    <t>MAGNETEC</t>
  </si>
  <si>
    <t>ROULEAUX SUPERIEURS POUR TENDRE FILM 2 PIECES</t>
  </si>
  <si>
    <t>Magnetec s.r.l.</t>
  </si>
  <si>
    <t>Marque confirmée - référence non publiée ; VALIDER - DOUBLON BASE A CONFIRMER ; VALIDER - CHAMPS NON CONFIRMES</t>
  </si>
  <si>
    <t>ROULEAU SUPERIEUR DE TENSION DE FILM UNWR-02015</t>
  </si>
  <si>
    <t>Nature et termes repris de la base fraîche sur les codes distincts 082707, sans importer de cotes ni de caractéristiques non prouvées. Référence extérieure non publiée ; proposition interne à valider.</t>
  </si>
  <si>
    <t>ROULEAUX SUPERIEURS POUR TENDRE FILM 2 PIECES UNWR-02015</t>
  </si>
  <si>
    <t>Saisie d origine uniquement, majuscules/espacement d unités et traduction usuelle sans ajout de caractéristiques. Nature source ROULEAUX déjà présente : 1/15 codes distincts, soit 6.7%. Conservée même minoritaire. Dominante ROULEAU : 3/15, soit 20.0% ; seuil d éligibilité 30 %, jamais une validation technique.</t>
  </si>
  <si>
    <t>082707</t>
  </si>
  <si>
    <t>Le site officiel Magnetec s.r.l. confirme le constructeur de machines Unwrapper et Wrapper, mais les recherches réalisées ne publient pas UNWR-02015 ; la famille de machines n’atteste pas la configuration de cette pièce. La marque est laissée non confirmée : les sources identifient une société ou une série, pas le fabricant de la variante demandée. Base fraîche : 082707. Référence et contexte machine compatibles ; vérifier le code existant avant toute création. Photo : Pièce propriétaire : absence normale de photo publique exacte et aucune URL image admissible renvoyée par les pages consultées.</t>
  </si>
  <si>
    <t>235200 MAGNETEC</t>
  </si>
  <si>
    <t>VALIDER - FAMILLE PROPOSEE : Référence et nature retrouvées dans la base fraîche en famille MAGNETEC ; libellé officiel complété, identité extérieure à valider.</t>
  </si>
  <si>
    <t>UNWR-03042</t>
  </si>
  <si>
    <t>ROULEAUX INFERIEURS POUR TENDRE FILM 2 PIECES</t>
  </si>
  <si>
    <t>ROULEAU INFERIEUR DE DEPLACEMENT DE FILM UNWR-03042</t>
  </si>
  <si>
    <t>Nature et termes repris de la base fraîche sur les codes distincts 082708, sans importer de cotes ni de caractéristiques non prouvées. Référence extérieure non publiée ; proposition interne à valider.</t>
  </si>
  <si>
    <t>ROULEAUX INFERIEURS POUR TENDRE FILM 2 PIECES UNWR-03042</t>
  </si>
  <si>
    <t>082708</t>
  </si>
  <si>
    <t>Le site officiel Magnetec s.r.l. confirme le constructeur de machines Unwrapper et Wrapper, mais les recherches réalisées ne publient pas UNWR-03042 ; la famille de machines n’atteste pas la configuration de cette pièce. La marque est laissée non confirmée : les sources identifient une société ou une série, pas le fabricant de la variante demandée. Base fraîche : 082708. Référence et contexte machine compatibles ; vérifier le code existant avant toute création. Photo : Pièce propriétaire : absence normale de photo publique exacte et aucune URL image admissible renvoyée par les pages consultées.</t>
  </si>
  <si>
    <t>UNWR-05069_3</t>
  </si>
  <si>
    <t>GOUPILLE DE SUPPORT POUR LES BARRES DE MAGASIN(JEU44 PIECES)</t>
  </si>
  <si>
    <t>GOUPILLE DE SUPPORT DE BARRES DE MAGASIN JEU DE 44 PIECES UNWR-05069_3</t>
  </si>
  <si>
    <t>Nature et termes repris de la base fraîche sur les codes distincts 082709, sans importer de cotes ni de caractéristiques non prouvées. Référence extérieure non publiée ; proposition interne à valider.</t>
  </si>
  <si>
    <t>GOUPILLE DE SUPPORT POUR LES BARRES DE MAGASIN(JEU44 PIECES) UNWR-05069_3</t>
  </si>
  <si>
    <t>Saisie d origine uniquement, majuscules/espacement d unités et traduction usuelle sans ajout de caractéristiques. Nature source GOUPILLE déjà présente : 1/15 codes distincts, soit 6.7%. Conservée même minoritaire. Dominante ROULEAU : 3/15, soit 20.0% ; seuil d éligibilité 30 %, jamais une validation technique.</t>
  </si>
  <si>
    <t>082709</t>
  </si>
  <si>
    <t>Le site officiel Magnetec s.r.l. confirme le constructeur de machines Unwrapper et Wrapper, mais les recherches réalisées ne publient pas UNWR-05069_3 ; la famille de machines n’atteste pas la configuration de cette pièce. La marque est laissée non confirmée : les sources identifient une société ou une série, pas le fabricant de la variante demandée. Base fraîche : 082709. Référence et contexte machine compatibles ; vérifier le code existant avant toute création. Photo : Pièce propriétaire : absence normale de photo publique exacte et aucune URL image admissible renvoyée par les pages consultées.</t>
  </si>
  <si>
    <t>UNWR-05069</t>
  </si>
  <si>
    <t>TUBE DE MAGASIN POUR LE CHARGEMENT DES ROULEAUX</t>
  </si>
  <si>
    <t>TUBE DE MAGASIN DE CHARGEMENT DES ROULEAUX UNWR-05069</t>
  </si>
  <si>
    <t>Nature et termes repris de la base fraîche sur les codes distincts 082710, sans importer de cotes ni de caractéristiques non prouvées. Référence extérieure non publiée ; proposition interne à valider.</t>
  </si>
  <si>
    <t>TUBE DE MAGASIN POUR LE CHARGEMENT DES ROULEAUX UNWR-05069</t>
  </si>
  <si>
    <t>Saisie d origine uniquement, majuscules/espacement d unités et traduction usuelle sans ajout de caractéristiques. Nature source TUBE déjà présente : 1/15 codes distincts, soit 6.7%. Conservée même minoritaire. Dominante ROULEAU : 3/15, soit 20.0% ; seuil d éligibilité 30 %, jamais une validation technique.</t>
  </si>
  <si>
    <t>082710</t>
  </si>
  <si>
    <t>Le site officiel Magnetec s.r.l. confirme le constructeur de machines Unwrapper et Wrapper, mais les recherches réalisées ne publient pas UNWR-05069 ; la famille de machines n’atteste pas la configuration de cette pièce. La marque est laissée non confirmée : les sources identifient une société ou une série, pas le fabricant de la variante demandée. Base fraîche : 082710. Référence et contexte machine compatibles ; vérifier le code existant avant toute création. Photo : Pièce propriétaire : absence normale de photo publique exacte et aucune URL image admissible renvoyée par les pages consultées.</t>
  </si>
  <si>
    <t>210 L=050</t>
  </si>
  <si>
    <t>DOUBLE TOOTHED BELT 210L =050</t>
  </si>
  <si>
    <t>Série/gamme confirmée - configuration exacte non confirmée ; VALIDER - CANDIDAT AMBIGU BASE ; VALIDER - CHAMPS NON CONFIRMES</t>
  </si>
  <si>
    <t>COURROIE DENTEE PROFIL L PAS 9,525 MM - VERSION SIMPLE OU DOUBLE DENTURE A VALIDER 210 L=050</t>
  </si>
  <si>
    <t>Termes techniques issus exclusivement des sources vérifiées du 07/10/2026, reformulés selon l usage de la famille. Portée limitée à la série : cette proposition ne valide pas la variante ni les détails de saisie exclus des sources. Sources : Motion / Gates — 210L050 — PowerGrip, simple denture; Motion / Megadyne — D210L050 — double sided timing belt; Magnetec s.r.l. — Magnetec s.r.l. — convoyeurs</t>
  </si>
  <si>
    <t>COURROIE DOUBLE DENTURE 210L =050 210 L=050</t>
  </si>
  <si>
    <t>Saisie d origine uniquement, majuscules/espacement d unités et traduction usuelle sans ajout de caractéristiques. Nature source conservée sans substitution sémantique : 15 codes distincts de famille. Dominante ROULEAU : 3/15, soit 20.0% ; seuil d éligibilité 30 %, jamais une validation technique.</t>
  </si>
  <si>
    <t>019008; 048019; 049222</t>
  </si>
  <si>
    <t>Motion publie 210L050 Gates en simple denture et D210L050 Megadyne en double denture (56 dents, 21 pouces, 0,50 pouce), ce qui valide les dimensions calculées mais pas la version ni le fabricant de la pièce fournie par Magnetec. Base fraîche : 019008; 048019; 049222. La normalisation de référence ne tranche pas les dentures/dimensions et ne constitue pas un doublon certain. Photo : Fabricant et version double denture de la pièce fournie non établis ; les pages consultées signalent des photos non représentatives et ne renvoient aucune URL d’image exacte.</t>
  </si>
  <si>
    <t>150120 ACCOUPLEMENTS / TRANSMISSION : COURROIES</t>
  </si>
  <si>
    <t>VALIDER - FAMILLE PROPOSEE : Nature courroie dentée confirmée ; composant de commerce, pas famille machine MAGNETEC ; denture à valider.</t>
  </si>
  <si>
    <t>173L =075</t>
  </si>
  <si>
    <t>DOUBLE TOOTHED BELT 173L =075</t>
  </si>
  <si>
    <t>COURROIE DENTEE PROFIL L PAS 9,525 MM - VERSION ET LONGUEUR PRIMITIVE A VALIDER 173L =075</t>
  </si>
  <si>
    <t>Termes techniques issus exclusivement des sources vérifiées du 07/10/2026, reformulés selon l usage de la famille. Portée limitée à la série : cette proposition ne valide pas la variante ni les détails de saisie exclus des sources. Sources : Motion / Gates — 173L075 — PowerGrip, simple denture; Motion / Megadyne — D173L075 — double sided timing belt; Magnetec s.r.l. — Magnetec s.r.l. — convoyeurs; VBeltSupply — D173L075 — DL 0.75 in × 17.3 in PL, 46T</t>
  </si>
  <si>
    <t>COURROIE DOUBLE DENTURE 173L =075</t>
  </si>
  <si>
    <t>082742</t>
  </si>
  <si>
    <t>Motion publie 173L075 Gates à 46 dents et 17,25 pouces et D173L075 Megadyne en double denture, tandis que VBeltSupply étiquette D173L075 à 46 dents et 17,3 pouces, écart documenté par calcul de conversion sans identifier la pièce fournie par Magnetec. Base fraîche : 082742. La normalisation de référence ne tranche pas les dentures/dimensions et ne constitue pas un doublon certain. Photo : Fabricant et version double denture de la pièce fournie non établis ; les pages consultées signalent des photos non représentatives et ne renvoient aucune URL d’image exacte.</t>
  </si>
  <si>
    <t>VALIDER - FAMILLE PROPOSEE : Nature courroie dentée confirmée ; composant de commerce, pas famille machine MAGNETEC ; version à valider.</t>
  </si>
  <si>
    <t>NA696 2M5U0-U2 LF W A 8065X100MM</t>
  </si>
  <si>
    <t>BANDE LIGNE J CHIORINO NA696 2M5U0-U2 LF W A BLANC 8065X100MM</t>
  </si>
  <si>
    <t>BANDE TRANSPORT NA696 2M5 U0 U2 LF W A TPU BLANC 2 PLIS PET NA696 2M5U0-U2 LF W A 8065X100MM</t>
  </si>
  <si>
    <t>Termes techniques issus exclusivement des sources vérifiées du 07/10/2026, reformulés selon l usage de la famille. Portée limitée à la série : cette proposition ne valide pas la variante ni les détails de saisie exclus des sources. Sources : Chiorino — NA696 — 2M5 U0-U2 LF W A, technical data sheet; Chiorino — NA696 — 2M5 U0-U2 LF W A, Datenblatt; Magnetec s.r.l. — Magnetec s.r.l. — convoyage et emballage métallique</t>
  </si>
  <si>
    <t>BANDE LIGNE J CHIORINO NA696 2M5U0-U2 LF W A BLANC 8065X100 MM NA696 2M5U0-U2 LF W A 8065X100MM</t>
  </si>
  <si>
    <t>Saisie d origine uniquement, majuscules/espacement d unités et traduction usuelle sans ajout de caractéristiques. Nature source BANDE déjà présente : 2/15 codes distincts, soit 13.3%. Conservée même minoritaire. Dominante ROULEAU : 3/15, soit 20.0% ; seuil d éligibilité 30 %, jamais une validation technique.</t>
  </si>
  <si>
    <t>Les fiches Chiorino NA696 anglaise et allemande attestent 2M5 U0-U2 LF W A et la couleur blanche, tandis que Magnetec est identifié comme fournisseur/constructeur de convoyage et que la découpe 8065 × 100 mm reste une confection saisie non publiée. La marque est laissée non confirmée : les sources identifient une société ou une série, pas le fabricant de la variante demandée. Photo : Confection sur mesure : absence normale de photo de la découpe exacte ; aucune URL d’image éditeur exploitable renvoyée par les fiches ouvertes.</t>
  </si>
  <si>
    <t>VALIDER - FAMILLE PROPOSEE : Nature bande de transport TPU documentée par Chiorino ; composant de convoyage, confection à valider.</t>
  </si>
  <si>
    <t>2M5U0-U2 LF W A BLANC 22310X100MM</t>
  </si>
  <si>
    <t>BANDE LIGNE J CHIORINO NA696 2M5U0-U2 LF W A BLANC 22310X100MM</t>
  </si>
  <si>
    <t>BANDE TRANSPORT NA696 2M5 U0 U2 LF W A TPU BLANC 2 PLIS PET 2M5U0-U2 LF W A BLANC 22310X100MM</t>
  </si>
  <si>
    <t>BANDE LIGNE J CHIORINO NA696 2M5U0-U2 LF W A BLANC 22310X100 MM 2M5U0-U2 LF W A BLANC 22310X100MM</t>
  </si>
  <si>
    <t>Les fiches Chiorino NA696 anglaise et allemande attestent 2M5 U0-U2 LF W A et la couleur blanche, tandis que Magnetec est identifié comme fournisseur/constructeur de convoyage et que la découpe 22310 × 100 mm reste une confection saisie non publiée. La marque est laissée non confirmée : les sources identifient une société ou une série, pas le fabricant de la variante demandée. Photo : Confection sur mesure : absence normale de photo de la découpe exacte ; aucune URL d’image éditeur exploitable renvoyée par les fiches ouvertes.</t>
  </si>
  <si>
    <t>NA696 2M5U0-U2 LF W A BLANC 8065X100MM</t>
  </si>
  <si>
    <t>BANDE LIGNE J ET M CHIORINO NA696 2M5U0-U2 LF W A BLANC 8065X100MM</t>
  </si>
  <si>
    <t>BANDE TRANSPORT NA696 2M5 U0 U2 LF W A TPU BLANC 2 PLIS PET NA696 2M5U0-U2 LF W A BLANC 8065X100MM</t>
  </si>
  <si>
    <t>BANDE LIGNE J ET M CHIORINO NA696 2M5U0-U2 LF W A BLANC NA696 2M5U0-U2 LF W A BLANC 8065X100MM</t>
  </si>
  <si>
    <t>Cédric BOMPAY</t>
  </si>
  <si>
    <t>062.017</t>
  </si>
  <si>
    <t>HTDS</t>
  </si>
  <si>
    <t>RIDEAUX PLOMBES NON COUPES 1M2</t>
  </si>
  <si>
    <t>224520 HTDS : TRIEURS RAYONS X</t>
  </si>
  <si>
    <t>RAYON X</t>
  </si>
  <si>
    <t>https://bonduelleprd-my.sharepoint.com/:b:/r/personal/cedric_bompay_bonduelle_com/Documents/CREATIONS%20ARTICLES%20COSWIN/RIDEAUX%20PLOMBES%20RX.pdf?d=w43a07b78a96c47c58a55dcf6f22eba2e&amp;csf=1&amp;web=1&amp;e=qLoC1i</t>
  </si>
  <si>
    <t>Confirmé par devis fournisseur ; VALIDER - CHAMPS NON CONFIRMES</t>
  </si>
  <si>
    <t>RIDEAU PLOMBE NON DECOUPE 1 M² EQUIVALENT PLOMB 0,250 MM 062.017</t>
  </si>
  <si>
    <t>Termes techniques issus exclusivement des sources vérifiées du 07/10/2026, reformulés selon l usage de la famille. Sources : HTDS — RIDEAUX PLOMBES RX.pdf — Page 1 — tableau PIECES DETACHEES et PORT, proposition PPF262291 Le devis PPF262291 du 18/09/2026, page 1, confirme 1 m² et équivalent plomb 0,250 mm ; aucun fabricant physique attribué.</t>
  </si>
  <si>
    <t>RIDEAUX PLOMBES NON COUPES 1 M2 062.017</t>
  </si>
  <si>
    <t>Saisie d origine uniquement, majuscules/espacement d unités et traduction usuelle sans ajout de caractéristiques. Nature source conservée sans substitution sémantique : 5 codes distincts de famille. Dominante RIDEAU : 4/5, soit 80.0% ; seuil d éligibilité 30 %, jamais une validation technique.</t>
  </si>
  <si>
    <t>Le devis HTDS PPF262291 du 18/09/2026, page 1, fourni pour ce contrôle confirme HTDS et son code 062.017 pour des rideaux plombés non coupés de 1 m², équivalent plomb 0,250 mm, sans révéler le fabricant physique ; la recherche web ne confirme pas davantage. Photo : Pièce documentée par devis fournisseur : aucune photo publique exacte ni URL image admissible obtenue.</t>
  </si>
  <si>
    <t>FJD-3/0 B-6085</t>
  </si>
  <si>
    <t>Bijur Delimon</t>
  </si>
  <si>
    <t xml:space="preserve">DOSEUR FJD-3/0 B-6085 </t>
  </si>
  <si>
    <t>OTOR</t>
  </si>
  <si>
    <t>DS SMITH</t>
  </si>
  <si>
    <t>595-0100-001</t>
  </si>
  <si>
    <t>B6085</t>
  </si>
  <si>
    <t>DOSEUR FJD-3/0 FJD-3/0 B-6085</t>
  </si>
  <si>
    <t>Reformulation française du libellé constructeur de la référence vérifiée. Source : Bijur Delimon International — Meter Unit - B6085, METER UNIT FJD-3/0; L. DeWitt McCarter — Bijur Delimon B6085 FJD Meter Unit; DS Smith — DS Smith : groupe emballage, papier, recyclage</t>
  </si>
  <si>
    <t>DOSEUR DE LUBRIFICATION POUR HUILE FJD-3/0 LAITON ENTREE 5/16-24 SORTIE 1/4-28 FJD-3/0 B-6085</t>
  </si>
  <si>
    <t>Termes techniques issus exclusivement des sources vérifiées du 07/10/2026, reformulés selon l usage de la famille. Sources : Bijur Delimon International — Meter Unit - B6085, METER UNIT FJD-3/0; L. DeWitt McCarter — Bijur Delimon B6085 FJD Meter Unit; DS Smith — DS Smith : groupe emballage, papier, recyclage</t>
  </si>
  <si>
    <t>DOSEUR FJD-3/0 B-6085</t>
  </si>
  <si>
    <t>Bijur Delimon publie B6085 sous la désignation METER UNIT FJD-3/0 et L. DeWitt McCarter confirme la correspondance, mais le code DS SMITH 595-0100-001 et l’entité juridique exacte du fournisseur saisi ne sont pas justifiés. Photo : Les deux pages produit ouvertes ne renvoient pas d’URL de photo admissible.</t>
  </si>
  <si>
    <t>1000248</t>
  </si>
  <si>
    <t>BWT</t>
  </si>
  <si>
    <t>MEMBRANE PTFE PROMINENT</t>
  </si>
  <si>
    <t>POMPE DOSEUSE</t>
  </si>
  <si>
    <t>AFI</t>
  </si>
  <si>
    <t>ProMinent</t>
  </si>
  <si>
    <t>Référence et marque confirmées (constructeur) ; Erreur de saisie source à corriger ; VALIDER - CHAMPS NON CONFIRMES</t>
  </si>
  <si>
    <t>MEMBRANE DE RECHANGE POUR POMPE DOSEUSE</t>
  </si>
  <si>
    <t>Reformulation française du libellé constructeur de la référence vérifiée. Source : ProMinent — Exploded Views of Liquid Ends : Beta b; Aqua Products Inc. — ProMinent 1000248 - Diaphragm Gala</t>
  </si>
  <si>
    <t>MEMBRANE DE RECHANGE POUR POMPE DOSEUSE PROMINENT BETA B</t>
  </si>
  <si>
    <t>Termes techniques issus exclusivement des sources vérifiées du 07/10/2026, reformulés selon l usage de la famille. Sources : ProMinent — Exploded Views of Liquid Ends : Beta b; Aqua Products Inc. — ProMinent 1000248 - Diaphragm Gala</t>
  </si>
  <si>
    <t>Saisie d origine uniquement, majuscules/espacement d unités et traduction usuelle sans ajout de caractéristiques. Nature source MEMBRANE déjà présente : 13/635 codes distincts, soit 2.0%. Conservée même minoritaire. Dominante POMPE : 187/635, soit 29.4% ; seuil d éligibilité 30 %, jamais une validation technique.</t>
  </si>
  <si>
    <t>La vue éclatée officielle ProMinent Beta b publie la membrane 1000248, croisée avec Aqua Products, ce qui contredit la marque saisie BWT ; AFI reste non identifié sans preuve de raison sociale ni de code fournisseur. Photo : Le PDF officiel et la page distributeur ouverts ne renvoient aucune URL image admissible.</t>
  </si>
  <si>
    <t>FC-102P90KT4E21H2XGXXXXSXXXXA0BXCXXXXDX ; 131H6685</t>
  </si>
  <si>
    <t>VARIATEUR DE VITESSE HVAC DRIVE FC-102 90KW 3X380V IP21 FILTRE RFI CLASSE 2 LCP GRAPHIQUE</t>
  </si>
  <si>
    <t>SEIBO</t>
  </si>
  <si>
    <t>FC-102P90KT4E21H2XGXXXXSXXXXA0BXCXXXXDX</t>
  </si>
  <si>
    <t>Danfoss</t>
  </si>
  <si>
    <t>SOCIETE D'ELECTROTECHNIQUE INDUSTRIELLE ET DE BOBINAGE</t>
  </si>
  <si>
    <t>VARIATEUR VLT HVAC FC102 90 KW TRIPHASE 380-480 V CA IP21 PROFIBUS DP</t>
  </si>
  <si>
    <t>Termes techniques issus exclusivement des sources vérifiées du 07/10/2026, reformulés selon l usage de la famille. Sources : Electric Automation Network — Danfoss 131H6685 — code type complet; Digicon Solutions — Danfoss 131H6685 — code type complet; Danfoss Product Store — 131B9575 — FC-102 55 kW, clé de type, variante voisine; Danfoss Product Store — 131Z8887 — FC-102 250 kW, clé de type, variante voisine; Pappers — SOCIETE D’ELECTROTECHNIQUE INDUSTRIELLE ET DE BOBINAGE (SEIBO)</t>
  </si>
  <si>
    <t>VARIATEUR DE VITESSE HVAC DRIVE FC-102 90 KW 3X380V IP21 FILTRE RFI CLASSE 2 LCP GRAPHIQUE</t>
  </si>
  <si>
    <t>Saisie d origine uniquement, majuscules/espacement d unités et traduction usuelle sans ajout de caractéristiques. Nature source VARIATEUR déjà présente : 192/241 codes distincts, soit 79.7%. Conservée même minoritaire. Dominante VARIATEUR : 192/241, soit 79.7% ; seuil d éligibilité 30 %, jamais une validation technique.</t>
  </si>
  <si>
    <t>Electric Automation Network et Digicon Solutions associent exactement 131H6685 au code type complet et aux caractéristiques, les pages officielles Danfoss 131B9575/131Z8887 ne servant qu’à expliquer les segments communs de configurations voisines, et Pappers vérifie la raison sociale de SEIBO sans code article publié chez ce fournisseur. Photo : Les sorties web consultées ne fournissent aucune URL complète d'image éditeur admissible rattachée à cette référence; aucune recherche d'images dédiée effectuée.</t>
  </si>
  <si>
    <t>FC-102N110T4E21H2XGC7XXSXXXXA0BXCXXXXDX ; 134H3782</t>
  </si>
  <si>
    <t>VARIATEUR DE VITESSE HVAC DRIVE FC-102 110KW 3X380V IP21 FILTRE RFI CLASSE 2 LCP GRAPHIQUE</t>
  </si>
  <si>
    <t>FC-102N110T4E21H2XGC7XXSXXXXA0BXCXXXXDX</t>
  </si>
  <si>
    <t>VARIATEUR VLT HVAC FC102 110 KW TRIPHASE 380-480 V CA IP21 CARTE VERNIE FUSIBLES</t>
  </si>
  <si>
    <t>Termes techniques issus exclusivement des sources vérifiées du 07/10/2026, reformulés selon l usage de la famille. Sources : Electric Automation Network — Danfoss 134H3782 — code type complet; TSL Group — Danfoss 134H3782 — code type complet; Danfoss Product Store — 131B9575 — FC-102 55 kW, clé de type, variante voisine; Danfoss Product Store — 131Z8887 — FC-102 250 kW, clé de type, variante voisine; Pappers — SOCIETE D’ELECTROTECHNIQUE INDUSTRIELLE ET DE BOBINAGE (SEIBO)</t>
  </si>
  <si>
    <t>VARIATEUR DE VITESSE HVAC DRIVE FC-102 110 KW 3X380V IP21 FILTRE RFI CLASSE 2 LCP GRAPHIQUE</t>
  </si>
  <si>
    <t>Electric Automation Network et TSL Group associent exactement 134H3782 au code type complet et aux caractéristiques, les pages officielles Danfoss 131B9575/131Z8887 ne servant qu’à expliquer les segments communs de configurations voisines, et Pappers vérifie la raison sociale de SEIBO sans code article publié chez ce fournisseur. Photo : Les sorties web consultées ne fournissent aucune URL complète d'image éditeur admissible rattachée à cette référence; aucune recherche d'images dédiée effectuée.</t>
  </si>
  <si>
    <t>02-MAN600-SE25-P04</t>
  </si>
  <si>
    <t>GUY LEGALL</t>
  </si>
  <si>
    <t>PLAQUETTE USURE GUIDE FOND MANZINI A600 LIGNE 1</t>
  </si>
  <si>
    <t>235500 MANZINI</t>
  </si>
  <si>
    <t>MANZINI</t>
  </si>
  <si>
    <t>SARL GUY LE GALL</t>
  </si>
  <si>
    <t>ARTICLE A IDENTIFIER - REFERENCE 02-MAN600-SE25-P04</t>
  </si>
  <si>
    <t>PLAQUETTE USURE GUIDE FOND MANZINI A600 LIGNE 1 02-MAN600-SE25-P04</t>
  </si>
  <si>
    <t>Saisie d origine uniquement, majuscules/espacement d unités et traduction usuelle sans ajout de caractéristiques. Nature source PLAQUETTE déjà présente : 2/267 codes distincts, soit 0.7%. Conservée même minoritaire. Dominante MOLETTE : 28/267, soit 10.5% ; seuil d éligibilité 30 %, jamais une validation technique.</t>
  </si>
  <si>
    <t>Le site officiel GUY LE GALL et Pappers attestent l’activité de mécanique de précision et le fournisseur SARL GUY LE GALL, mais ne publient pas la plaquette 02-MAN600-SE25-P04 ; la compatibilité MANZINI A600 reste une donnée de saisie. La marque est laissée non confirmée : les sources identifient une société ou une série, pas le fabricant de la variante demandée. Photo : Pièce propriétaire : absence normale de photo publique exacte et aucune URL image admissible renvoyée par les pages consultées.</t>
  </si>
  <si>
    <t xml:space="preserve">12961729 </t>
  </si>
  <si>
    <t>MAYR</t>
  </si>
  <si>
    <t>LIMITEUR EASNCC 1/49A.525.C A30H7+C/A30H7</t>
  </si>
  <si>
    <t>MCG</t>
  </si>
  <si>
    <t>DEXIS</t>
  </si>
  <si>
    <t>8410871-1</t>
  </si>
  <si>
    <t xml:space="preserve">Saisie par T DIVRY </t>
  </si>
  <si>
    <t>LIMITEUR DE COUPLE SANS JEU FAMILLE EAS NC - IDENTIFICATION ET CONFIGURATION A VALIDER</t>
  </si>
  <si>
    <t>Termes techniques issus exclusivement des sources vérifiées du 07/10/2026, reformulés selon l usage de la famille. Portée limitée à la série : cette proposition ne valide pas la variante ni les détails de saisie exclus des sources. Sources : mayr — EAS-compact — famille; mayr, hébergement Mayr Singapore — EAS-NC, K.405.V06.GB — catalogue historique; DEXIS / SOGEDESCA — Mentions légales du site DEXIS</t>
  </si>
  <si>
    <t>Saisie d origine uniquement, majuscules/espacement d unités et traduction usuelle sans ajout de caractéristiques. Nature source LIMITEUR déjà présente : 9/127 codes distincts, soit 7.1%. Conservée même minoritaire. Dominante ARBRE : 14/127, soit 11.0% ; seuil d éligibilité 30 %, jamais une validation technique.</t>
  </si>
  <si>
    <t>Les pages et catalogues Mayr documentent EAS-compact et EAS-NC mais ne rattachent pas 12961729 au type saisi ni à une taille, et les mentions DEXIS identifient l’éditeur SOGEDESCA sans prouver la société vendeuse ou le code 8410871-1.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</si>
  <si>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PLAN 1017;13570335</t>
  </si>
  <si>
    <t>4MP/DEXIS</t>
  </si>
  <si>
    <t>POULIE DENTEE PROFIL T10 LARGEUR 25MM 26 DENTS ALUMINIUM ALESAGE D20MM RAINURE DE 6 PLAN 1017</t>
  </si>
  <si>
    <t>150130 ACCOUPLEMENTS / TRANSMISSION : POULIES MOYEUX</t>
  </si>
  <si>
    <t>KRONES CANMATIC 073-720-18</t>
  </si>
  <si>
    <t>Pièce fabriquée sur plan — aucune référence catalogue attendue</t>
  </si>
  <si>
    <t>ARTICLE A IDENTIFIER - REFERENCE PLAN 1017;13570335</t>
  </si>
  <si>
    <t>POULIE DENTEE PROFIL T10 LARGEUR 25 MM 26 DENTS ALUMINIUM ALESAGE D20 MM RAINURE DE 6 PLAN 1017</t>
  </si>
  <si>
    <t>Saisie d origine uniquement, majuscules/espacement d unités et traduction usuelle sans ajout de caractéristiques. Nature source POULIE déjà présente : 225/474 codes distincts, soit 47.5%. Conservée même minoritaire. Dominante POULIE : 225/474, soit 47.5% ; seuil d éligibilité 30 %, jamais une validation technique.</t>
  </si>
  <si>
    <t>La saisie et les les documents sources de cette exécution identifient explicitement PLAN 1017 : le plan fait foi, aucune référence catalogue n’est attendue et les recherches de 13570335 ne fournissent aucune correspondance pertinente, tandis que les mentions DEXIS ne déterminent pas l’entité fournisseur facturante. Photo : Pièce fabriquée sur plan : absence normale de photo catalogue ; le plan fait foi.</t>
  </si>
  <si>
    <t>KRONES 073 720 18</t>
  </si>
  <si>
    <t>090260</t>
  </si>
  <si>
    <t>CARON</t>
  </si>
  <si>
    <t>INSERT EN PEHD POUR CHARIOT PISTON PC120</t>
  </si>
  <si>
    <t>100630 CONVOYAGE A CHAINES : GUIDES</t>
  </si>
  <si>
    <t>CHARIOT PISTON PC120</t>
  </si>
  <si>
    <t xml:space="preserve">Saisie par R LEFEVRE  </t>
  </si>
  <si>
    <t>ARTICLE A IDENTIFIER - REFERENCE 090260</t>
  </si>
  <si>
    <t>Saisie d origine uniquement, majuscules/espacement d unités et traduction usuelle sans ajout de caractéristiques. Nature source conservée sans substitution sémantique : 17 codes distincts de famille. Dominante PROFIL : 10/17, soit 58.8% ; seuil d éligibilité 30 %, jamais une validation technique.</t>
  </si>
  <si>
    <t>Les recherches web réellement effectuées sur 090260 avec CARON ne révèlent aucune source publique pertinente pour cette référence exacte. Photo : Pièce propriétaire : absence normale de photo publique exacte et aucune URL image admissible renvoyée par les pages consultées.</t>
  </si>
  <si>
    <t>SERIE 2400 LARGEUR 200</t>
  </si>
  <si>
    <t xml:space="preserve">INTRALOX </t>
  </si>
  <si>
    <t>TAPIS INTRALOX SERIE 2400 RADIUS FLUSH GRID 2,2 LARGEUR 200</t>
  </si>
  <si>
    <t xml:space="preserve">	
0183 	
CONVOYAGE : CONVOYEUR A BANDE MODULAIRE</t>
  </si>
  <si>
    <t>Intralox</t>
  </si>
  <si>
    <t>Série/gamme confirmée - configuration exacte non confirmée ; VALIDER - DOUBLON INTERNE POTENTIEL ; VALIDER - CHAMPS NON CONFIRMES</t>
  </si>
  <si>
    <t>TAPIS MODULAIRE PLASTIQUE SERIE 2400 RADIUS FLUSH GRID 2,2 PAS 25,4 MM - CONFECTION A VALIDER</t>
  </si>
  <si>
    <t>Termes techniques issus exclusivement des sources vérifiées du 07/10/2026, reformulés selon l usage de la famille. Portée limitée à la série : cette proposition ne valide pas la variante ni les détails de saisie exclus des sources. Sources : Intralox — Series 2400 Radius Flush Grid (2.2)</t>
  </si>
  <si>
    <t>La page officielle Intralox Série 2400 Radius Flush Grid (2.2) confirme la famille mais demande une validation des dimensions précises, sans publier « SERIE 2400 LARGEUR 200 », et les deux contextes de saisie sont conservés séparément. La marque est laissée non confirmée : les sources identifient une société ou une série, pas le fabricant de la variante demandée. Contextes internes conservés séparément : Classe A - Article spécifique 517 ; Classe B - Article générique 44. Marque saisie INTRALOX concordante avec la famille officielle ; largeur confectionnée non confirmée. Même ref et désignation dans deux classes : doublon interne potentiel, sans fusion des contextes. Photo : Confection à largeur saisie : absence normale de photo exacte ; la page de série ouverte ne renvoie aucune URL d’image éditeur exploitable.</t>
  </si>
  <si>
    <t>VALIDER - FAMILLE PROPOSEE : Tapis modulaire plastique de série documenté ; code saisi 0183 absent du référentiel source.</t>
  </si>
  <si>
    <t>Référence
Fournisseur</t>
  </si>
  <si>
    <t>VIS INOX TFF M10x100</t>
  </si>
  <si>
    <t>Générique</t>
  </si>
  <si>
    <t>VIS A TETE FRAISEE FENDUE INOX M10X100 DIN963</t>
  </si>
  <si>
    <t>155910 : VISSERIE FIXATION : VIS ECROUS : INOX</t>
  </si>
  <si>
    <t>INTER INOX</t>
  </si>
  <si>
    <t>6663</t>
  </si>
  <si>
    <t>086923</t>
  </si>
  <si>
    <t>DEJA CREE - article code 086923, ligne non retraitee.</t>
  </si>
  <si>
    <t>VIS INOX TFF M6x80</t>
  </si>
  <si>
    <t>VIS A TETE FRAISEE FENDUE INOX M6X80 DIN963</t>
  </si>
  <si>
    <t>086924</t>
  </si>
  <si>
    <t>DEJA CREE - article code 086924, ligne non retraitee.</t>
  </si>
  <si>
    <t>VIS INOX TFF M6x70</t>
  </si>
  <si>
    <t>VIS A TETE FRAISEE FENDUE INOX M6X70 DIN963</t>
  </si>
  <si>
    <t>086926</t>
  </si>
  <si>
    <t>DEJA CREE - article code 086926, ligne non retraitee.</t>
  </si>
  <si>
    <t>VIS INOX POELIER FENDUE M8x25</t>
  </si>
  <si>
    <t>VIS A METAUX POELIER FENDUES INOX M8X25</t>
  </si>
  <si>
    <t>086927</t>
  </si>
  <si>
    <t>DEJA CREE - article code 086927, ligne non retraitee.</t>
  </si>
  <si>
    <t>VIS INOX POELIER FENDUE M10x25</t>
  </si>
  <si>
    <t>VIS A METAUX POELIER FENDUES INOX M10X25</t>
  </si>
  <si>
    <t>086949</t>
  </si>
  <si>
    <t>DEJA CREE - article code 086949, ligne non retraitee.</t>
  </si>
  <si>
    <t>VIS INOX POELIER FENDUE M10x30</t>
  </si>
  <si>
    <t>VIS A METAUX POELIER FENDUES INOX M10X30</t>
  </si>
  <si>
    <t>086947</t>
  </si>
  <si>
    <t>DEJA CREE - article code 086947, ligne non retraitee.</t>
  </si>
  <si>
    <t>VIS INOX TH P FILE M24x160</t>
  </si>
  <si>
    <t>VIS TETE HEXAGONALE SANS EMPREINTE FILETAGE PARTIEL - TH INOX A2 24X160 MM</t>
  </si>
  <si>
    <t>086970</t>
  </si>
  <si>
    <t>DEJA CREE - article code 086970, ligne non retraitee.</t>
  </si>
  <si>
    <t>VIS INOX TH M14x20</t>
  </si>
  <si>
    <t>VIS TETE HEXAGONALE SANS EMPREINTE ENTIEREMENT FILETEE - TH INOX A2 M14X20 MM</t>
  </si>
  <si>
    <t>086951</t>
  </si>
  <si>
    <t>DEJA CREE - article code 086951, ligne non retraitee.</t>
  </si>
  <si>
    <t>VIS INOX TFHC M3x8</t>
  </si>
  <si>
    <t>VIS TETE FRAISEE SIX PANS CREUX TFHC DIN 7991 A2 M3X8 MM</t>
  </si>
  <si>
    <t>086971</t>
  </si>
  <si>
    <t>DEJA CREE - article code 086971, ligne non retraitee.</t>
  </si>
  <si>
    <t>VIS INOX TFHC M5x16</t>
  </si>
  <si>
    <t>VIS TETE FRAISEE SIX PANS CREUX TFHC DIN 7991 A2 M5X16 MM</t>
  </si>
  <si>
    <t>086972</t>
  </si>
  <si>
    <t>DEJA CREE - article code 086972, ligne non retraitee.</t>
  </si>
  <si>
    <t>VIS INOX TCHC M3x30</t>
  </si>
  <si>
    <t>VIS TETE CYLINDRIQUE HEXAGONALE CREUSE DIN933 INOX A2 M3X30</t>
  </si>
  <si>
    <t>086974</t>
  </si>
  <si>
    <t>DEJA CREE - article code 086974, ligne non retraitee.</t>
  </si>
  <si>
    <t>ECROU INOX HEX M3</t>
  </si>
  <si>
    <t>ECROU HEXAGONAL M3 A2 DIN 934 INOX</t>
  </si>
  <si>
    <t>086975</t>
  </si>
  <si>
    <t>DEJA CREE - article code 086975, ligne non retraitee.</t>
  </si>
  <si>
    <t>ECROU INOX HEX BORGNE M3</t>
  </si>
  <si>
    <t>ECROU HEXAGONAL BORGNE M3 A2 DIN 934 INOX</t>
  </si>
  <si>
    <t>086976</t>
  </si>
  <si>
    <t>DEJA CREE - article code 086976, ligne non retraitee.</t>
  </si>
  <si>
    <t>ROND INOX EV M18</t>
  </si>
  <si>
    <t>RONDELLE EVENTAIL D18MM DIN6798 A J</t>
  </si>
  <si>
    <t>155710 : VISSERIE FIXATION : RONDELLES : INOX</t>
  </si>
  <si>
    <t>086977</t>
  </si>
  <si>
    <t>DEJA CREE - article code 086977, ligne non retraitee.</t>
  </si>
  <si>
    <t>ROND INOX EV M20</t>
  </si>
  <si>
    <t>RONDELLE EVENTAIL D20MM DIN6798 A J</t>
  </si>
  <si>
    <t>086978</t>
  </si>
  <si>
    <t>DEJA CREE - article code 086978, ligne non retraitee.</t>
  </si>
  <si>
    <t>GOUPILLE I 1,6X32</t>
  </si>
  <si>
    <t>GOUPILLES FENDUES INOX DIAMETRE 1,6X32 DIN94</t>
  </si>
  <si>
    <t>155300 : VISSERIE FIXATION : GOUPILLES</t>
  </si>
  <si>
    <t>086950</t>
  </si>
  <si>
    <t>DEJA CREE - article code 086950, ligne non retraitee.</t>
  </si>
  <si>
    <t>GOUPILLE I 2X36</t>
  </si>
  <si>
    <t>GOUPILLES FENDUES INOX DIAMETRE 2X36 DIN94</t>
  </si>
  <si>
    <t>086922</t>
  </si>
  <si>
    <t>DEJA CREE - article code 086922, ligne non retraitee.</t>
  </si>
  <si>
    <t>GOUPILLE I 2X45</t>
  </si>
  <si>
    <t>GOUPILLES FENDUES INOX DIAMETRE 2X45 DIN94</t>
  </si>
  <si>
    <t>086921</t>
  </si>
  <si>
    <t>DEJA CREE - article code 086921, ligne non retraitee.</t>
  </si>
  <si>
    <t>GOUPILLE I 2,5X14</t>
  </si>
  <si>
    <t>GOUPILLES FENDUES INOX DIAMETRE 2,5X14 DIN94</t>
  </si>
  <si>
    <t>086920</t>
  </si>
  <si>
    <t>DEJA CREE - article code 086920, ligne non retraitee.</t>
  </si>
  <si>
    <t>ENG.38/M3/022</t>
  </si>
  <si>
    <t>ENGRENAGE MOD 3 22 DTS 38/M3/022</t>
  </si>
  <si>
    <t>ARTICLE A IDENTIFIER - REFERENCE ENG.38/M3/022</t>
  </si>
  <si>
    <t>ENGRENAGE MOD 3 22 DENTS 38/M3/022</t>
  </si>
  <si>
    <t>Saisie d origine uniquement, majuscules/espacement d unités et traduction usuelle sans ajout de caractéristiques. Nature source ENGRENAGE déjà présente : 5/317 codes distincts, soit 1.6%. Conservée même minoritaire. Dominante ACCOUPLEMENT : 96/317, soit 30.3% ; seuil d éligibilité 30 %, jamais une validation technique.</t>
  </si>
  <si>
    <t>Les recherches exactes et normalisées d’ENG.38/M3/022 n’identifient aucun fabricant, le seul résultat voisin Lufra 38/M3/076 n’étant pas une preuve pour 022, tandis que la fiche Cylex atteste seulement le fournisseur français SAFIM. Photo : Aucune URL d’image éditeur exploitable n’a été renvoyée par les pages consultées.</t>
  </si>
  <si>
    <t>GOUPILLE I  5X40</t>
  </si>
  <si>
    <t>GOUPILLES FENDUES INOX DIAMETRE 5X40 4 DIN94</t>
  </si>
  <si>
    <t>087066</t>
  </si>
  <si>
    <t>DEJA CREE - article code 087066, ligne non retraitee.</t>
  </si>
  <si>
    <t>VIS INOX TFF 3X30</t>
  </si>
  <si>
    <t>VIS A TETE FRAISEE FENDUE INOX M3X30</t>
  </si>
  <si>
    <t>087070</t>
  </si>
  <si>
    <t>DEJA CREE - article code 087070, ligne non retraitee.</t>
  </si>
  <si>
    <t>61912 2RS</t>
  </si>
  <si>
    <t>ROULEMENT 60X85X13</t>
  </si>
  <si>
    <t>CIR</t>
  </si>
  <si>
    <t>087201</t>
  </si>
  <si>
    <t>DEJA CREE - article code 087201, ligne non retraitee.</t>
  </si>
  <si>
    <t>Ok, fait</t>
  </si>
  <si>
    <t>Marque et référence FESTO, non générique. Merci de déplacer cet article en classe A</t>
  </si>
  <si>
    <t>Festo</t>
  </si>
  <si>
    <t>Festo E.U.R.L.</t>
  </si>
  <si>
    <t>VÉRIN COMPACT</t>
  </si>
  <si>
    <t>Reformulation française du libellé constructeur de la référence vérifiée. Source : Festo — ADN-25-60-A-P-A — Part number 536373; Festo — Compact cylinder ADN-25-60-A-P-A</t>
  </si>
  <si>
    <t>VERIN COMPACT DOUBLE EFFET D 25 MM COURSE 60 MM ISO 21287 AMORTISSEMENT ELASTIQUE</t>
  </si>
  <si>
    <t>Termes techniques issus exclusivement des sources vérifiées du 07/10/2026, reformulés selon l usage de la famille. Sources : Festo — ADN-25-60-A-P-A — Part number 536373; Festo — Compact cylinder ADN-25-60-A-P-A; Festo France — Mentions légales — Festo E.U.R.L.</t>
  </si>
  <si>
    <t>Saisie d origine uniquement, majuscules/espacement d unités et traduction usuelle sans ajout de caractéristiques. Nature source VERIN déjà présente : 742/1018 codes distincts, soit 72.9%. Conservée même minoritaire. Dominante VERIN : 742/1018, soit 72.9% ; seuil d éligibilité 30 %, jamais une validation technique.</t>
  </si>
  <si>
    <t>La fiche et la page Festo associent ADN-25-60-A-P-A au n° 536373 avec diamètre 25 mm et course 60 mm, et les mentions légales vérifient Festo E.U.R.L. Photo : Les sorties de consultation des pages consultées fournissent du texte sans URL d’image éditeur pleine résolution vérifiable ; aucune image retenue.</t>
  </si>
  <si>
    <t>51060.080.016</t>
  </si>
  <si>
    <t>VIS TETE FRAISEE 6 PANS CREUX M8X16 DIN7991 INOX A2</t>
  </si>
  <si>
    <t>FABORY</t>
  </si>
  <si>
    <t>Demande transférée de l'ancien tableau visserie fixation</t>
  </si>
  <si>
    <t>087173</t>
  </si>
  <si>
    <t>DEJA CREE - article code 087173, ligne non retraitee.</t>
  </si>
  <si>
    <t>51040.060.012</t>
  </si>
  <si>
    <t>VIS A TETE CYLINDRIQUE A SIX PANS CREUX AVEC TETE BASSE DIN7984 INOX A2 M6X12</t>
  </si>
  <si>
    <t>087176</t>
  </si>
  <si>
    <t>DEJA CREE - article code 087176, ligne non retraitee.</t>
  </si>
  <si>
    <t>51040.080.016</t>
  </si>
  <si>
    <t>VIS A TETE CYLINDRIQUE A SIX PANS CREUX AVEC TETE BASSE DIN7984 INOX A2 M8X16</t>
  </si>
  <si>
    <t>087178</t>
  </si>
  <si>
    <t>DEJA CREE - article code 087178, ligne non retraitee.</t>
  </si>
  <si>
    <t>51050.050.012</t>
  </si>
  <si>
    <t>VIS A TETE CYLINDRIQUE HEXAGONALE CREUSE INOX A2 DIN912 M5X12</t>
  </si>
  <si>
    <t>87180</t>
  </si>
  <si>
    <t>DEJA CREE - article code 87180, ligne non retraitee.</t>
  </si>
  <si>
    <t>Marque et référence MECHAN-CONTROLS, non générique. Merci de déplacer cet article en classe A</t>
  </si>
  <si>
    <t>INTERRUPTEUR SECURITE MAGNETIQUE SERIE MS5 SSLQD INOX 316 - COMPOSITION A VALIDER</t>
  </si>
  <si>
    <t>Termes techniques issus exclusivement des sources vérifiées du 07/10/2026, reformulés selon l usage de la famille. Portée limitée à la série : cette proposition ne valide pas la variante ni les détails de saisie exclus des sources. Sources : Mechan Controls — MS5SSLQD — MS5-SS-21-DC-LQD; Machinesafety-Shop — MS5-SS-21-DC-LQD — Magnetic safety sensor; Annuaire des Entreprises — ELEC SUD OUEST — SIREN 441395712</t>
  </si>
  <si>
    <t>INTERRUPTEUR DE SECURITE MAGNETIQUE SANS CONTACT</t>
  </si>
  <si>
    <t>Saisie d origine uniquement, majuscules/espacement d unités et traduction usuelle sans ajout de caractéristiques. Nature source conservée sans substitution sémantique : 226 codes distincts de famille. Dominante RELAIS : 94/226, soit 41.6% ; seuil d éligibilité 30 %, jamais une validation technique.</t>
  </si>
  <si>
    <t>Mechan Controls et Machinesafety-Shop publient MS5-SS-21-DC-LQD mais aucune source ne relie le préfixe MCH du code saisi à cette référence, et l’Annuaire des Entreprises confirme ELEC SUD OUEST sans code article publié. La marque est laissée non confirmée : les sources identifient une société ou une série, pas le fabricant de la variante demandée. Photo : Les sorties de consultation des pages consultées fournissent du texte sans URL d’image éditeur pleine résolution vérifiable ; aucune image retenue.</t>
  </si>
  <si>
    <t>CLAVETTE 8x7x35 DIN6885</t>
  </si>
  <si>
    <t>106300 OUTILLAGE / CONSOMMABLES</t>
  </si>
  <si>
    <t>087206</t>
  </si>
  <si>
    <t>DEJA CREE - article code 087206, ligne non retraitee.</t>
  </si>
  <si>
    <t>CLAVETTE 6x6x35 DIN6885</t>
  </si>
  <si>
    <t>087071</t>
  </si>
  <si>
    <t>DEJA CREE - article code 087071, ligne non retraitee.</t>
  </si>
  <si>
    <t>CAU-14104</t>
  </si>
  <si>
    <t>BAGUE PA6 G NAT Ø60X18 HT 65</t>
  </si>
  <si>
    <t>100620 CONVOYAGE A CHAINES : FIXATION ET SUPPORTS</t>
  </si>
  <si>
    <t>CAUWET</t>
  </si>
  <si>
    <t>JM CAUWET</t>
  </si>
  <si>
    <t>ARTICLE A IDENTIFIER - REFERENCE CAU-14104</t>
  </si>
  <si>
    <t>Saisie d origine uniquement, majuscules/espacement d unités et traduction usuelle sans ajout de caractéristiques. Nature source conservée sans substitution sémantique : 14 codes distincts de famille. Dominante PALIER : 3/14, soit 21.4% ; seuil d éligibilité 30 %, jamais une validation technique.</t>
  </si>
  <si>
    <t>Le site JM CAUWET confirme le fournisseur et son activité d’usinage plastique sur mesure, mais les recherches de CAU-14104/CAU14104 ne publient pas cette bague, son fabricant ni un plan, donc aucune référence catalogue ou fabrication sur plan n’est affirmée. Photo : Code non publié et aucune fiche produit trouvée : aucune URL d’image exacte disponible ; l’activité sur mesure du fournisseur ne prouve pas à elle seule un plan pour cette pièce.</t>
  </si>
  <si>
    <t>32616</t>
  </si>
  <si>
    <t>TAPIS SERIE 900 FLUSH GRID(SURFACE AJOUREE)ACETAL BLEU LARGEUR:446MM LONGUEUR 6 METRES 219 RANGS</t>
  </si>
  <si>
    <t>INTRALOX</t>
  </si>
  <si>
    <t>TAPIS MODULAIRE SERIE 900 FLUSH GRID PAS 27,2 MM - MATIERE ET CONFECTION A VALIDER</t>
  </si>
  <si>
    <t>Termes techniques issus exclusivement des sources vérifiées du 07/10/2026, reformulés selon l usage de la famille. Portée limitée à la série : cette proposition ne valide pas la variante ni les détails de saisie exclus des sources. Sources : Intralox — Series 900 Flush Grid</t>
  </si>
  <si>
    <t>TAPIS SERIE 900 FLUSH GRID(SURFACE AJOUREE)ACETAL BLEU LARGEUR:446 MM LONGUEUR 6 METRES 219 RANGS</t>
  </si>
  <si>
    <t>Saisie d origine uniquement, majuscules/espacement d unités et traduction usuelle sans ajout de caractéristiques. Nature source TAPIS déjà présente : 88/109 codes distincts, soit 80.7%. Conservée même minoritaire. Dominante TAPIS : 88/109, soit 80.7% ; seuil d éligibilité 30 %, jamais une validation technique.</t>
  </si>
  <si>
    <t>La page Intralox Series 900 Flush Grid confirme cette famille et son pas de 27,2 mm, mais ni le numéro 32616 ni la confection acétal bleu 446 mm × 6 m n’ont été trouvés publiquement. La marque est laissée non confirmée : les sources identifient une société ou une série, pas le fabricant de la variante demandée. Photo : Confection de tapis : absence normale de photo exacte ; aucune URL d’image éditeur renvoyée par la page de série.</t>
  </si>
  <si>
    <t>VALIDER - FAMILLE PROPOSEE : Nature tapis modulaire plastique de la série 900 documentée ; code 32616 et confection non confirmés.</t>
  </si>
  <si>
    <t>XB4BK133B5</t>
  </si>
  <si>
    <t>BOUTON TOURNANT LUMINEUX 3 POSITION</t>
  </si>
  <si>
    <t>105310 BOUTONS ET SIGNALISATION : BOUTONS METALLIQUES MODULAIRES</t>
  </si>
  <si>
    <t>SONEPAR</t>
  </si>
  <si>
    <t xml:space="preserve">Merci </t>
  </si>
  <si>
    <t>087287</t>
  </si>
  <si>
    <t>DEJA CREE - article code 087287, ligne non retraitee.</t>
  </si>
  <si>
    <t>G2/OPEN ECB508-40M</t>
  </si>
  <si>
    <t>COUVERCLE TRAVERSANT POUR PALIER BLEUE ARBRE DIAMETRE 40</t>
  </si>
  <si>
    <t>150620 PALIERS : RESINE</t>
  </si>
  <si>
    <t>COUVERCLE TRAVERSANT PALIER SKF FOOD LINE BLEU D 40 MM TPU LARGEUR 38 MM</t>
  </si>
  <si>
    <t>Termes techniques issus exclusivement des sources vérifiées du 07/10/2026, reformulés selon l usage de la famille. Sources : Ahlsell — SKF ECB 508 End cap — G2/OPEN ECB508-40M; Lemvigh-Müller — SKF Food line 508-40M — Open; IP Bernard Sanders Aandrijftechniek — SKF Foodline Blue Range Open — G2/OPEN ECB508-40M; Annuaire des Entreprises — Établissement SEFI — dénomination de la société</t>
  </si>
  <si>
    <t>Saisie d origine uniquement, majuscules/espacement d unités et traduction usuelle sans ajout de caractéristiques. Nature source COUVERCLE déjà présente : 9/145 codes distincts, soit 6.2%. Conservée même minoritaire. Dominante PALIER : 111/145, soit 76.6% ; seuil d éligibilité 30 %, jamais une validation technique.</t>
  </si>
  <si>
    <t>Ahlsell, Lemvigh-Müller et Bernard Sanders publient exactement G2/OPEN ECB508-40M comme couvercle traversant SKF Food Line bleu pour arbre 40 mm, et l’Annuaire des Entreprises confirme SEFI sans publication trouvée de son code fournisseur. Photo : Aucune URL d’image éditeur exploitable n’a été renvoyée par les pages consultées.</t>
  </si>
  <si>
    <t>GRLA-1/8-QS-8-RS-D/534337</t>
  </si>
  <si>
    <t>LIMITEUR DE DEBIT INIDIRECTIONNEL</t>
  </si>
  <si>
    <t>GRLA-1/8-QS-8-RS-D</t>
  </si>
  <si>
    <t>534337</t>
  </si>
  <si>
    <t>Référence et marque confirmées (constructeur) ; Erreur de saisie source à corriger</t>
  </si>
  <si>
    <t>LIMITEUR DE DÉBIT UNIDIRECTIONNEL</t>
  </si>
  <si>
    <t>Reformulation française du libellé constructeur de la référence vérifiée. Source : Festo — One-way flow control valve GRLA-1/8-QS-8-RS-D — 534337; Festo — GRLA-1/8-QS-8-RS-D — Part number 534337</t>
  </si>
  <si>
    <t>LIMITEUR DE DEBIT UNIDIRECTIONNEL A ECHAPPEMENT QS8 G1/8 REGLAGE PAR VIS MOLETEE</t>
  </si>
  <si>
    <t>Termes techniques issus exclusivement des sources vérifiées du 07/10/2026, reformulés selon l usage de la famille. Sources : Festo — One-way flow control valve GRLA-1/8-QS-8-RS-D — 534337; Festo — GRLA-1/8-QS-8-RS-D — Part number 534337; Festo France — Mentions légales — Festo E.U.R.L.</t>
  </si>
  <si>
    <t>LIMITEUR DE DEBIT UNIDIRECTIONNEL</t>
  </si>
  <si>
    <t>Saisie d origine uniquement, majuscules/espacement d unités et traduction usuelle sans ajout de caractéristiques. Nature source LIMITEUR déjà présente : 18/104 codes distincts, soit 17.3%. Conservée même minoritaire. Dominante REGULATEUR : 23/104, soit 22.1% ; seuil d éligibilité 30 %, jamais une validation technique.</t>
  </si>
  <si>
    <t>La page et la fiche Festo distinguent le type GRLA-1/8-QS-8-RS-D du n° 534337, démontrant la concaténation erronée de la saisie, et les mentions légales vérifient Festo E.U.R.L. Photo : Les sorties de consultation des pages consultées fournissent du texte sans URL d’image éditeur pleine résolution vérifiable ; aucune image retenue.</t>
  </si>
  <si>
    <t>DM0803-AAM1BB0E0LFA-471</t>
  </si>
  <si>
    <t>TAMBOUR MOTEUR</t>
  </si>
  <si>
    <t>INTERROLL SAS</t>
  </si>
  <si>
    <t>TAMBOUR MOTEUR SERIE DM0080 - CONFIGURATION TENSION ET LARGEUR A VALIDER</t>
  </si>
  <si>
    <t>Termes techniques issus exclusivement des sources vérifiées du 07/10/2026, reformulés selon l usage de la famille. Portée limitée à la série : cette proposition ne valide pas la variante ni les détails de saisie exclus des sources. Sources : Interroll — Drum Motor DM0080 — famille configurable; Interroll — Office responsible for France — INTERROLL SAS</t>
  </si>
  <si>
    <t>Saisie d origine uniquement, majuscules/espacement d unités et traduction usuelle sans ajout de caractéristiques. Nature source TAMBOUR déjà présente : 154/208 codes distincts, soit 74.0%. Conservée même minoritaire. Dominante TAMBOUR : 154/208, soit 74.0% ; seuil d éligibilité 30 %, jamais une validation technique.</t>
  </si>
  <si>
    <t>Interroll confirme la famille configurable DM0080 et son bureau fournisseur français INTERROLL SAS, mais les recherches exactes ne prouvent pas le code DM0803-AAM1BB0E0LFA-471, ses suffixes, sa tension ou sa largeur, et aucune référence sœur n’a été utilisée comme preuve exacte.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</si>
  <si>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64101025</t>
  </si>
  <si>
    <t>PIGNON FIXE</t>
  </si>
  <si>
    <t>150330 CHAINES / PIGNONS : PLASTIQUE</t>
  </si>
  <si>
    <t>Interroll</t>
  </si>
  <si>
    <t>PIGNON FIXE POUR TAMBOUR MOTEUR DM0080, BANDE INTRALOX SÉRIE 900</t>
  </si>
  <si>
    <t>Reformulation française du libellé constructeur de la référence vérifiée. Source : Interroll — DM SERIES OPTIONS AND ACCESSORIES — SPROCKETS, 01/2025; Interroll — Office responsible for France — INTERROLL SAS</t>
  </si>
  <si>
    <t>PIGNON FIXE 15 DENTS POLYCETONE INSERT INOX POUR DM0080 ET BANDE INTRALOX SERIE 900</t>
  </si>
  <si>
    <t>Termes techniques issus exclusivement des sources vérifiées du 07/10/2026, reformulés selon l usage de la famille. Sources : Interroll — DM SERIES OPTIONS AND ACCESSORIES — SPROCKETS, 01/2025; Interroll — Office responsible for France — INTERROLL SAS</t>
  </si>
  <si>
    <t>Saisie d origine uniquement, majuscules/espacement d unités et traduction usuelle sans ajout de caractéristiques. Nature source PIGNON déjà présente : 30/44 codes distincts, soit 68.2%. Conservée même minoritaire. Dominante PIGNON : 30/44, soit 68.2% ; seuil d éligibilité 30 %, jamais une validation technique.</t>
  </si>
  <si>
    <t>La fiche officielle Interroll DM Sprockets 01/2025 identifie exactement 64101025 comme pignon fixe pour DM0080/Intralox 900 avec 15 dents et diamètres 81,7/134,7/130,7 mm, tandis que la page France vérifie INTERROLL SAS. Photo : Les sorties web consultées ne fournissent aucune URL complète d'image éditeur admissible rattachée à cette référence; aucune recherche d'images dédiée effectuée.</t>
  </si>
  <si>
    <t>64100986</t>
  </si>
  <si>
    <t>PIGNON MOBILE</t>
  </si>
  <si>
    <t>PIGNON FLOTTANT POUR TAMBOUR MOTEUR DM0080, BANDE INTRALOX SÉRIE 900</t>
  </si>
  <si>
    <t>PIGNON FLOTTANT 15 DENTS POLYCETONE INSERT INOX POUR DM0080 ET BANDE INTRALOX SERIE 900</t>
  </si>
  <si>
    <t>La fiche officielle Interroll DM Sprockets 01/2025 identifie exactement 64100986 comme pignon flottant pour DM0080/Intralox 900 avec 15 dents et diamètres 81,7/134,7/130,7 mm, tandis que la page France vérifie INTERROLL SAS. Photo : Les sorties web consultées ne fournissent aucune URL complète d'image éditeur admissible rattachée à cette référence; aucune recherche d'images dédiée effectuée.</t>
  </si>
  <si>
    <t>2LR5-1</t>
  </si>
  <si>
    <t>BANDE PVC BLEU 2135X580 FSF</t>
  </si>
  <si>
    <t>GAUCHY TECH ACTIV AXION</t>
  </si>
  <si>
    <t>https://bonduelleprd-my.sharepoint.com/:b:/r/personal/cedric_bompay_bonduelle_com/Documents/CREATIONS%20ARTICLES%20COSWIN/DEVIS%20BANDE%202135X580.pdf?d=w890c54435bf14a36ae3a248a7d874453&amp;csf=1&amp;web=1&amp;e=civ7Xo</t>
  </si>
  <si>
    <t>GAUCHY TECH ACTIV AXION (GTAA)</t>
  </si>
  <si>
    <t>BANDE PVC BLEU 2135X580 MM TYPE 2LR5-1 FINITION FSF</t>
  </si>
  <si>
    <t>Termes techniques issus exclusivement des sources vérifiées du 07/10/2026, reformulés selon l usage de la famille. Sources : Annuaire des Entreprises / DINUM — GAUCHY TECH ACTIV AXION (GTAA); GTAa — DEVIS BANDE 2135X580.pdf — Page 1 — ligne PALETISEUR 1/2, devis DE26598 Le devis DE26598 du 15/09/2026, page 1, confirme BLEU et 2135 X 580 mm ; FSF est conservé comme libellé non expliqué. Aucun fabricant physique attribué.</t>
  </si>
  <si>
    <t>Saisie d origine uniquement, majuscules/espacement d unités et traduction usuelle sans ajout de caractéristiques. Nature source BANDE déjà présente : 167/269 codes distincts, soit 62.1%. Conservée même minoritaire. Dominante BANDE : 167/269, soit 62.1% ; seuil d éligibilité 30 %, jamais une validation technique.</t>
  </si>
  <si>
    <t>Le devis GTAa DE26598 du 15/09/2026 fourni pour ce contrôle confirme la confection 2LR5-1 PVC BLEU 2135X580 FSF et l’Annuaire des Entreprises confirme GAUCHY TECH ACTIV AXION (GTAA), sans révéler fabricant ni signification de FSF. Photo : Confection sur devis : absence normale de photo catalogue exacte ; aucune URL image admissible obtenue.</t>
  </si>
  <si>
    <t>VALIDER - FAMILLE PROPOSEE : Nature bande PVC prouvée par devis de confection ; sous-famille BANDES du référentiel.</t>
  </si>
  <si>
    <t>/</t>
  </si>
  <si>
    <t>Marque et référence INTRALOX, non générique. Merci de déplacer cet article en classe A</t>
  </si>
  <si>
    <t>La page officielle Intralox Série 2400 Radius Flush Grid (2.2) confirme la famille mais demande une validation des dimensions précises, sans publier « SERIE 2400 LARGEUR 200 », et les deux contextes de saisie sont conservés séparément. La marque est laissée non confirmée : les sources identifient une société ou une série, pas le fabricant de la variante demandée. Contextes internes conservés séparément : Classe A - Article spécifique 517 ; Classe B - Article générique 44. Marque saisie Générique : désignation nommant Intralox, preuve limitée à la famille, pas à la pièce achetée. Même ref et désignation dans deux classes : doublon interne potentiel, sans fusion des contextes. Photo : Confection à largeur saisie : absence normale de photo exacte ; la page de série ouverte ne renvoie aucune URL d’image éditeur exploitable.</t>
  </si>
  <si>
    <t>90X125X12</t>
  </si>
  <si>
    <t>BAGUE ETANCHEITE DOUBLE LEVRE 90X125X12MM</t>
  </si>
  <si>
    <t>NOYER SAFIA</t>
  </si>
  <si>
    <t>13455090 / 73699754</t>
  </si>
  <si>
    <t>ARTICLE A IDENTIFIER - REFERENCE 90X125X12</t>
  </si>
  <si>
    <t>BAGUE ETANCHEITE DOUBLE LEVRE 90X125X12 MM</t>
  </si>
  <si>
    <t>Saisie d origine uniquement, majuscules/espacement d unités et traduction usuelle sans ajout de caractéristiques. Nature source BAGUE déjà présente : 1203/1274 codes distincts, soit 94.4%. Conservée même minoritaire. Dominante BAGUE : 1203/1274, soit 94.4% ; seuil d éligibilité 30 %, jamais une validation technique.</t>
  </si>
  <si>
    <t>Les recherches des codes NOYER SAFIA 13455090 et 73699754 n’aboutissent pas à une pièce identifiable, et la page SKF 90X125X12 CRW1 V démontre seulement qu’une autre matière et un autre profil existent aux mêmes cotes, sans confirmer marque, NBR ou AS pour l’achat saisi. Photo : Aucune URL d’image éditeur exploitable n’a été renvoyée par les pages consultées.</t>
  </si>
  <si>
    <t>2139966</t>
  </si>
  <si>
    <t>YG8U14-
C20UA3M2A14
Connecteurs et cables pour capteurs et actionneurs</t>
  </si>
  <si>
    <t>CÂBLE CAPTEUR / ACTIONNEUR</t>
  </si>
  <si>
    <t>Reformulation française du libellé constructeur de la référence vérifiée. Source : SICK — YG8U14-C20UA3M2A14, Data sheet; Sonepar — Sick 2139966 — YG8U14-C20UA3M2A14; Annuaire des Entreprises — Société SICK — SIREN 972204770</t>
  </si>
  <si>
    <t>CABLE CAPTEUR ACTIONNEUR FEMELLE M8 COUDEE MALE M12 DROIT 4 POLES PUR LONGUEUR 0,2 M</t>
  </si>
  <si>
    <t>Termes techniques issus exclusivement des sources vérifiées du 07/10/2026, reformulés selon l usage de la famille. Sources : SICK — YG8U14-C20UA3M2A14, Data sheet; Sonepar — Sick 2139966 — YG8U14-C20UA3M2A14; Annuaire des Entreprises — Société SICK — SIREN 972204770</t>
  </si>
  <si>
    <t>YG8U14- C20UA3M2A14 CONNECTEURS ET CABLES POUR CAPTEURS ET ACTIONNEURS</t>
  </si>
  <si>
    <t>Saisie d origine uniquement, majuscules/espacement d unités et traduction usuelle sans ajout de caractéristiques. Nature source conservée sans substitution sémantique : 146 codes distincts de famille. Dominante CABLE : 127/146, soit 87.0% ; seuil d éligibilité 30 %, jamais une validation technique.</t>
  </si>
  <si>
    <t>La fiche SICK YG8U14-C20UA3M2A14 confirme le n° 2139966 et les connexions, recoupés par Sonepar, et l’Annuaire des Entreprises vérifie le fournisseur SICK. Photo : Les sorties de consultation des pages consultées fournissent du texte sans URL d’image éditeur pleine résolution vérifiable ; aucune image retenue.</t>
  </si>
  <si>
    <t>CRDSNU-B-20-50-PPS-A-MG-A1</t>
  </si>
  <si>
    <t>VERIN NORMALISE CRDSNU-B-20-50-PPS-A-MG-A1</t>
  </si>
  <si>
    <t>Saisie par T DIVRY</t>
  </si>
  <si>
    <t>VÉRIN NORMALISÉ</t>
  </si>
  <si>
    <t>Reformulation française du libellé constructeur de la référence vérifiée. Source : Festo — ISO cylinder CRDSNU-B-20-50-PPS-A-MG-A1 — 8073977; Festo — CRDSNU-B-20-50-PPS-A-MG-A1 — Part number 8073977</t>
  </si>
  <si>
    <t>VERIN DOUBLE EFFET INOX D 20 MM COURSE 50 MM AMORTISSEMENT PNEUMATIQUE AUTOREGLABLE</t>
  </si>
  <si>
    <t>Termes techniques issus exclusivement des sources vérifiées du 07/10/2026, reformulés selon l usage de la famille. Sources : Festo — ISO cylinder CRDSNU-B-20-50-PPS-A-MG-A1 — 8073977; Festo — CRDSNU-B-20-50-PPS-A-MG-A1 — Part number 8073977; Festo France — Mentions légales — Festo E.U.R.L.</t>
  </si>
  <si>
    <t>La page et la fiche exactes Festo valident tous les suffixes de CRDSNU-B-20-50-PPS-A-MG-A1 sous le n° 8073977, et les mentions légales identifient Festo E.U.R.L. Photo : Les sorties de consultation des pages consultées fournissent du texte sans URL d’image éditeur pleine résolution vérifiable ; aucune image retenue.</t>
  </si>
  <si>
    <t>FH48B.60:1.IEC80</t>
  </si>
  <si>
    <t>DERTEC</t>
  </si>
  <si>
    <t>Dertec</t>
  </si>
  <si>
    <t>Erreur de saisie source à corriger ; Série/gamme confirmée - configuration exacte non confirmée ; VALIDER - CHAMPS NON CONFIRMES</t>
  </si>
  <si>
    <t>REDUCTEUR HYPOIDE FH48B INOX AISI316 RAPPORT NOMINAL 60 - ADAPTATION IEC80 A VALIDER</t>
  </si>
  <si>
    <t>Termes techniques issus exclusivement des sources vérifiées du 07/10/2026, reformulés selon l usage de la famille. Portée limitée à la série : cette proposition ne valide pas la variante ni les détails de saisie exclus des sources. Sources : Dertec — Stainless Steel FH Hypoid Bevel Gearbox; Dertec — Dertec | Gearboxes, motors and hygienic components (siège Sassenheim, Pays-Bas)</t>
  </si>
  <si>
    <t>DESIGNATION SOURCE INEXPLOITABLE - REFERENCE FH48B.60:1.IEC80</t>
  </si>
  <si>
    <t>La désignation source est une formule à résultat 0, et non un libellé produit. Proposition transparente de signalement, sans caractéristiques externes.</t>
  </si>
  <si>
    <t>Le catalogue officiel Dertec FH documente FH48B et le rapport nominal 60 (réel 59,44), mais pas la référence complète FH48B.60:1.IEC80; les documents sources de cette exécution établit que =UPPER(F48) produit 0, erreur source à corriger et jamais à confirmer comme désignation ; le fournisseur saisi Dertec est vérifié par son site officiel (siège Sassenheim, Pays-Bas), sans code fournisseur publié. La marque est laissée non confirmée : les sources identifient une société ou une série, pas le fabricant de la variante demandée. Photo : Les sorties web consultées ne fournissent aucune URL complète d'image éditeur admissible rattachée à cette référence; aucune recherche d'images dédiée effectuée.</t>
  </si>
  <si>
    <t>Familles COSWIN au 31/08/2026</t>
  </si>
  <si>
    <t>Sites</t>
  </si>
  <si>
    <t>BATTIPAGLIA</t>
  </si>
  <si>
    <t>RÉFÉRENTIEL COSWIN — COPIE DE L ORIGINAL</t>
  </si>
  <si>
    <t>100100 ALIGNEURS</t>
  </si>
  <si>
    <t>Portée</t>
  </si>
  <si>
    <t>Conservation</t>
  </si>
  <si>
    <t>100200 CONVOYAGE A BANDES MAGNETIQUES</t>
  </si>
  <si>
    <t>Cellules A:I</t>
  </si>
  <si>
    <t>Contenu source conservé sans ajout, tri ni correction dans ces colonnes.</t>
  </si>
  <si>
    <t>100300 CONVOYAGE A BANDES METALLIQUES</t>
  </si>
  <si>
    <t>DSI vda</t>
  </si>
  <si>
    <t>Familles E1:E805</t>
  </si>
  <si>
    <t>800 codes famille valides distincts et 5 entrées non normalisées ; les 805 lignes sont conservées.</t>
  </si>
  <si>
    <t>Usage</t>
  </si>
  <si>
    <t>Les corrections sont proposées exclusivement dans les colonnes de contrôle des demandes.</t>
  </si>
  <si>
    <t>100401 CONVOYAGE A BANDES PLASTIQUES : AUTRES</t>
  </si>
  <si>
    <t>100420 CONVOYAGE A BANDES PLASTIQUES : FIXATION ET SUPPORTS</t>
  </si>
  <si>
    <t>LAGER REUTLINGEN</t>
  </si>
  <si>
    <t>100430 CONVOYAGE A BANDES PLASTIQUES : ROULEAUX</t>
  </si>
  <si>
    <t>LAGER STRAELEN</t>
  </si>
  <si>
    <t>100500 CONVOYAGE A CABLES</t>
  </si>
  <si>
    <t>MONTREUIL BELLAY</t>
  </si>
  <si>
    <t>100600 CONVOYAGE A CHAINES</t>
  </si>
  <si>
    <t>100601 CONVOYAGE A CHAINES : AUTRES</t>
  </si>
  <si>
    <t>100610 CONVOYAGE A CHAINES : CHAINES</t>
  </si>
  <si>
    <t>RUSSY</t>
  </si>
  <si>
    <t>SAN PAOLO</t>
  </si>
  <si>
    <t>100700 CONVOYAGE A GODETS</t>
  </si>
  <si>
    <t>100800 CONVOYAGE A PINCEMENTS</t>
  </si>
  <si>
    <t>THOUARS</t>
  </si>
  <si>
    <t>100900 CONVOYAGE A PLATEAUX</t>
  </si>
  <si>
    <t>101101 CONVOYAGE A TAPIS A PALETTES : AUTRES</t>
  </si>
  <si>
    <t>Référents</t>
  </si>
  <si>
    <t>101110 CONVOYAGE A TAPIS A PALETTES : FIXATION ET SUPPORTS</t>
  </si>
  <si>
    <t>101120 CONVOYAGE A TAPIS A PALETTES : GUIDES</t>
  </si>
  <si>
    <t>101130 CONVOYAGE A TAPIS A PALETTES : PALETTES</t>
  </si>
  <si>
    <t>101140 CONVOYAGE A TAPIS A PALETTES : PIGNONS</t>
  </si>
  <si>
    <t>101150 CONVOYAGE A TAPIS A PALETTES : ROULEAUX</t>
  </si>
  <si>
    <t>101200 CONVOYAGE A VERTEBRES</t>
  </si>
  <si>
    <t>101201 CONVOYAGE A VERTEBRES : AUTRES</t>
  </si>
  <si>
    <t>101210 CONVOYAGE A VERTEBRES : CHAINES</t>
  </si>
  <si>
    <t>Patrice GENET</t>
  </si>
  <si>
    <t>101220 CONVOYAGE A VERTEBRES : FIXATION ET SUPPORTS</t>
  </si>
  <si>
    <t>101230 CONVOYAGE A VERTEBRES : GUIDES</t>
  </si>
  <si>
    <t>101300 CONVOYAGE A VIS</t>
  </si>
  <si>
    <t>101400 CONVOYAGE PESON</t>
  </si>
  <si>
    <t>101600 DIVISEURS</t>
  </si>
  <si>
    <t>101700 BANDES MONOFIL</t>
  </si>
  <si>
    <t>101710 BANDES MONOFIL AUTRES</t>
  </si>
  <si>
    <t>103600 103600</t>
  </si>
  <si>
    <t>Mickael LENOIR</t>
  </si>
  <si>
    <t>105100 ARMOIRES ET COFFRETS</t>
  </si>
  <si>
    <t>David BALON</t>
  </si>
  <si>
    <t>105101 ARMOIRES ET COFFRETS : ACCESSOIRES</t>
  </si>
  <si>
    <t>Bruno HARDOUIN</t>
  </si>
  <si>
    <t>105105 ARMOIRES ET COFFRETS : ARMOIRE INOX</t>
  </si>
  <si>
    <t>Cédric EDOUARD</t>
  </si>
  <si>
    <t>105110 ARMOIRES ET COFFRETS : ARMOIRE METAL</t>
  </si>
  <si>
    <t>105115 ARMOIRES ET COFFRETS : ARMOIRE PLASTIQUE</t>
  </si>
  <si>
    <t>Paulo FLORA</t>
  </si>
  <si>
    <t>105120 ARMOIRES ET COFFRETS : BOITE INOX</t>
  </si>
  <si>
    <t>Régis AIGLE</t>
  </si>
  <si>
    <t>105125 ARMOIRES ET COFFRETS : BOITE METAL</t>
  </si>
  <si>
    <t>Thierry TRUBUIL</t>
  </si>
  <si>
    <t>105130 ARMOIRES ET COFFRETS : BOITE PLASTIQUE</t>
  </si>
  <si>
    <t>105135 ARMOIRES ET COFFRETS : COFFRET INOX</t>
  </si>
  <si>
    <t>105140 ARMOIRES ET COFFRETS : COFFRET METAL</t>
  </si>
  <si>
    <t>Thomas DIVRY</t>
  </si>
  <si>
    <t>SVP</t>
  </si>
  <si>
    <t>105145 ARMOIRES ET COFFRETS : COFFRET PLASTIQUE</t>
  </si>
  <si>
    <t>Rémi LEFEVRE</t>
  </si>
  <si>
    <t>105150 ARMOIRES ET COFFRETS : GRILLE ET PLAQUE</t>
  </si>
  <si>
    <t>105155 ARMOIRES ET COFFRETS : JEU DE BARRES ET REPARTITEURS</t>
  </si>
  <si>
    <t>105160 ARMOIRES ET COFFRETS : RAILS</t>
  </si>
  <si>
    <t>105165 ARMOIRES ET COFFRETS : TABLEAUX</t>
  </si>
  <si>
    <t>105225 AUTOMATISATION : CARTES RESEAUX API</t>
  </si>
  <si>
    <t>105235 AUTOMATISATION : CONTROLEURS PROGRAMMABLES</t>
  </si>
  <si>
    <t>105240 AUTOMATISATION : CORDONS</t>
  </si>
  <si>
    <t>105255 AUTOMATISATION : LOGICIELS</t>
  </si>
  <si>
    <t>105300 BOUTONS ET SIGNALISATION</t>
  </si>
  <si>
    <t>105301 BOUTONS ET SIGNALISATION : ARRETS D'URGENCE</t>
  </si>
  <si>
    <t>105305 BOUTONS ET SIGNALISATION : BALISES ET COLONNES</t>
  </si>
  <si>
    <t>105315 BOUTONS ET SIGNALISATION : BOUTONS PLASTIQUES MODULAIRES</t>
  </si>
  <si>
    <t>105320 BOUTONS ET SIGNALISATION : BOUTONS PLASTIQUES MONOBLOCS</t>
  </si>
  <si>
    <t>105325 BOUTONS ET SIGNALISATION : COMMUTATEURS</t>
  </si>
  <si>
    <t>105330 BOUTONS ET SIGNALISATION : ETIQUETTES / IDENTIFICATION</t>
  </si>
  <si>
    <t>105335 BOUTONS ET SIGNALISATION : PANNEAUX DE SIGNALISATION</t>
  </si>
  <si>
    <t>105340 BOUTONS ET SIGNALISATION : POSTES DE CONDUITE (JOYSTICK, BI-MANUELLE)</t>
  </si>
  <si>
    <t>105345 BOUTONS ET SIGNALISATION : SIRENES</t>
  </si>
  <si>
    <t>105350 BOUTONS ET SIGNALISATION : VOYANTS METALLIQUES MODULAIRES</t>
  </si>
  <si>
    <t>105355 BOUTONS ET SIGNALISATION : VOYANTS PLASTIQUES MODULAIRES</t>
  </si>
  <si>
    <t>105360 BOUTONS ET SIGNALISATION : VOYANTS PLASTIQUES MONOBLOCS</t>
  </si>
  <si>
    <t>105400 CANALISATION</t>
  </si>
  <si>
    <t>105401 CANALISATION : CANALISATIONS PREFABRIQUEES</t>
  </si>
  <si>
    <t>105405 CANALISATION : CHEMINS DE CABLES</t>
  </si>
  <si>
    <t>105410 CANALISATION : GAINES</t>
  </si>
  <si>
    <t>105415 CANALISATION : GOULOTTES</t>
  </si>
  <si>
    <t>105420 CANALISATION : TUBES</t>
  </si>
  <si>
    <t>105500 COMPOSANTS DE CABLAGE</t>
  </si>
  <si>
    <t>105501 COMPOSANTS DE CABLAGE : ATTACHES</t>
  </si>
  <si>
    <t>105515 COMPOSANTS DE CABLAGE : COLLIERS</t>
  </si>
  <si>
    <t>105520 COMPOSANTS DE CABLAGE : COSSES</t>
  </si>
  <si>
    <t>105525 COMPOSANTS DE CABLAGE : EMBOUTS</t>
  </si>
  <si>
    <t>105530 COMPOSANTS DE CABLAGE : FILS DE CABLAGE</t>
  </si>
  <si>
    <t>105535 COMPOSANTS DE CABLAGE : PRESSES-ETOUPES</t>
  </si>
  <si>
    <t>105545 COMPOSANTS DE CABLAGE : REPERAGE</t>
  </si>
  <si>
    <t>105600 COMPOSANTS ELECTRONIQUES</t>
  </si>
  <si>
    <t>105601 COMPOSANTS ELECTRONIQUES : AMPLIFICATEURS</t>
  </si>
  <si>
    <t>105605 COMPOSANTS ELECTRONIQUES : CIRCUITS IMPRIMES</t>
  </si>
  <si>
    <t>105610 COMPOSANTS ELECTRONIQUES : CONDENSATEURS</t>
  </si>
  <si>
    <t>105615 COMPOSANTS ELECTRONIQUES : DIODES</t>
  </si>
  <si>
    <t>105620 COMPOSANTS ELECTRONIQUES : INDUCTANCES</t>
  </si>
  <si>
    <t>105625 COMPOSANTS ELECTRONIQUES : INTERRUPTEURS ET BOUTONS POUSSOIRS</t>
  </si>
  <si>
    <t>105635 COMPOSANTS ELECTRONIQUES : REDRESSEURS</t>
  </si>
  <si>
    <t>105640 COMPOSANTS ELECTRONIQUES : RESISTANCES</t>
  </si>
  <si>
    <t>105645 COMPOSANTS ELECTRONIQUES : THYRISTORS</t>
  </si>
  <si>
    <t>105650 COMPOSANTS ELECTRONIQUES : TRANSFORMATEURS</t>
  </si>
  <si>
    <t>105655 COMPOSANTS ELECTRONIQUES : TRANSISTORS</t>
  </si>
  <si>
    <t>105700 CONTACTEURS ET RELAIS</t>
  </si>
  <si>
    <t>105701 CONTACTEURS ET RELAIS : CONTACTEURS A ACCROCHAGE MAGNETIQUE</t>
  </si>
  <si>
    <t>105705 CONTACTEURS ET RELAIS : CONTACTEURS A OUVERTURE RAPIDE</t>
  </si>
  <si>
    <t>105710 CONTACTEURS ET RELAIS : CONTACTEURS ANTICHOC</t>
  </si>
  <si>
    <t>105720 CONTACTEURS ET RELAIS : CONTACTEURS DELESTEURS</t>
  </si>
  <si>
    <t>105725 CONTACTEURS ET RELAIS : CONTACTEURS ELECTROTHERMIE</t>
  </si>
  <si>
    <t>105730 CONTACTEURS ET RELAIS : CONTACTEURS STANDARDS</t>
  </si>
  <si>
    <t>105735 CONTACTEURS ET RELAIS : CONTACTEURS SUR BARREAUX A COMPOSITION VARIABLE</t>
  </si>
  <si>
    <t>105740 CONTACTEURS ET RELAIS : INTERFACES POUR SIGNAUX ANALOGIQUES</t>
  </si>
  <si>
    <t>105745 CONTACTEURS ET RELAIS : INTERFACES POUR SIGNAUX TOR</t>
  </si>
  <si>
    <t>105750 CONTACTEURS ET RELAIS : RELAIS DE MESURE ET DE CONTROLE</t>
  </si>
  <si>
    <t>105760 CONTACTEURS ET RELAIS : RELAIS ELECTROMAGNETIQUES EMBROCHABLES</t>
  </si>
  <si>
    <t>105765 CONTACTEURS ET RELAIS : RELAIS STATIQUES</t>
  </si>
  <si>
    <t>105770 CONTACTEURS ET RELAIS : RELAIS TEMPORISES ELECTRONIQUES</t>
  </si>
  <si>
    <t>105800 CONVERTISSEURS</t>
  </si>
  <si>
    <t>105810 CONVERTISSEURS : ONDULEURS</t>
  </si>
  <si>
    <t>105812 CONVERTISSEURS : RESISTANCES CHAUFFANTES ET DE FREINAGE</t>
  </si>
  <si>
    <t>105815 CONVERTISSEURS : SERVO-MOTEURS</t>
  </si>
  <si>
    <t>105820 CONVERTISSEURS : SERVO-VARIATEURS</t>
  </si>
  <si>
    <t>105825 CONVERTISSEURS : TRANSFORMATEURS (TENSION ET INTENSITE)</t>
  </si>
  <si>
    <t>105835 CONVERTISSEURS : VARIATEURS DE VITESSE CONTINU</t>
  </si>
  <si>
    <t>105910 DETECTION : DETECTEURS CAPACITIFS CYLINDRIQUES LISSES</t>
  </si>
  <si>
    <t>105915 DETECTION : DETECTEURS CAPACITIFS FILETES</t>
  </si>
  <si>
    <t>105920 DETECTION : DETECTEURS CAPACITIFS PARALLELEPIPEDIQUES</t>
  </si>
  <si>
    <t>105925 DETECTION : DETECTEURS INDUCTIFS CYLINDRIQUES LISSES</t>
  </si>
  <si>
    <t>105945 DETECTION : DETECTEURS PHOTOELECTRIQUES FIBRE OPTIQUE</t>
  </si>
  <si>
    <t>105950 DETECTION : DETECTEURS PHOTOELECTRIQUES INFRAROUGES</t>
  </si>
  <si>
    <t>105965 DETECTION : DETECTEURS ULTRA-SON</t>
  </si>
  <si>
    <t>105970 DETECTION : INTERRUPTEURS DE POSITION / FIN DE COURSE</t>
  </si>
  <si>
    <t>105975 DETECTION : PRESSOSTATS</t>
  </si>
  <si>
    <t>105980 DETECTION : SUPPORTS</t>
  </si>
  <si>
    <t>105985 DETECTION : THERMOSTATS</t>
  </si>
  <si>
    <t>106 ROULEAU SORTIS COLFORMEUR</t>
  </si>
  <si>
    <t>106000 ECLAIRAGE</t>
  </si>
  <si>
    <t>106001 ECLAIRAGE : APPAREILS D'ECLAIRAGE EXTERIEUR</t>
  </si>
  <si>
    <t>106005 ECLAIRAGE : APPAREILS D'ECLAIRAGE INTERIEUR</t>
  </si>
  <si>
    <t>106010 ECLAIRAGE : BALLASTS</t>
  </si>
  <si>
    <t>106015 ECLAIRAGE : CONDENSATEURS</t>
  </si>
  <si>
    <t>106020 ECLAIRAGE : DOUILLES</t>
  </si>
  <si>
    <t>106025 ECLAIRAGE : ECLAIRAGE DE SECOURS BAES</t>
  </si>
  <si>
    <t>106030 ECLAIRAGE : GESTION D'ECLAIRAGE</t>
  </si>
  <si>
    <t>106035 ECLAIRAGE : LAMPES DECHARGE</t>
  </si>
  <si>
    <t>106040 ECLAIRAGE : LAMPES ET TUBES FLUORESCENTS</t>
  </si>
  <si>
    <t>106045 ECLAIRAGE : LAMPES HALOGENES</t>
  </si>
  <si>
    <t>106050 ECLAIRAGE : LAMPES INCANDESCENTES</t>
  </si>
  <si>
    <t>106055 ECLAIRAGE : LAMPES LED</t>
  </si>
  <si>
    <t>106060 ECLAIRAGE : STARTERS / AMORCEURS</t>
  </si>
  <si>
    <t>106100 INFORMATIQUE</t>
  </si>
  <si>
    <t>106101 INFORMATIQUE : CLAVIERS</t>
  </si>
  <si>
    <t>106105 INFORMATIQUE : CORDONS / CONNECTIQUE</t>
  </si>
  <si>
    <t>106110 INFORMATIQUE : ECRANS</t>
  </si>
  <si>
    <t>106115 INFORMATIQUE : IMPRIMANTES</t>
  </si>
  <si>
    <t>106120 INFORMATIQUE : SOURIS</t>
  </si>
  <si>
    <t>106130 INFORMATIQUE : TOURS / UNITES CENTRALES</t>
  </si>
  <si>
    <t>106205 MESURE ET REGULATION : COMPTEURS</t>
  </si>
  <si>
    <t>106210 MESURE ET REGULATION : CONNECTIQUE</t>
  </si>
  <si>
    <t>106215 MESURE ET REGULATION : ENREGISTREURS</t>
  </si>
  <si>
    <t>106225 MESURE ET REGULATION : MESURE DE GRANDEURS ELECTRIQUES</t>
  </si>
  <si>
    <t>106230 MESURE ET REGULATION : MESURE DE PRESSION</t>
  </si>
  <si>
    <t>106250 MESURE ET REGULATION : MESURE PHYSICOCHIMIQUE</t>
  </si>
  <si>
    <t>106301 OUTILLAGE / CONSOMMABLES : GAINES THERMORETRACTABLES</t>
  </si>
  <si>
    <t>106305 OUTILLAGE / CONSOMMABLES : OUTILLAGE</t>
  </si>
  <si>
    <t>106310 OUTILLAGE / CONSOMMABLES : PILES ET BATTERIES</t>
  </si>
  <si>
    <t>106315 OUTILLAGE / CONSOMMABLES : SCOTCH</t>
  </si>
  <si>
    <t>106400 PROTECTION ET COUPURE</t>
  </si>
  <si>
    <t>106401 PROTECTION ET COUPURE : CONTROLEURS PERMANENTS D'ISOLEMENT</t>
  </si>
  <si>
    <t>106405 PROTECTION ET COUPURE : DISJONCTEURS JUSQU'A 1250A</t>
  </si>
  <si>
    <t>106410 PROTECTION ET COUPURE : DISJONCTEURS JUSQU'A 125A</t>
  </si>
  <si>
    <t>106415 PROTECTION ET COUPURE : DISJONCTEURS JUSQU'A 2500A</t>
  </si>
  <si>
    <t>106420 PROTECTION ET COUPURE : DISJONCTEURS JUSQU'A 250A</t>
  </si>
  <si>
    <t>106425 PROTECTION ET COUPURE : DISJONCTEURS JUSQU'A 32A</t>
  </si>
  <si>
    <t>106430 PROTECTION ET COUPURE : DISJONCTEURS JUSQU'A 6300A</t>
  </si>
  <si>
    <t>106435 PROTECTION ET COUPURE : DISJONCTEURS JUSQU'A 630A</t>
  </si>
  <si>
    <t>106440 PROTECTION ET COUPURE : DISJONCTEURS JUSQU'A 63A</t>
  </si>
  <si>
    <t>106450 PROTECTION ET COUPURE : FUSIBLES</t>
  </si>
  <si>
    <t>106455 PROTECTION ET COUPURE : INTERRUPTEURS DIFFERENTIELS</t>
  </si>
  <si>
    <t>106465 PROTECTION ET COUPURE : PARAFOUDRES</t>
  </si>
  <si>
    <t>106470 PROTECTION ET COUPURE : PORTES FUSIBLES</t>
  </si>
  <si>
    <t>106475 PROTECTION ET COUPURE : RELAIS THERMIQUES</t>
  </si>
  <si>
    <t>106480 PROTECTION ET COUPURE : SECTIONNEURS</t>
  </si>
  <si>
    <t>106500 TELEPHONIE</t>
  </si>
  <si>
    <t>106501 TELEPHONIE : ALIMENTATIONS ET BATTERIES</t>
  </si>
  <si>
    <t>106505 TELEPHONIE : AUTOCOMMUTATEURS ET CARTES</t>
  </si>
  <si>
    <t>106510 TELEPHONIE : COMBINES DE STANDARD</t>
  </si>
  <si>
    <t>106515 TELEPHONIE : CORDONS</t>
  </si>
  <si>
    <t>106520 TELEPHONIE : PRISES</t>
  </si>
  <si>
    <t>106525 TELEPHONIE : TELEPHONIE FIXE</t>
  </si>
  <si>
    <t>110000 FLUIDE HORS HYDRAULIQUE/PNEUMATIQUE</t>
  </si>
  <si>
    <t>110110 AIR / VIDE : POMPES A VIDE</t>
  </si>
  <si>
    <t>110120 AIR / VIDE : VENTILATEURS SURPRESSEURS</t>
  </si>
  <si>
    <t>110200 EAU</t>
  </si>
  <si>
    <t>110201 EAU : FILTRES</t>
  </si>
  <si>
    <t>110210 EAU : RESERVOIRS ACCESSOIRES</t>
  </si>
  <si>
    <t>110301 ETANCHEITE : ANNEAUX METALLIQUES</t>
  </si>
  <si>
    <t>110340 ETANCHEITE : TRESSES D'ETANCHEITE</t>
  </si>
  <si>
    <t>110400 FLUIDES FRIGORIGENES</t>
  </si>
  <si>
    <t>110401 FLUIDES FRIGORIGENES : AMMONIAC</t>
  </si>
  <si>
    <t>110410 FLUIDES FRIGORIGENES : AUTRES FLUIDES</t>
  </si>
  <si>
    <t>110480 FLUIDES FRIGORIGENES : VANNES ROBINETS DETENDEURS</t>
  </si>
  <si>
    <t>110500 FUEL</t>
  </si>
  <si>
    <t>110600 PRODUITS CHIMIQUES (CHLORE, ACIDE SULFURIQUE, à)</t>
  </si>
  <si>
    <t>110700 RACCORDS</t>
  </si>
  <si>
    <t>110710 RACCORD : RACCORD PVC</t>
  </si>
  <si>
    <t>110720 RACCORD : RACCORD PVC PRESSION</t>
  </si>
  <si>
    <t>110740 RACCORD : RACCORD LAITON</t>
  </si>
  <si>
    <t>110750 RACCORD : RACCORD GALVA</t>
  </si>
  <si>
    <t>110760 RACCORD : RACCORD ALU</t>
  </si>
  <si>
    <t>110900 VAPEUR</t>
  </si>
  <si>
    <t>110901 VAPEUR : FILTRES</t>
  </si>
  <si>
    <t>110910 VAPEUR : PURGEURS</t>
  </si>
  <si>
    <t>110920 VAPEUR : RESERVOIRS ACCESSOIRES</t>
  </si>
  <si>
    <t>115000 HYDRAULIQUE</t>
  </si>
  <si>
    <t>115100 HYDRAULIQUE : ACCESSOIRES</t>
  </si>
  <si>
    <t>115200 HYDRAULIQUE : ACCUMULATEURS</t>
  </si>
  <si>
    <t>115300 HYDRAULIQUE : APPAREILS DE MESURE</t>
  </si>
  <si>
    <t>115400 HYDRAULIQUE : CENTRALES HYDRAULIQUES</t>
  </si>
  <si>
    <t>115500 HYDRAULIQUE : CLAPETS (PARACHUTE, ANTI RETOUR, ...)</t>
  </si>
  <si>
    <t>115800 HYDRAULIQUE : ETANCHEITE</t>
  </si>
  <si>
    <t>116000 HYDRAULIQUE : MOTEURS</t>
  </si>
  <si>
    <t>116100 HYDRAULIQUE : POMPES</t>
  </si>
  <si>
    <t>116200 HYDRAULIQUE : SOUPAPES</t>
  </si>
  <si>
    <t>116201 HYDRAULIQUE : SOUPAPES : TUYAUTERIE : AUTRES</t>
  </si>
  <si>
    <t>116210 HYDRAULIQUE : SOUPAPES : TUYAUTERIE : FLEXIBLES</t>
  </si>
  <si>
    <t>116300 HYDRAULIQUE : VANNES ELECTROVANNES</t>
  </si>
  <si>
    <t>116400 HYDRAULIQUE : VERINS</t>
  </si>
  <si>
    <t>1200 CAPTEUR PORTE</t>
  </si>
  <si>
    <t>120000 LEVAGE MANUTENTION VEHICULES</t>
  </si>
  <si>
    <t>120100 LEVAGE MANUTENTION VEHICULES : BATTERIES</t>
  </si>
  <si>
    <t>120300 LEVAGE MANUTENTION VEHICULES : PONTS ROULANTS</t>
  </si>
  <si>
    <t>120400 LEVAGE MANUTENTION VEHICULES : QUAIS DE CHARGEMENT</t>
  </si>
  <si>
    <t>120500 LEVAGE MANUTENTION VEHICULES : REMORQUES</t>
  </si>
  <si>
    <t>120600 LEVAGE MANUTENTION VEHICULES : ROUES ET PNEUMATIQUES</t>
  </si>
  <si>
    <t>120601 ECRANT</t>
  </si>
  <si>
    <t>120603 CAPTEUR DE NIVEAU</t>
  </si>
  <si>
    <t>120700 LEVAGE MANUTENTION VEHICULES : TRANSPALETTES</t>
  </si>
  <si>
    <t>120800 LEVAGE MANUTENTION VEHICULES : ACCESSOIRES</t>
  </si>
  <si>
    <t>120900 LEVAGE MANUTENTION VEHICULES : MARQUES</t>
  </si>
  <si>
    <t>120901 LEVAGE MANUTENTION VEHICULES : CATERPILLAR</t>
  </si>
  <si>
    <t>120902 LEVAGE MANUTENTION VEHICULES : DEUZT</t>
  </si>
  <si>
    <t>120903 LEVAGE MANUTENTION VEHICULES : MANITOU</t>
  </si>
  <si>
    <t>120904 LEVAGE MANUTENTION VEHICULES : FENWICK</t>
  </si>
  <si>
    <t>120905 LEVAGE MANUTENTION VEHICULES : SAME</t>
  </si>
  <si>
    <t>120906 LEVAGE MANUTENTION VEHICULES : JCB</t>
  </si>
  <si>
    <t>120907 LEVAGE MANUTENTION VEHICULES : RENAULT</t>
  </si>
  <si>
    <t>120908 LEVAGE MANUTENTION VEHICULES : PEUGEOT</t>
  </si>
  <si>
    <t>120909 LEVAGE MANUTENTION VEHICULES : CASE</t>
  </si>
  <si>
    <t>120910 LEVAGE MANUTENTION VEHICULES : FORD</t>
  </si>
  <si>
    <t>120911 LEVAGE MANUTENTION VEHICULES : HYSTER</t>
  </si>
  <si>
    <t>120912 LEVAGE MANUTENTION VEHICULES : JUNGHEINRICH</t>
  </si>
  <si>
    <t>120913 LEVAGE MANUTENTION VEHICULES : TOYOTA</t>
  </si>
  <si>
    <t>120914 LEVAGE MANUTENTION VEHICULES : VIVIER</t>
  </si>
  <si>
    <t>120915 LEVAGE MANUTENTION VEHICULES : FIAT</t>
  </si>
  <si>
    <t>120916 LEVAGE MANUTENTION VEHICULES : JLG</t>
  </si>
  <si>
    <t>120917 LEVAGE MANUTENTION VEHICULES : HAULOTTE</t>
  </si>
  <si>
    <t>120918 LEVAGE MANUTENTION VEHICULES : HYUNDAI</t>
  </si>
  <si>
    <t>120950 SERMATEC</t>
  </si>
  <si>
    <t>120951 SERMATEC : COMPOSTEUR</t>
  </si>
  <si>
    <t>120952 SERMATEC : CONTAINERS</t>
  </si>
  <si>
    <t>120953 SERMATEC : MACHINES DE CEUILLE</t>
  </si>
  <si>
    <t>120956 CENTRALE TRAITEMENT AIR</t>
  </si>
  <si>
    <t>120960 THERMO GROUPE TRANE</t>
  </si>
  <si>
    <t>120970 PASTEURISATION</t>
  </si>
  <si>
    <t>125000 LUBRIFICATION</t>
  </si>
  <si>
    <t>125100 LUBRIFICATION : ACCESSOIRES GRAISSE</t>
  </si>
  <si>
    <t>125200 LUBRIFICATION : ACCESSOIRES HUILE</t>
  </si>
  <si>
    <t>125300 LUBRIFICATION : GRAISSES</t>
  </si>
  <si>
    <t>125400 LUBRIFICATION : HUILES</t>
  </si>
  <si>
    <t>130000 MATERIAUX</t>
  </si>
  <si>
    <t>130100 MATERIAUX : ACIER</t>
  </si>
  <si>
    <t>130200 MATERIAUX : ALUMINIUM</t>
  </si>
  <si>
    <t>130300 MATERIAUX : BRONZE</t>
  </si>
  <si>
    <t>130400 MATERIAUX : INOX</t>
  </si>
  <si>
    <t>130500 MATERIAUX : PLASTIQUE</t>
  </si>
  <si>
    <t>132000 MOBILIER DE BUREAU ET FOURNITURES</t>
  </si>
  <si>
    <t>133000 OUTILLAGE EQUIPEMENTS</t>
  </si>
  <si>
    <t>135000 OUTILLAGE PRODUITS CHIMIQUES</t>
  </si>
  <si>
    <t>135200 OUTILLAGE PRODUITS CHIMIQUES : APPAREILS DE MESURE</t>
  </si>
  <si>
    <t>135300 OUTILLAGE PRODUITS CHIMIQUES : COLLES</t>
  </si>
  <si>
    <t>135400 OUTILLAGE PRODUITS CHIMIQUES : CONSOMMABLES D'OUTILLAGE  (FORETS, à)</t>
  </si>
  <si>
    <t>135500 OUTILLAGE PRODUITS CHIMIQUES : DEGRIPPANTS</t>
  </si>
  <si>
    <t>135600 OUTILLAGE PRODUITS CHIMIQUES : GAZ INDUSTRIELS</t>
  </si>
  <si>
    <t>135700 OUTILLAGE PRODUITS CHIMIQUES : NETTOYANTS DEGRAISSANTS</t>
  </si>
  <si>
    <t>135800 OUTILLAGE PRODUITS CHIMIQUES : OUTILLAGE ELECTRO PORTATIF</t>
  </si>
  <si>
    <t>135900 OUTILLAGE PRODUITS CHIMIQUES : OUTILLAGE MANUEL</t>
  </si>
  <si>
    <t>136000 OUTILLAGE PRODUITS CHIMIQUES : PEINTURES RESINES</t>
  </si>
  <si>
    <t>136100 OUTILLAGE PRODUITS CHIMIQUES : SOUDURE</t>
  </si>
  <si>
    <t>136200 OUTILLAGE PRODUITS CHIMIQUES : EQUIPEMENT DE PROTECTION INDIVIDUELLE</t>
  </si>
  <si>
    <t>140200 PNEUMATIQUE : ACCUMULATEURS</t>
  </si>
  <si>
    <t>140300 PNEUMATIQUE : APPAREILS DE MESURE</t>
  </si>
  <si>
    <t>140400 PNEUMATIQUE : CLAPETS</t>
  </si>
  <si>
    <t>140600 PNEUMATIQUE : ETANCHEITE</t>
  </si>
  <si>
    <t>140900 PNEUMATIQUE : TUYAUTERIE</t>
  </si>
  <si>
    <t>145000 SECURITE DES BIENS / DES HOMMES</t>
  </si>
  <si>
    <t>145100 SECURITE DES BIENS : CONTROLES D'ACCES INTRUSION</t>
  </si>
  <si>
    <t>145300 SECURITE DES BIENS : RIA EXTINCTEURS</t>
  </si>
  <si>
    <t>145400 SECURITE DES BIENS : SPRINKLAGE</t>
  </si>
  <si>
    <t>145500 SECURITE DES HOMMES : EQUIPEMENTS DE PROTECTION INDIVIDUELLE EPI</t>
  </si>
  <si>
    <t>150 ENSEMBLE TAQUET ESCAMOTABLE BTMDP12 complet</t>
  </si>
  <si>
    <t>1500 CELLULE</t>
  </si>
  <si>
    <t>150110 ACCOUPLEMENTS / TRANSMISSION : CARDANS</t>
  </si>
  <si>
    <t>150200 ANTIVIBRATOIRES (SILENT BLOC)</t>
  </si>
  <si>
    <t>150300 CHAINES / PIGNONS</t>
  </si>
  <si>
    <t>150301 CHAINES / PIGNONS : ACIER</t>
  </si>
  <si>
    <t>150310 CHAINES / PIGNONS : BRONZE</t>
  </si>
  <si>
    <t>150320 CHAINES / PIGNONS : INOX</t>
  </si>
  <si>
    <t>150360 CHAINES / PIGNONS : TENDEURS</t>
  </si>
  <si>
    <t>150510 MOTEURS : MOTEURS ASYNCHRONES</t>
  </si>
  <si>
    <t>150600 PALIERS</t>
  </si>
  <si>
    <t>150601 PALIERS : ACIER</t>
  </si>
  <si>
    <t>150610 PALIERS : INOX</t>
  </si>
  <si>
    <t>150630 PALIERS : FONTE</t>
  </si>
  <si>
    <t>150801 ROULEMENTS : BAGUES AUTOLUBRIFIANTES</t>
  </si>
  <si>
    <t>150810 ROULEMENTS : BUTEES</t>
  </si>
  <si>
    <t>150820 ROULEMENTS : GALETS</t>
  </si>
  <si>
    <t>150830 ROULEMENTS : ROULEMENTS A AIGUILLES</t>
  </si>
  <si>
    <t>150840 ROULEMENTS : ROULEMENTS A BILLES</t>
  </si>
  <si>
    <t>150850 ROULEMENTS : ROULEMENTS A ROULEAUX</t>
  </si>
  <si>
    <t>150860 ROULEMENTS : ROULEMENTS CONIQUES</t>
  </si>
  <si>
    <t>150900 VARIATEURS MECANIQUES</t>
  </si>
  <si>
    <t>155000 VISSERIE FIXATION</t>
  </si>
  <si>
    <t>155100 VISSERIE FIXATION : CIRCLIPS</t>
  </si>
  <si>
    <t>155200 VISSERIE FIXATION : CLAVETTES</t>
  </si>
  <si>
    <t>155300 VISSERIE FIXATION : GOUPILLES</t>
  </si>
  <si>
    <t>155400 VISSERIE FIXATION : PRODUIT D'ANCRAGE / CHEVILLES</t>
  </si>
  <si>
    <t>155600 VISSERIE FIXATION : RIVETS</t>
  </si>
  <si>
    <t>155700 VISSERIE FIXATION : RONDELLES</t>
  </si>
  <si>
    <t>155701 VISSERIE FIXATION : RONDELLES : ACIER</t>
  </si>
  <si>
    <t>155710 VISSERIE FIXATION : RONDELLES : INOX</t>
  </si>
  <si>
    <t>155720 VISSERIE FIXATION : RONDELLES : LAITON</t>
  </si>
  <si>
    <t>155730 VISSERIE FIXATION : RONDELLES : PLASTIQUE</t>
  </si>
  <si>
    <t>155800 VISSERIE FIXATION : TIGES FILETEES</t>
  </si>
  <si>
    <t>155801 VISSERIE FIXATION : TIGES FILETEES : ACIER</t>
  </si>
  <si>
    <t>155810 VISSERIE FIXATION : TIGES FILETEES : INOX</t>
  </si>
  <si>
    <t>155820 VISSERIE FIXATION : TIGES FILETEES : LAITON</t>
  </si>
  <si>
    <t>155830 VISSERIE FIXATION : TIGES FILETEES : PLASTIQUE</t>
  </si>
  <si>
    <t>155900 VISSERIE FIXATION : VIS ECROUS</t>
  </si>
  <si>
    <t>155901 VISSERIE FIXATION : VIS ECROUS : ACIER</t>
  </si>
  <si>
    <t>155920 VISSERIE FIXATION : VIS ECROUS : LAITON</t>
  </si>
  <si>
    <t>155930 VISSERIE FIXATION : VIS ECROUS : PLASTIQUE</t>
  </si>
  <si>
    <t>156000 VISSERIE FIXATION : COLLIER</t>
  </si>
  <si>
    <t>160000 ARTICLES A TRIER</t>
  </si>
  <si>
    <t>170000 ARTICLES OBSOLETES</t>
  </si>
  <si>
    <t>200600 THERMO RAMSEY</t>
  </si>
  <si>
    <t>200650 ABB</t>
  </si>
  <si>
    <t>200750 ABSCISSE</t>
  </si>
  <si>
    <t>201000 ACB</t>
  </si>
  <si>
    <t>201500 AEG-AVITEC-VIBROTECNIC</t>
  </si>
  <si>
    <t>201750 AFI</t>
  </si>
  <si>
    <t>201800 AIT</t>
  </si>
  <si>
    <t>201850 ALFA-LAVAL</t>
  </si>
  <si>
    <t>202000 ALSTOM</t>
  </si>
  <si>
    <t>202500 ANGELUS</t>
  </si>
  <si>
    <t>202600 AQUASYSTEMS</t>
  </si>
  <si>
    <t>202750 ARMOR INOX</t>
  </si>
  <si>
    <t>203000 ATECMI</t>
  </si>
  <si>
    <t>203001 ATECMI : CONVOYEURS</t>
  </si>
  <si>
    <t>203010 ATECMI : PALETTISEURS DEPALETTISEURS</t>
  </si>
  <si>
    <t>203400 ATS - TANNER BANDING SYSTEMS AG</t>
  </si>
  <si>
    <t>203500 ATLAS-COPCO</t>
  </si>
  <si>
    <t>204000 AVERY</t>
  </si>
  <si>
    <t>204100 BABCOCK WANSON</t>
  </si>
  <si>
    <t>204250 BAGE</t>
  </si>
  <si>
    <t>204500 BA SYSTEM</t>
  </si>
  <si>
    <t>205000 BARRIQUAND</t>
  </si>
  <si>
    <t>205400 AFFINEUR/BROYEUR</t>
  </si>
  <si>
    <t>205450 BEIJING:VISION</t>
  </si>
  <si>
    <t>205500 TOMRA</t>
  </si>
  <si>
    <t>205501 BEST : TRIEURS OPTIQUES</t>
  </si>
  <si>
    <t>205510 BEST : TRIEURS RAYONS X</t>
  </si>
  <si>
    <t>205800 BEYAERT</t>
  </si>
  <si>
    <t>205850 BFR SYSTEMES</t>
  </si>
  <si>
    <t>205900 BIGTEM</t>
  </si>
  <si>
    <t>206000 BLUEPRINT</t>
  </si>
  <si>
    <t>206500 BOEKELS</t>
  </si>
  <si>
    <t>207000 BOSCH-VERPACKUNGEN</t>
  </si>
  <si>
    <t>207250 BONDUELLE</t>
  </si>
  <si>
    <t>207260 BONDUELLE : PELEUR</t>
  </si>
  <si>
    <t>207500 BRAEMS</t>
  </si>
  <si>
    <t>207501 BRAEMS : LAVEURS</t>
  </si>
  <si>
    <t>207510 BRAEMS : TRIEURS DENSIMETRIQUES</t>
  </si>
  <si>
    <t>207600 BROUILLON:CHAUDRON</t>
  </si>
  <si>
    <t>208001 BRUYNOOGHE : BASCULEURS</t>
  </si>
  <si>
    <t>208010 BRUYNOOGHE : CALIBREURS</t>
  </si>
  <si>
    <t>208020 BRUYNOOGHE : LAVEURS</t>
  </si>
  <si>
    <t>208030 BRUYNOOGHE : RINCEURS</t>
  </si>
  <si>
    <t>208040 BRUYNOOGHE : AUGES VIBRANTES</t>
  </si>
  <si>
    <t>208300 BT FRANCE</t>
  </si>
  <si>
    <t>208501 CABINPLANT : BLANCHEURS</t>
  </si>
  <si>
    <t>208510 CABINPLANT : VIBREURS</t>
  </si>
  <si>
    <t>208600 CAULLE</t>
  </si>
  <si>
    <t>208750 CARNAUD</t>
  </si>
  <si>
    <t>209000 CARVALLO-CARVALLUX</t>
  </si>
  <si>
    <t>210000 CCM</t>
  </si>
  <si>
    <t>210250 CERMEX</t>
  </si>
  <si>
    <t>210300 CETRA</t>
  </si>
  <si>
    <t>210500 GEA</t>
  </si>
  <si>
    <t>211000 CFT-MECPARMA</t>
  </si>
  <si>
    <t>211500 CHARLATTE</t>
  </si>
  <si>
    <t>212000 CHRIMAX</t>
  </si>
  <si>
    <t>212001 CHRIMAX : BARQUETEUSES (PLASTIQUE)</t>
  </si>
  <si>
    <t>212010 CHRIMAX : OPERCULEUSES</t>
  </si>
  <si>
    <t>212020 CHRIMAX : DESEMPILEURS</t>
  </si>
  <si>
    <t>212500 COLLAMAT</t>
  </si>
  <si>
    <t>213000 COMACO</t>
  </si>
  <si>
    <t>213001 COMACO : CLINCHEUSES</t>
  </si>
  <si>
    <t>213010 COMACO : SERTISSEUSES</t>
  </si>
  <si>
    <t>213200 COMARME</t>
  </si>
  <si>
    <t>213400 COMER</t>
  </si>
  <si>
    <t>213500 CONDIFILM</t>
  </si>
  <si>
    <t>213501 CONDIFILM : BANDEROLEUSES</t>
  </si>
  <si>
    <t>213510 CONDIFILM : FARDELEUSES</t>
  </si>
  <si>
    <t>213520 CONDIFILM : DEPILEURS</t>
  </si>
  <si>
    <t>213600 C.ONE</t>
  </si>
  <si>
    <t>213800 CONTINENTALE</t>
  </si>
  <si>
    <t>214000 CROWN</t>
  </si>
  <si>
    <t>214200 DELNA</t>
  </si>
  <si>
    <t>214300 DICOMA</t>
  </si>
  <si>
    <t>214500 DISPAK</t>
  </si>
  <si>
    <t>214600 DIVERSEY</t>
  </si>
  <si>
    <t>214750 DOSAGE 2000</t>
  </si>
  <si>
    <t>215000 DOMINO</t>
  </si>
  <si>
    <t>215100 DTS : COUPEUSES</t>
  </si>
  <si>
    <t>215500 DUVIVIER</t>
  </si>
  <si>
    <t>216000 E80 (ELETTRIC 80)</t>
  </si>
  <si>
    <t>216500 EAMS</t>
  </si>
  <si>
    <t>216501 EAMS : AGREAGE</t>
  </si>
  <si>
    <t>216510 EAMS : BLANCHEURS CUISEURS REFROIDISSEURS</t>
  </si>
  <si>
    <t>216520 EAMS : COUPEUSES</t>
  </si>
  <si>
    <t>216530 EAMS : EMBOITEUSES</t>
  </si>
  <si>
    <t>216540 EAMS : LAVEUSES</t>
  </si>
  <si>
    <t>216550 EAMS : PARAGE EPINARDS</t>
  </si>
  <si>
    <t>216560 EAMS : PARAGE HARICOTS VERTS</t>
  </si>
  <si>
    <t>216570 EAMS : PARAGE POIS</t>
  </si>
  <si>
    <t>216580 EAMS : TRANSPORT HYDRAULIQUE</t>
  </si>
  <si>
    <t>216700 EDLUND : OUVRE BOITES</t>
  </si>
  <si>
    <t>217000 EIDOS</t>
  </si>
  <si>
    <t>217050 EILLERT</t>
  </si>
  <si>
    <t>217100 EIN</t>
  </si>
  <si>
    <t>217125 EISELE</t>
  </si>
  <si>
    <t>217250 ELCOWA</t>
  </si>
  <si>
    <t>217500 ENGLERS</t>
  </si>
  <si>
    <t>217501 ENGLERS : EMBOITEUSES</t>
  </si>
  <si>
    <t>217510 ENGLERS : JUTEUSES</t>
  </si>
  <si>
    <t>217625 ENSIVAL MORET</t>
  </si>
  <si>
    <t>217750 ERMA</t>
  </si>
  <si>
    <t>217850 ETIPACK</t>
  </si>
  <si>
    <t>217900 EUROBELT</t>
  </si>
  <si>
    <t>218000 FAM</t>
  </si>
  <si>
    <t>218500 FANUC</t>
  </si>
  <si>
    <t>218600 FORMEUSE FENCO FOOD MACHINERY</t>
  </si>
  <si>
    <t>219001 FEMIA : AGREAGE</t>
  </si>
  <si>
    <t>219010 FEMIA : BLANCHEURS CUISEURS REFROIDISSEURS</t>
  </si>
  <si>
    <t>219020 FEMIA : COUPEUSES</t>
  </si>
  <si>
    <t>219030 FEMIA : EMBOITEUSES</t>
  </si>
  <si>
    <t>219040 FEMIA : LAVEUSES</t>
  </si>
  <si>
    <t>219050 FEMIA : PARAGE HARICOTS VERTS</t>
  </si>
  <si>
    <t>219060 FEMIA : PARAGE MAÏS</t>
  </si>
  <si>
    <t>219070 FEMIA : PARAGE POIS</t>
  </si>
  <si>
    <t>219080 FEMIA : TRANSPORT HYDRAULIQUE</t>
  </si>
  <si>
    <t>219090 FEMIA : VENTILATEURS</t>
  </si>
  <si>
    <t>219100 FEMIA : EPIERREURS</t>
  </si>
  <si>
    <t>219750 FERMOD</t>
  </si>
  <si>
    <t>220000 FERRUM</t>
  </si>
  <si>
    <t>220025 FILLPACK : DOSEUSES</t>
  </si>
  <si>
    <t>220030 FILLPACK : PESEUSES</t>
  </si>
  <si>
    <t>220050 FISCHBEIN</t>
  </si>
  <si>
    <t>220125 FLAUW</t>
  </si>
  <si>
    <t>220300 FRIGOPACK</t>
  </si>
  <si>
    <t>220400 FRYMA</t>
  </si>
  <si>
    <t>220500 FVR</t>
  </si>
  <si>
    <t>221000 GAUSSIN</t>
  </si>
  <si>
    <t>221200 GAZ INDUSTRIE</t>
  </si>
  <si>
    <t>221300 GLASS</t>
  </si>
  <si>
    <t>221500 GOUDA</t>
  </si>
  <si>
    <t>221600 GOUET</t>
  </si>
  <si>
    <t>222000 GUELT</t>
  </si>
  <si>
    <t>222250 GRASSO</t>
  </si>
  <si>
    <t>222350 GUY LEGALL</t>
  </si>
  <si>
    <t>222500 HAMACHECK</t>
  </si>
  <si>
    <t>223000 HERBORT</t>
  </si>
  <si>
    <t>223001 HERBORT : COUPEUSES</t>
  </si>
  <si>
    <t>223010 HERBORT : EGRAPPEUSES</t>
  </si>
  <si>
    <t>223020 HERBORT : EBOUTEUSES</t>
  </si>
  <si>
    <t>223500 HERRMANN</t>
  </si>
  <si>
    <t>224000 HEUFT</t>
  </si>
  <si>
    <t>224100 H&amp;M</t>
  </si>
  <si>
    <t>224250 HOWDEN</t>
  </si>
  <si>
    <t>224500 HTDS</t>
  </si>
  <si>
    <t>224501 HTDS : PESEUSES</t>
  </si>
  <si>
    <t>224510 HTDS : TRIEURS PONDERAUX</t>
  </si>
  <si>
    <t>224700 HUGHES</t>
  </si>
  <si>
    <t>224750 HUGO BECK</t>
  </si>
  <si>
    <t>225000 HUNISTER</t>
  </si>
  <si>
    <t>225500 HYSTER</t>
  </si>
  <si>
    <t>226000 ILAPAK</t>
  </si>
  <si>
    <t>226500 IMAJE-MARKEM</t>
  </si>
  <si>
    <t>227000 IMC-FMC-JBT</t>
  </si>
  <si>
    <t>227001 IMC-FMC-JBT : EMBOITEUSES</t>
  </si>
  <si>
    <t>227010 IMC-FMC-JBT : JUTEUSES</t>
  </si>
  <si>
    <t>227020 IMC-FMC-JBT : SERTISSEUSES</t>
  </si>
  <si>
    <t>227030 IMC-FMC-JBT : STERILISATEURS</t>
  </si>
  <si>
    <t>227035 IMC-FMC-JBT : TUNNELS  DE SURGELATION</t>
  </si>
  <si>
    <t>227040 IMC-FMC-JBT : VIBREURS</t>
  </si>
  <si>
    <t>227050 IMC-FMC-JBT : COUPEUSES</t>
  </si>
  <si>
    <t>227250 IMPRESS</t>
  </si>
  <si>
    <t>227500 INGERSOLL</t>
  </si>
  <si>
    <t>227750 INOXPA</t>
  </si>
  <si>
    <t>228000 ISHIDA</t>
  </si>
  <si>
    <t>228001 ISHIDA : PESEUSES ASSOCIATIVES</t>
  </si>
  <si>
    <t>228010 ISHIDA : TRIEURS PONDERAUX</t>
  </si>
  <si>
    <t>228011 228011</t>
  </si>
  <si>
    <t>228012 228012</t>
  </si>
  <si>
    <t>228400 ITE</t>
  </si>
  <si>
    <t>228500 ITW-MIMA</t>
  </si>
  <si>
    <t>229000 IXAPAK</t>
  </si>
  <si>
    <t>229001 ENCAISSEUSES</t>
  </si>
  <si>
    <t>229010 IXAPAK : ENSACHEUSES</t>
  </si>
  <si>
    <t>229500 JOURDAN</t>
  </si>
  <si>
    <t>230000 JUNGHEINRICH</t>
  </si>
  <si>
    <t>230200 K+G WETTER</t>
  </si>
  <si>
    <t>230250 KAESER</t>
  </si>
  <si>
    <t>230500 KEY</t>
  </si>
  <si>
    <t>230501 KEY : BLANCHEURS</t>
  </si>
  <si>
    <t>230510 KEY : LAVEURS</t>
  </si>
  <si>
    <t>230520 KEY : TRIEURS OPTIQUES</t>
  </si>
  <si>
    <t>230530 KEY : VIBREURS</t>
  </si>
  <si>
    <t>230750 KIRPESTEIN</t>
  </si>
  <si>
    <t>231000 KISTERS</t>
  </si>
  <si>
    <t>231400 KNAPP</t>
  </si>
  <si>
    <t>231500 KOMEN KUIN</t>
  </si>
  <si>
    <t>232000 KOPPENS</t>
  </si>
  <si>
    <t>232001 KOPPENS : FORMEUSES DE LEGUMES</t>
  </si>
  <si>
    <t>232010 KOPPENS : FRITEUSES</t>
  </si>
  <si>
    <t>232500 KRONES</t>
  </si>
  <si>
    <t>232700 KUKA</t>
  </si>
  <si>
    <t>233000 LAGARDE</t>
  </si>
  <si>
    <t>233500 LAN</t>
  </si>
  <si>
    <t>233501 LAN : ENCAGEURS DECAGEURS</t>
  </si>
  <si>
    <t>233510 LAN : PALETTISEURS DEPALETTISEURS</t>
  </si>
  <si>
    <t>234000 LANTECH</t>
  </si>
  <si>
    <t>234050 LBCC: CONVOYEURS</t>
  </si>
  <si>
    <t>234100 LEVATI</t>
  </si>
  <si>
    <t>234200 LEYBOLD : POMPES A VIDE</t>
  </si>
  <si>
    <t>234250 LOMA</t>
  </si>
  <si>
    <t>234500 LYNX</t>
  </si>
  <si>
    <t>235250 MANURIN</t>
  </si>
  <si>
    <t>235600 MARCEAU</t>
  </si>
  <si>
    <t>236000 MASSILLY</t>
  </si>
  <si>
    <t>236200 MATAL</t>
  </si>
  <si>
    <t>236500 MATHER PLATT</t>
  </si>
  <si>
    <t>236501 MATHER PLATT : BLANCHEURS</t>
  </si>
  <si>
    <t>236510 MATHER PLATT : EMBOITEUSES</t>
  </si>
  <si>
    <t>236520 MATHER PLATT : TASSEURS</t>
  </si>
  <si>
    <t>236530 MATHER PLATT : ELEVATEURS</t>
  </si>
  <si>
    <t>236600 MAVIFLEX</t>
  </si>
  <si>
    <t>236700 MCA</t>
  </si>
  <si>
    <t>236800 MCG:SERTISSEUSE</t>
  </si>
  <si>
    <t>237000 MECASYSTEM</t>
  </si>
  <si>
    <t>237001 MECASYSTEM : BARQUETEUSES</t>
  </si>
  <si>
    <t>237010 MECASYSTEM : FORMEUSES DE CARTON</t>
  </si>
  <si>
    <t>237500 MESOMA</t>
  </si>
  <si>
    <t>238000 METTLER TOLEDO-GARVENS</t>
  </si>
  <si>
    <t>238001 METTLER TOLEDO-GARVENS : DETECTEURS DE METAUX</t>
  </si>
  <si>
    <t>238010 METTLER TOLEDO-GARVENS : TRIEURS PONDERAUX</t>
  </si>
  <si>
    <t>238500 MIELE</t>
  </si>
  <si>
    <t>239000 MONDINI</t>
  </si>
  <si>
    <t>239050 MOVINOX</t>
  </si>
  <si>
    <t>239500 MULTIPOND-ATOMA</t>
  </si>
  <si>
    <t>240000 MULTIVAC</t>
  </si>
  <si>
    <t>240200 MULTIFILL</t>
  </si>
  <si>
    <t>240400 MYCOM</t>
  </si>
  <si>
    <t>240500 NEWTEC</t>
  </si>
  <si>
    <t>240700 NON</t>
  </si>
  <si>
    <t>241500 OCME</t>
  </si>
  <si>
    <t>241600 OCS</t>
  </si>
  <si>
    <t>242000 OLNEY</t>
  </si>
  <si>
    <t>242001 OLNEY : LAVEURS</t>
  </si>
  <si>
    <t>242010 OLNEY : TRIEURS</t>
  </si>
  <si>
    <t>242500 OMME</t>
  </si>
  <si>
    <t>242600 OPTIMUM</t>
  </si>
  <si>
    <t>242750 OUEST CONDITIONNEMENT</t>
  </si>
  <si>
    <t>242900 PARIMIX</t>
  </si>
  <si>
    <t>243000 PATTYN</t>
  </si>
  <si>
    <t>243100 PEYU</t>
  </si>
  <si>
    <t>243200 POLYPACK</t>
  </si>
  <si>
    <t>243500 PCL CONTROL</t>
  </si>
  <si>
    <t>244000 PINON</t>
  </si>
  <si>
    <t>244100 PKG S.R.L.</t>
  </si>
  <si>
    <t>244250 PPM TECHNOLOGIE</t>
  </si>
  <si>
    <t>244500 PRASMATIC</t>
  </si>
  <si>
    <t>245000 PRISMA</t>
  </si>
  <si>
    <t>245150 PROTER</t>
  </si>
  <si>
    <t>245250 PUTZ FONDOIR</t>
  </si>
  <si>
    <t>245300 RANGER</t>
  </si>
  <si>
    <t>245500 RAYTEC</t>
  </si>
  <si>
    <t>245510 SEA</t>
  </si>
  <si>
    <t>245517 SWECO</t>
  </si>
  <si>
    <t>245750 ROBINET FRIGO Franþais</t>
  </si>
  <si>
    <t>245900 ROBOPAC</t>
  </si>
  <si>
    <t>246000 ROBOTFOODTECH</t>
  </si>
  <si>
    <t>246001 ROBOTFOODTECH : DOSEUSES</t>
  </si>
  <si>
    <t>246010 ROBOTFOODTECH : OPERCULEUSES</t>
  </si>
  <si>
    <t>246020 ROBOTFOODTECH : PESEUSES ASSOCIATIVES</t>
  </si>
  <si>
    <t>246300 ROPEX</t>
  </si>
  <si>
    <t>246500 ROVEMA</t>
  </si>
  <si>
    <t>247000 SABATIER</t>
  </si>
  <si>
    <t>247500 SAMIFI</t>
  </si>
  <si>
    <t>248000 SANDIACRE-HAYSSEN</t>
  </si>
  <si>
    <t>248500 SARTORIUS</t>
  </si>
  <si>
    <t>248750 SATO</t>
  </si>
  <si>
    <t>249000 SAVIME</t>
  </si>
  <si>
    <t>249200 SCAMI</t>
  </si>
  <si>
    <t>249500 SCANVAEGT</t>
  </si>
  <si>
    <t>249750 KARL SCHNELL</t>
  </si>
  <si>
    <t>250000 SCHUBERT</t>
  </si>
  <si>
    <t>250100 SCHWEYER</t>
  </si>
  <si>
    <t>250250 SEALPAC</t>
  </si>
  <si>
    <t>250280 SECMA CABON</t>
  </si>
  <si>
    <t>250281 SECMA CABON : PALETTISEURS DEPALETTISEURS</t>
  </si>
  <si>
    <t>250282 SECMA CABON : CONVOYEURS</t>
  </si>
  <si>
    <t>250283 SECMA CABON : JUTEUSES</t>
  </si>
  <si>
    <t>250320 SERMATEC : A SUPPR.</t>
  </si>
  <si>
    <t>250500 SEUM</t>
  </si>
  <si>
    <t>250800 SHANTOU : PALETTISEURS DEPALETTISEURS</t>
  </si>
  <si>
    <t>250900 SIAT</t>
  </si>
  <si>
    <t>251000 SIDEL HEMA</t>
  </si>
  <si>
    <t>251125 SIGNODE</t>
  </si>
  <si>
    <t>251250 SILVERSON</t>
  </si>
  <si>
    <t>251500 SIMADE</t>
  </si>
  <si>
    <t>251700 SITI</t>
  </si>
  <si>
    <t>251800 SMI</t>
  </si>
  <si>
    <t>252000 SNM-LEGALL</t>
  </si>
  <si>
    <t>252500 SOCO SYSTEM</t>
  </si>
  <si>
    <t>252501 SOCO SYSTEM : FORMEUSES CARTON</t>
  </si>
  <si>
    <t>252510 SOCO SYSTEM : SCOTCHEUSES</t>
  </si>
  <si>
    <t>253000 SOCOMAS</t>
  </si>
  <si>
    <t>253100 SOMA</t>
  </si>
  <si>
    <t>253200 SOMACO</t>
  </si>
  <si>
    <t>253500 SORTEX</t>
  </si>
  <si>
    <t>253750 SOVAPAM</t>
  </si>
  <si>
    <t>254000 SPINNEKOP</t>
  </si>
  <si>
    <t>254001 SPINNEKOP : CONVOYEURS</t>
  </si>
  <si>
    <t>254010 SPINNEKOP : TRIEURS</t>
  </si>
  <si>
    <t>254125 STERIFLOW</t>
  </si>
  <si>
    <t>254250 STERLING</t>
  </si>
  <si>
    <t>254500 STORK</t>
  </si>
  <si>
    <t>254501 STORK : FORMEUSES DE LEGUMES</t>
  </si>
  <si>
    <t>254510 STORK : STERILISATEURS</t>
  </si>
  <si>
    <t>254513 STUMABO</t>
  </si>
  <si>
    <t>254515 SUD EST EQUIPEMENT</t>
  </si>
  <si>
    <t>254516 TACORE</t>
  </si>
  <si>
    <t>254517 SWEERE</t>
  </si>
  <si>
    <t>254519 TECNOCEAM</t>
  </si>
  <si>
    <t>254520 TECNOCEAM : COUPEUSES</t>
  </si>
  <si>
    <t>254530 TECNOCEAM : PARAGE</t>
  </si>
  <si>
    <t>254750 TEGRA</t>
  </si>
  <si>
    <t>254775 THIMONIER</t>
  </si>
  <si>
    <t>254785 TIBERPACK</t>
  </si>
  <si>
    <t>254800 TPC 2000</t>
  </si>
  <si>
    <t>255000 TOYOTA</t>
  </si>
  <si>
    <t>255100 TOSA</t>
  </si>
  <si>
    <t>255200 TRANSITUBE</t>
  </si>
  <si>
    <t>255300 TREMARK</t>
  </si>
  <si>
    <t>255500 TURATTI</t>
  </si>
  <si>
    <t>255501 TURATTI : COUPEUSES</t>
  </si>
  <si>
    <t>255510 TURATTI : LAVEURS</t>
  </si>
  <si>
    <t>255750 TURBO-FLOW</t>
  </si>
  <si>
    <t>256000 ULMA</t>
  </si>
  <si>
    <t>256500 URSCHEL</t>
  </si>
  <si>
    <t>257001 URTASUN : BASCULEURS</t>
  </si>
  <si>
    <t>257010 URTASUN : CONVOYEURS</t>
  </si>
  <si>
    <t>257060 URTASUN:VIBREURS</t>
  </si>
  <si>
    <t>257500 VERDUYN</t>
  </si>
  <si>
    <t>257501 VERDUYN : COUPEUSES</t>
  </si>
  <si>
    <t>257510 VERDUYN : LAVEURS</t>
  </si>
  <si>
    <t>257750 US RECO</t>
  </si>
  <si>
    <t>258000 VIDEOJET</t>
  </si>
  <si>
    <t>258400 VIKING</t>
  </si>
  <si>
    <t>258500 VIREY-GARNIER</t>
  </si>
  <si>
    <t>259000 VISYS</t>
  </si>
  <si>
    <t>259100 VIVIER</t>
  </si>
  <si>
    <t>259250 WITT</t>
  </si>
  <si>
    <t>259300 WEIDMULLER</t>
  </si>
  <si>
    <t>259500 YAMATO</t>
  </si>
  <si>
    <t>259750 YERNAUX</t>
  </si>
  <si>
    <t>260000 ZACMI</t>
  </si>
  <si>
    <t>260001 ZACMI : DOSEUSES</t>
  </si>
  <si>
    <t>260020 ZACMI : LAVEURS</t>
  </si>
  <si>
    <t>260030 ZACMI : SERTISSEUSES</t>
  </si>
  <si>
    <t>260040 ZACMI : JUTEUSES</t>
  </si>
  <si>
    <t>260250 ZEPF</t>
  </si>
  <si>
    <t>260500 ZILLI BELLINI</t>
  </si>
  <si>
    <t>260501 ZILLI BELLINI : EMBOITEUSES</t>
  </si>
  <si>
    <t>260600 TECO</t>
  </si>
  <si>
    <t>260700 KRONEN</t>
  </si>
  <si>
    <t>260800 CEIA</t>
  </si>
  <si>
    <t>261000 ROUSSELET</t>
  </si>
  <si>
    <t>261100 STRAPEX</t>
  </si>
  <si>
    <t>261200 ECP - PRESSE A BALLES</t>
  </si>
  <si>
    <t>261300 PALAMATIC - DEMOTEUR SEL</t>
  </si>
  <si>
    <t>261400 BFR SYSTEMS</t>
  </si>
  <si>
    <t>DSI EQUIPEMENTS DSI</t>
  </si>
  <si>
    <t>POINTS A VALIDER — DEMANDES NON CODEES DU 07/10/2026</t>
  </si>
  <si>
    <t>Référence exacte saisie</t>
  </si>
  <si>
    <t>Onglet actuel</t>
  </si>
  <si>
    <t>Ligne actuelle</t>
  </si>
  <si>
    <t>Statut / action</t>
  </si>
  <si>
    <t>Champs non confirmés</t>
  </si>
  <si>
    <t>Confiance</t>
  </si>
  <si>
    <t>Preuves / limites</t>
  </si>
  <si>
    <t>Codes de base distincts</t>
  </si>
  <si>
    <t>Nombre de codes</t>
  </si>
  <si>
    <t>Qualification base</t>
  </si>
  <si>
    <t>Groupe interne potentiel</t>
  </si>
  <si>
    <t>Contribution groupes</t>
  </si>
  <si>
    <t>IA 1</t>
  </si>
  <si>
    <t>IA 2</t>
  </si>
  <si>
    <t>Algorithme</t>
  </si>
  <si>
    <t>Classe A - Article spécifique</t>
  </si>
  <si>
    <t>Référence constructeur; Marque; Référence fournisseur</t>
  </si>
  <si>
    <t>Marque; Référence fournisseur</t>
  </si>
  <si>
    <t>Référence constructeur</t>
  </si>
  <si>
    <t>Référence fournisseur</t>
  </si>
  <si>
    <t>Fournisseur saisi; Référence fournisseur</t>
  </si>
  <si>
    <t>Référence constructeur; Marque; Fournisseur saisi; Référence fournisseur</t>
  </si>
  <si>
    <t>Aucun des 4 champs</t>
  </si>
  <si>
    <t>Référence constructeur; Marque</t>
  </si>
  <si>
    <t>DOUBLON BASE A CONFIRMER</t>
  </si>
  <si>
    <t>CANDIDAT AMBIGU BASE</t>
  </si>
  <si>
    <t>Classe B - Article générique</t>
  </si>
  <si>
    <t>MODE D EMPLOI, INTEGRITE ET LIMITES — CONTROLE COSWIN</t>
  </si>
  <si>
    <t>Rubrique</t>
  </si>
  <si>
    <t>Observation / valeur</t>
  </si>
  <si>
    <t>Unité / portée</t>
  </si>
  <si>
    <t>Source / date</t>
  </si>
  <si>
    <t>Décision</t>
  </si>
  <si>
    <t>Objet</t>
  </si>
  <si>
    <t>Reprise intégrale depuis zéro, sans propositions/caches des contrôles antérieurs.</t>
  </si>
  <si>
    <t>contrôle</t>
  </si>
  <si>
    <t>Demande utilisateur — 07/10/2026</t>
  </si>
  <si>
    <t>Une seule livraison finale, aucun envoi.</t>
  </si>
  <si>
    <t>Périmètre</t>
  </si>
  <si>
    <t>561 demandes réelles ; 438 codées exclues ; 123 non codées.</t>
  </si>
  <si>
    <t>articles</t>
  </si>
  <si>
    <t>Lecture fraîche du formulaire — 07/10/2026</t>
  </si>
  <si>
    <t>Ne pas confondre lignes préremplies et demandes.</t>
  </si>
  <si>
    <t>Classeur original</t>
  </si>
  <si>
    <t>Formulaire demande de création article COSWIN - Copy.xlsx</t>
  </si>
  <si>
    <t>lecture uniquement</t>
  </si>
  <si>
    <t>BSL-ALL-COSWIN / General / 00 - Procédure / 01 - COSWIN-CREATION-ARTICLE</t>
  </si>
  <si>
    <t>Le source n a jamais été écrit ni déprotégé.</t>
  </si>
  <si>
    <t>Plan des onglets</t>
  </si>
  <si>
    <t>Synthèse ; deux classes ; référentiel ; points ; notes ; liens d origine ; sources ; conventions.</t>
  </si>
  <si>
    <t>mode d emploi</t>
  </si>
  <si>
    <t>Cette exécution</t>
  </si>
  <si>
    <t>Les corrections sont exclusivement proposées dans les 25 colonnes ajoutées.</t>
  </si>
  <si>
    <t>Code Article non vide = DEJA CREE ; seul Statut réf. / marque rempli.</t>
  </si>
  <si>
    <t>24 autres ajouts vides</t>
  </si>
  <si>
    <t>Règle utilisateur</t>
  </si>
  <si>
    <t>Aucun contrôle de doublon, aucune recherche ni photo sur ces lignes.</t>
  </si>
  <si>
    <t>IA 1 constructeur</t>
  </si>
  <si>
    <t>Libellé du fabricant officiel de la référence réellement prouvée, reformulé en français.</t>
  </si>
  <si>
    <t>MAJUSCULES, 100 caractères maximum</t>
  </si>
  <si>
    <t>Sources vérifiées</t>
  </si>
  <si>
    <t>Vide lorsqu une variante officielle exacte n est pas établie.</t>
  </si>
  <si>
    <t>IA 2 variante base</t>
  </si>
  <si>
    <t>Termes vérifiés ou base contextualisée, pas une copie brute déclarée valide.</t>
  </si>
  <si>
    <t>Sources vérifiées et base fraîche</t>
  </si>
  <si>
    <t>ARTICLE A IDENTIFIER signifie proposition transparente non validée.</t>
  </si>
  <si>
    <t>Mécanique de saisie uniquement : majuscules, espacement unités, traduction usuelle.</t>
  </si>
  <si>
    <t>pas une validation</t>
  </si>
  <si>
    <t>Formulaire original + conventions de base</t>
  </si>
  <si>
    <t>Nature déjà employée conservée même minoritaire ; dominante éligible seulement à partir de 30 %.</t>
  </si>
  <si>
    <t>Références et codes</t>
  </si>
  <si>
    <t>Valeurs TEXTES et format @ ; zéros et espaces originaux conservés.</t>
  </si>
  <si>
    <t>3 colonnes originales + 3 ajouts</t>
  </si>
  <si>
    <t>Lecture de la valeur originale et de son format</t>
  </si>
  <si>
    <t>Aucun zéro inventé ; conversions de type isolées dans les compteurs.</t>
  </si>
  <si>
    <t>Trois identifiants en format date</t>
  </si>
  <si>
    <t>Référence fournisseur 1102144 ; référence fournisseur 1096014 ; Code Article 87317.</t>
  </si>
  <si>
    <t>valeurs lexicales brutes</t>
  </si>
  <si>
    <t>Source actuel</t>
  </si>
  <si>
    <t>Restitués en texte ; aucune date ISO fictive.</t>
  </si>
  <si>
    <t>Dates originales</t>
  </si>
  <si>
    <t>Valeurs date/numériques et formats utiles transcrits ; dates qui étaient du texte conservées comme texte.</t>
  </si>
  <si>
    <t>dates</t>
  </si>
  <si>
    <t>Aucune correction métier de date.</t>
  </si>
  <si>
    <t>Familles</t>
  </si>
  <si>
    <t>800 codes valides distincts et 5 entrées non normalisées dans les 805 lignes originales.</t>
  </si>
  <si>
    <t>référentiel source complet</t>
  </si>
  <si>
    <t>Ne pas modifier, E1:E805</t>
  </si>
  <si>
    <t>Aucun ajout, tri ou normalisation dans les colonnes originales du référentiel.</t>
  </si>
  <si>
    <t>Famille mère 200000</t>
  </si>
  <si>
    <t>Réservée aux pièces spécifiques machine, pas aux composants de commerce.</t>
  </si>
  <si>
    <t>classification</t>
  </si>
  <si>
    <t>Référentiel source / règle utilisateur</t>
  </si>
  <si>
    <t>Une famille corrigée n est proposée que pour une nature documentée et un libellé officiel précis.</t>
  </si>
  <si>
    <t>Machines</t>
  </si>
  <si>
    <t>Normalisation de la saisie en majuscules sans accents/signaux ; maximum 20 caractères.</t>
  </si>
  <si>
    <t>nom machine</t>
  </si>
  <si>
    <t>Saisie d origine</t>
  </si>
  <si>
    <t>Aucune machine inventée si vide ; abréviations signalées à valider.</t>
  </si>
  <si>
    <t>Base article</t>
  </si>
  <si>
    <t>Extraction actuelle fraîchement lue ; correspondances dédoublonnées par code.</t>
  </si>
  <si>
    <t>codes distincts</t>
  </si>
  <si>
    <t>Extraction Articles Groupe — lecture 07/10/2026</t>
  </si>
  <si>
    <t>Les répétitions de fournisseurs d un code ne sont pas plusieurs articles.</t>
  </si>
  <si>
    <t>Candidats ambigus</t>
  </si>
  <si>
    <t>210 L=050 : 019008, 048019, 049222 ; 173L =075 : 082742.</t>
  </si>
  <si>
    <t>codes TEXTE</t>
  </si>
  <si>
    <t>Base fraîche + sources courroies</t>
  </si>
  <si>
    <t>Simple/double denture et longueurs non résolues ; pas de doublon certain automatique.</t>
  </si>
  <si>
    <t>UNWR-02015, UNWR-03042, UNWR-05069_3 et UNWR-05069.</t>
  </si>
  <si>
    <t>référence + contexte</t>
  </si>
  <si>
    <t>Base fraîche</t>
  </si>
  <si>
    <t>Vérifier le code existant avant création ; codes tous visibles en texte.</t>
  </si>
  <si>
    <t>Doublons internes</t>
  </si>
  <si>
    <t>6E 22 et SERIE 2400 LARGEUR 200 apparaissent chacun dans les deux classes.</t>
  </si>
  <si>
    <t>deux contextes par groupe</t>
  </si>
  <si>
    <t>Formulaire actuel</t>
  </si>
  <si>
    <t>Même référence ne fusionne pas automatiquement des variantes ; contextes conservés.</t>
  </si>
  <si>
    <t>Sur plan</t>
  </si>
  <si>
    <t>PLAN 1017;13570335 est explicitement une fabrication sur plan.</t>
  </si>
  <si>
    <t>Saisie et indications actuelles du formulaire</t>
  </si>
  <si>
    <t>Le plan fait foi ; aucune référence catalogue attendue ; absence de photo normale.</t>
  </si>
  <si>
    <t>Photos</t>
  </si>
  <si>
    <t>Aucune URL image complète admissible obtenue au cours des recherches neuves.</t>
  </si>
  <si>
    <t>0 photo, pas 0 lien documentaire</t>
  </si>
  <si>
    <t>Ne pas utiliser de vignette moteur, photo ancienne, illustration ou variante voisine.</t>
  </si>
  <si>
    <t>Limite images dédiée</t>
  </si>
  <si>
    <t>Recherche d images dédiée indisponible dans l organisation.</t>
  </si>
  <si>
    <t>capacité de recherche</t>
  </si>
  <si>
    <t>Constat de cette exécution</t>
  </si>
  <si>
    <t>Consultation autorisée des pages produit effectuée ; aucune règle contournée.</t>
  </si>
  <si>
    <t>Propriétaire / confection</t>
  </si>
  <si>
    <t>Une absence de photo publique est normale pour nomenclature propriétaire ou découpe/confection sur mesure.</t>
  </si>
  <si>
    <t>pas un échec technique</t>
  </si>
  <si>
    <t>Justification par demande</t>
  </si>
  <si>
    <t>Ne pas confondre cela avec un refus de permission.</t>
  </si>
  <si>
    <t>Accès aux pièces jointes</t>
  </si>
  <si>
    <t>Les deux devis HTDS et GTAa ont été lus. Accès refusé à la pièce jointe d origine Classe A Q479 (CMJT136) lors de la vérification du lien. Quatre autres URLs longues n ont pas de cible courte autoritative.</t>
  </si>
  <si>
    <t>portée réelle</t>
  </si>
  <si>
    <t>Dossier source de cette exécution</t>
  </si>
  <si>
    <t>Aucune autre voie d accès tentée au document refusé ; aucune valeur technique ni photo issue de celui-ci. Cette restriction distincte ne bloque pas la copie neuve du formulaire autorisé.</t>
  </si>
  <si>
    <t>Devis PPF262291 du 18/09/2026, page 1 : code fournisseur 062.017, 1 m², équivalent plomb 0,250 mm.</t>
  </si>
  <si>
    <t>rideaux plombés</t>
  </si>
  <si>
    <t>RIDEAUX PLOMBES RX.pdf</t>
  </si>
  <si>
    <t>Fabricant physique non documenté ; ne pas attribuer DYLOG.</t>
  </si>
  <si>
    <t>GTAa</t>
  </si>
  <si>
    <t>Devis DE26598 du 15/09/2026, page 1 : 2LR5-1, PVC BLEU, 2135 X 580 mm, FSF.</t>
  </si>
  <si>
    <t>bande confectionnée</t>
  </si>
  <si>
    <t>DEVIS BANDE 2135X580.pdf</t>
  </si>
  <si>
    <t>BLEU conservé ; fabricant et sens de FSF non documentés.</t>
  </si>
  <si>
    <t>Informations volontairement exclues</t>
  </si>
  <si>
    <t>Prix, contacts personnels, conditions commerciales et instructions de validation des devis.</t>
  </si>
  <si>
    <t>confidentialité / pertinence</t>
  </si>
  <si>
    <t>Devis</t>
  </si>
  <si>
    <t>Seuls les faits produits utiles figurent dans l enrichissement.</t>
  </si>
  <si>
    <t>Erreur source F91</t>
  </si>
  <si>
    <t>Classe B - Article générique, F91 : =LEN(#REF!), hors des demandes réelles.</t>
  </si>
  <si>
    <t>erreur préexistante</t>
  </si>
  <si>
    <t>Source actuel — coordonnée vérifiée</t>
  </si>
  <si>
    <t>Formule préservée. Aucune affirmation zéro erreur globale.</t>
  </si>
  <si>
    <t>Erreur source G48</t>
  </si>
  <si>
    <t>Classe B - Article générique, G48 : =UPPER(F48), F48 : =LEN(G48). Résultat de désignation 0 inexploitable.</t>
  </si>
  <si>
    <t>dépendance circulaire / saisie</t>
  </si>
  <si>
    <t>FH48B.60:1.IEC80, source actuel</t>
  </si>
  <si>
    <t>Formules préservées ; pas de désignation produit 0 et pas de formule copiée comme libellé.</t>
  </si>
  <si>
    <t>Liens d origine</t>
  </si>
  <si>
    <t>50 liens d origine conservés avec libellé et URL exacts ; 45 ouvertures cliquables et 5 URLs longues en texte, faute de cible autorisée revalidée.</t>
  </si>
  <si>
    <t>aucun texte original changé</t>
  </si>
  <si>
    <t>Hyperliens du source</t>
  </si>
  <si>
    <t>Quatre URLs dépassent la limite Excel sans cible courte autoritative reçue ; une pièce jointe a un accès réellement refusé. Aucun contournement. Les URLs originales restent exactes en E.</t>
  </si>
  <si>
    <t>Styles / fidélité</t>
  </si>
  <si>
    <t>Fonts Arial, couleurs, tailles, alignements, formats, largeurs, hauteurs et listes utiles reproduits.</t>
  </si>
  <si>
    <t>copie editable</t>
  </si>
  <si>
    <t>Bordures et nuances de thème complexes non garanties à l identique.</t>
  </si>
  <si>
    <t>Ancien conditionnel</t>
  </si>
  <si>
    <t>181 blocs conditionnels originaux à formule et extensions de conditionnel non reproductibles sur la surface disponible.</t>
  </si>
  <si>
    <t>limite de fidélité style</t>
  </si>
  <si>
    <t>Règles originales</t>
  </si>
  <si>
    <t>Non copiés, sans changer les contenus ; indices et VALIDER/RENSEIGNER du contrôle ont des règles prises en charge.</t>
  </si>
  <si>
    <t>Nom invalide original</t>
  </si>
  <si>
    <t>Le nom de plage Archives référençait #REF!.</t>
  </si>
  <si>
    <t>nom non utilisé</t>
  </si>
  <si>
    <t>Non recréé ; les formules des cellules originales sont toutes conservées.</t>
  </si>
  <si>
    <t>Vert</t>
  </si>
  <si>
    <t>Confirmations prouvées ; en-têtes des confirmations et IA.</t>
  </si>
  <si>
    <t>couleur</t>
  </si>
  <si>
    <t>Légende</t>
  </si>
  <si>
    <t>Ne pas confondre en-tête vert et valeur non confirmée vide.</t>
  </si>
  <si>
    <t>Bleu</t>
  </si>
  <si>
    <t>Désignations IA en bleu ; liens en bleu cliquable.</t>
  </si>
  <si>
    <t>Source et portée dans les justifications.</t>
  </si>
  <si>
    <t>Brun</t>
  </si>
  <si>
    <t>Désignation algorithme ; en-têtes algorithme et confiance.</t>
  </si>
  <si>
    <t>Algorithme non validant.</t>
  </si>
  <si>
    <t>Rouge</t>
  </si>
  <si>
    <t>Code(s) de base existant(s) et mentions VALIDER/RENSEIGNER.</t>
  </si>
  <si>
    <t>À examiner avant création.</t>
  </si>
  <si>
    <t>Gris italique</t>
  </si>
  <si>
    <t>Déjà créé/exclu ; absence de photo.</t>
  </si>
  <si>
    <t>Pas de contrôle des lignes codées.</t>
  </si>
  <si>
    <t>Violet</t>
  </si>
  <si>
    <t>Sur plan / Non applicable.</t>
  </si>
  <si>
    <t>Plan faisant foi.</t>
  </si>
  <si>
    <t>Confiance Élevé</t>
  </si>
  <si>
    <t>Référence exacte constructeur et caractéristiques concordantes.</t>
  </si>
  <si>
    <t>indice</t>
  </si>
  <si>
    <t>Sources réelles</t>
  </si>
  <si>
    <t>Pas de lien ni de pourcentage dans la cellule indice.</t>
  </si>
  <si>
    <t>Confiance Moyen</t>
  </si>
  <si>
    <t>Référence chez un distributeur/devis ou écart limité documenté.</t>
  </si>
  <si>
    <t>Configuration de pièce distinguer de la série.</t>
  </si>
  <si>
    <t>Confiance Faible</t>
  </si>
  <si>
    <t>Preuve insuffisante, configuration non publiée ou contradiction.</t>
  </si>
  <si>
    <t>Une raison sociale seule ne confirme pas une variante physique.</t>
  </si>
  <si>
    <t>Confiance Non applicable</t>
  </si>
  <si>
    <t>Fabrication explicitement sur plan.</t>
  </si>
  <si>
    <t>Saisie explicitement sur plan</t>
  </si>
  <si>
    <t>Absence catalogue normale.</t>
  </si>
  <si>
    <t>Limite de preuve interne</t>
  </si>
  <si>
    <t>La base est une preuve de convention et de codes existants, pas un catalogue fabricant de chaque pièce.</t>
  </si>
  <si>
    <t>interne</t>
  </si>
  <si>
    <t>Les propositions de base sont justifiées séparément des confirmations externes.</t>
  </si>
  <si>
    <t>Intégrité</t>
  </si>
  <si>
    <t>Comparaison cellule par cellule, valeurs et formules, des zones originales et du référentiel.</t>
  </si>
  <si>
    <t>audit intégral</t>
  </si>
  <si>
    <t>Formulaire source inchangé + copie neuve</t>
  </si>
  <si>
    <t>Zéro écart observé avant enrichissement ; audit final répété avant dépôt.</t>
  </si>
  <si>
    <t>Source original inchangé</t>
  </si>
  <si>
    <t>Empreinte du fichier source contrôlée et inchangée.</t>
  </si>
  <si>
    <t>constat</t>
  </si>
  <si>
    <t>Lecture fraîche du 07/10/2026</t>
  </si>
  <si>
    <t>Aucun fichier historique modifié ou remplacé.</t>
  </si>
  <si>
    <t>Nouvelle copie</t>
  </si>
  <si>
    <t>Classeur blanc neuf, transcription des cellules autorisées ; source non modifié.</t>
  </si>
  <si>
    <t>construction neuve</t>
  </si>
  <si>
    <t>Demande utilisateur</t>
  </si>
  <si>
    <t>Pas de déverrouillage de protection, de modification de label ou de permissions du source.</t>
  </si>
  <si>
    <t>Produit / marque non confirmés</t>
  </si>
  <si>
    <t>Des colonnes confirmées restent vides lorsque la preuve est seulement de société ou de famille.</t>
  </si>
  <si>
    <t>quatre champs indépendants</t>
  </si>
  <si>
    <t>La justification nomme le manque de preuve ; la cellule vide n est pas un oubli.</t>
  </si>
  <si>
    <t>Liens de fiche et pages</t>
  </si>
  <si>
    <t>Fiches de série et pages de famille sont explicitement présentées comme telles.</t>
  </si>
  <si>
    <t>portée documentaire</t>
  </si>
  <si>
    <t>Titres des sources</t>
  </si>
  <si>
    <t>Aucun document voisin prétendu fiche exacte de variante.</t>
  </si>
  <si>
    <t>NSF / Formula 450</t>
  </si>
  <si>
    <t>Famille Formula et enregistrement H1 documentés ; code 300184F et conditionnement non rattachés publiquement.</t>
  </si>
  <si>
    <t>portée de série</t>
  </si>
  <si>
    <t>JBT Marel + NSF</t>
  </si>
  <si>
    <t>Aucun produit chimique homologué implicitement par cette seule correspondance.</t>
  </si>
  <si>
    <t>Documents tierces copies</t>
  </si>
  <si>
    <t>Une nomenclature non authentifiée ne suffit pas à valider 302457A.</t>
  </si>
  <si>
    <t>preuve insuffisante</t>
  </si>
  <si>
    <t>Justification par référence</t>
  </si>
  <si>
    <t>IA 1 vide, IA 2 identification transparente.</t>
  </si>
  <si>
    <t>Corrections matières</t>
  </si>
  <si>
    <t>NGE2124FT-K134 : tapis NGE et axes PBT ; MISUMI SFJWEU/PSFJWEU : EN 1.1213 de série.</t>
  </si>
  <si>
    <t>termes vérifiés</t>
  </si>
  <si>
    <t>Catalogues/fiche officielle</t>
  </si>
  <si>
    <t>La saisie d origine ne change pas ; configuration exacte MISUMI non confirmée.</t>
  </si>
  <si>
    <t>Courroies</t>
  </si>
  <si>
    <t>Types sans D publiés en simple denture ; variantes doubles D publiées séparément.</t>
  </si>
  <si>
    <t>version non substituée</t>
  </si>
  <si>
    <t>Motion / VBeltSupply</t>
  </si>
  <si>
    <t>Écarts de longueur documentés ; ne pas fabriquer une concordance.</t>
  </si>
  <si>
    <t>Données assistant de création / Fichier de vérification IA, site GSV-FRA-CELLULE REFERENTIELLE GMAO.</t>
  </si>
  <si>
    <t>destination demandée</t>
  </si>
  <si>
    <t>Un seul dépôt du fichier final complet, sans écraser l historique.</t>
  </si>
  <si>
    <t>Recalculation nouvelle</t>
  </si>
  <si>
    <t>Les nouveaux indicateurs et liens sont des formules réelles ; résultats inspectés sur la copie.</t>
  </si>
  <si>
    <t>Aucune erreur nouvelle certifiée sans résultat calculé vérifié.</t>
  </si>
  <si>
    <t>Protection du source</t>
  </si>
  <si>
    <t>La protection de feuille du source n a pas été changée ; elle n empêche pas une transcription autorisée dans une copie neuve.</t>
  </si>
  <si>
    <t>accès autorisé</t>
  </si>
  <si>
    <t>Demande utilisateur / lecture autorisée</t>
  </si>
  <si>
    <t>Aucune contrainte distincte de sensibilité/permission contournée.</t>
  </si>
  <si>
    <t>Préremplissage</t>
  </si>
  <si>
    <t>Marque Générique seule, Classe B seule ou formule de longueur à vide ne crée pas une demande.</t>
  </si>
  <si>
    <t>périmètre</t>
  </si>
  <si>
    <t>Les indicateurs portent sur les 561 références réelles.</t>
  </si>
  <si>
    <t>Usage des propositions</t>
  </si>
  <si>
    <t>Toute action de création ou correction COSWIN reste à valider par la cellule référentielle.</t>
  </si>
  <si>
    <t>propositions séparées</t>
  </si>
  <si>
    <t>Cahier de contrôle</t>
  </si>
  <si>
    <t>Le fichier ne crée aucun article COSWIN.</t>
  </si>
  <si>
    <t>Mesure audit / base</t>
  </si>
  <si>
    <t>Unité</t>
  </si>
  <si>
    <t>Source</t>
  </si>
  <si>
    <t>Écarts référentiel</t>
  </si>
  <si>
    <t>cellules</t>
  </si>
  <si>
    <t>Comparaison intégrale source / copie</t>
  </si>
  <si>
    <t>Colonnes A:I du référentiel</t>
  </si>
  <si>
    <t>Écarts Classe A</t>
  </si>
  <si>
    <t>A1:V1100, formules comprises</t>
  </si>
  <si>
    <t>Écarts Classe B</t>
  </si>
  <si>
    <t>A1:T920, formules comprises</t>
  </si>
  <si>
    <t>Conversions référentiel</t>
  </si>
  <si>
    <t>Pas de conversion de contenu</t>
  </si>
  <si>
    <t>A:I</t>
  </si>
  <si>
    <t>Conversions Classe A</t>
  </si>
  <si>
    <t>Types originaux relevés ; identifiants bruts</t>
  </si>
  <si>
    <t>Trois colonnes Code / Ref</t>
  </si>
  <si>
    <t>Conversions Classe B</t>
  </si>
  <si>
    <t>Enregistrements base</t>
  </si>
  <si>
    <t>enregistrements</t>
  </si>
  <si>
    <t>Base fraîche lue le 07/10/2026</t>
  </si>
  <si>
    <t>Avant dédoublonnage</t>
  </si>
  <si>
    <t>Codes distincts base</t>
  </si>
  <si>
    <t>codes</t>
  </si>
  <si>
    <t>Comptage par code, pas par fournisseur</t>
  </si>
  <si>
    <t>Familles observées base</t>
  </si>
  <si>
    <t>familles</t>
  </si>
  <si>
    <t>Différent du référentiel source</t>
  </si>
  <si>
    <t>Codes famille source valides</t>
  </si>
  <si>
    <t>Référentiel original E1:E805</t>
  </si>
  <si>
    <t>800 codes valides distincts</t>
  </si>
  <si>
    <t>Entrées source non normalisées</t>
  </si>
  <si>
    <t>entrées</t>
  </si>
  <si>
    <t>Conservées exactement</t>
  </si>
  <si>
    <t>Liens source reportés</t>
  </si>
  <si>
    <t>liens</t>
  </si>
  <si>
    <t>Hyperliens du formulaire actuel</t>
  </si>
  <si>
    <t>Libellé et localisation d origine conservés</t>
  </si>
  <si>
    <t>Entrée non normalisée conservée</t>
  </si>
  <si>
    <t>valeur exacte</t>
  </si>
  <si>
    <t>Référentiel original</t>
  </si>
  <si>
    <t>Pas de correction du référentiel.</t>
  </si>
  <si>
    <t>Source formulaire (lien)</t>
  </si>
  <si>
    <t>Dossier de livraison (lien)</t>
  </si>
  <si>
    <t>LIENS D ORIGINE — TEXTE ET LOCALISATION SOURCE CONSERVES</t>
  </si>
  <si>
    <t>Onglet source</t>
  </si>
  <si>
    <t>Cellule source</t>
  </si>
  <si>
    <t>Libellé original exact</t>
  </si>
  <si>
    <t>Lien d origine</t>
  </si>
  <si>
    <t>URL originale exacte</t>
  </si>
  <si>
    <t>Cible courte du lien</t>
  </si>
  <si>
    <t>Vérification / limite d accès</t>
  </si>
  <si>
    <t>Q4</t>
  </si>
  <si>
    <t>https://bonduelleprd-my.sharepoint.com/:b:/r/personal/dany_bacot_bonduelle_com/Documents/Pi%C3%A8ces%20d%C3%A9tach%C3%A9es_20170309.pdf?d=w9912bcc70c044697996da123b55fbc72&amp;csf=1&amp;web=1&amp;e=8DaESW</t>
  </si>
  <si>
    <t>Lien d origine conservé du formulaire ; document non réanalysé.</t>
  </si>
  <si>
    <t>Q5</t>
  </si>
  <si>
    <t>Q67</t>
  </si>
  <si>
    <t>https://bonduelleprd-my.sharepoint.com/:b:/r/personal/cedric_bompay_bonduelle_com/Documents/creation/70128906%20-%20pi%C3%A8ces%20de%20format.pdf?d=w436899dc970b4d73aef066842e95c64b&amp;csf=1&amp;web=1&amp;e=dow1Yn</t>
  </si>
  <si>
    <t>Q93</t>
  </si>
  <si>
    <t>https://bonduelleprd-my.sharepoint.com/:b:/r/personal/vincent_darthos_bonduelle_com/Documents/Attachments/DEVIS%20DM016705%20SOLEAL.pdf?d=w1f520c46a9dc426bbe5c6f5cea2f9e49&amp;csf=1&amp;web=1&amp;e=MpTV9R</t>
  </si>
  <si>
    <t>Q94</t>
  </si>
  <si>
    <t>https://bonduelleprd-my.sharepoint.com/:b:/r/personal/vincent_darthos_bonduelle_com/Documents/Attachments/0301_001.pdf?d=w8986abc5d68043928e4c325a92ac99a0&amp;csf=1&amp;web=1&amp;e=elLEr5</t>
  </si>
  <si>
    <t>Q95</t>
  </si>
  <si>
    <t>Q96</t>
  </si>
  <si>
    <t>https://bonduelleprd.sharepoint.com/:b:/s/stg-iop-bor-techniqueconditionnement/IQCQACEQCq7_T7YuS2TcOV2kAVxJWwwGAPCXo_6CzDgudPw?e=RLbqoV</t>
  </si>
  <si>
    <t>D100</t>
  </si>
  <si>
    <t>https://www.ifm.com/fr/fr/product/OID250</t>
  </si>
  <si>
    <t>O100</t>
  </si>
  <si>
    <t>D101</t>
  </si>
  <si>
    <t>https://www.se.com/fr/fr/product/ABL8PRP24100/phaseo-module-de-protection-%C3%A9lectronique-28-288vcc-10a-r-alim-%C3%A9lectr-/</t>
  </si>
  <si>
    <t>O101</t>
  </si>
  <si>
    <t>Q114</t>
  </si>
  <si>
    <t>https://bonduelleprd-my.sharepoint.com/:b:/g/personal/nicolas_caplier_bonduelle_com/IQBPxEBnhu7ZTYi5z3wtMyeeAWAm65AcAwmCnJaqQbNhbow?e=n1Knjz</t>
  </si>
  <si>
    <t>Q117</t>
  </si>
  <si>
    <t>https://bonduelleprd-my.sharepoint.com/:b:/r/personal/dany_bacot_bonduelle_com/Documents/document%20doc%20constructeur%20.nomenclature.devis%20pour%20cr%C3%A9ation%20article%20coswin/devis%20interroll%20tambour%20sep%20non%20ebout%C3%A9s%20long%20hv.pdf?d=w22d028b6162247cfa5b73ca82356cbad&amp;csf=1&amp;web=1&amp;e=tEvwDw</t>
  </si>
  <si>
    <t>https://bonduelleprd-my.sharepoint.com/personal/dany_bacot_bonduelle_com/Documents/document%20doc%20constructeur%20.nomenclature.devis%20pour%20cr%C3%A9ation%20article%20coswin/devis%20interroll%20tambour%20sep%20non%20ebout%C3%A9s%20long%20hv.pdf</t>
  </si>
  <si>
    <t>Cible courte vérifiée pour le même document ; URL originale intacte en E.</t>
  </si>
  <si>
    <t>Q123</t>
  </si>
  <si>
    <t>https://bonduelleprd-my.sharepoint.com/:i:/r/personal/cedric_bompay_bonduelle_com/Documents/creation/image002.png?d=wc1039b63abe74848a5437f9352d5b546&amp;csf=1&amp;web=1&amp;e=qz26oO</t>
  </si>
  <si>
    <t>Q124</t>
  </si>
  <si>
    <t>https://bonduelleprd-my.sharepoint.com/:i:/r/personal/cedric_bompay_bonduelle_com/Documents/creation/image001.png?d=w41e848375175403cb2e939606a20a82d&amp;csf=1&amp;web=1&amp;e=4HELgb</t>
  </si>
  <si>
    <t>Q125</t>
  </si>
  <si>
    <t>https://bonduelleprd-my.sharepoint.com/:i:/r/personal/cedric_bompay_bonduelle_com/Documents/creation/image002.png?d=wc1039b63abe74848a5437f9352d5b546&amp;csf=1&amp;web=1&amp;e=TNoyRe</t>
  </si>
  <si>
    <t>Q127</t>
  </si>
  <si>
    <t>https://bonduelleprd-my.sharepoint.com/:b:/r/personal/dany_bacot_bonduelle_com/Documents/document%20doc%20constructeur%20.nomenclature.devis%20pour%20cr%C3%A9ation%20article%20coswin/Devis%20buse%20lechler%20laveur%20potimarron%20urtasun.pdf?d=wb4dcdfc7ec5b4027b521b0355c86faf0&amp;csf=1&amp;web=1&amp;e=XAEEqK</t>
  </si>
  <si>
    <t>https://bonduelleprd-my.sharepoint.com/personal/dany_bacot_bonduelle_com/Documents/document%20doc%20constructeur%20.nomenclature.devis%20pour%20cr%C3%A9ation%20article%20coswin/Devis%20buse%20lechler%20laveur%20potimarron%20urtasun.pdf</t>
  </si>
  <si>
    <t>Q128</t>
  </si>
  <si>
    <t>https://bonduelleprd-my.sharepoint.com/:b:/r/personal/dany_bacot_bonduelle_com/Documents/document%20doc%20constructeur%20.nomenclature.devis%20pour%20cr%C3%A9ation%20article%20coswin/devis%20rouleau%20convoyeur%20a%20rouleaux%20lavage%20caisse.pdf?d=wb1d5497fc7a341a3926f335ebc6d7631&amp;csf=1&amp;web=1&amp;e=GwCpPN</t>
  </si>
  <si>
    <t>https://bonduelleprd-my.sharepoint.com/personal/dany_bacot_bonduelle_com/Documents/document%20doc%20constructeur%20.nomenclature.devis%20pour%20cr%C3%A9ation%20article%20coswin/devis%20rouleau%20convoyeur%20a%20rouleaux%20lavage%20caisse.pdf</t>
  </si>
  <si>
    <t>Q130</t>
  </si>
  <si>
    <t>https://bonduelleprd.sharepoint.com/:b:/r/sites/gdrive-renservicetechnique/Shared%20Documents/001%20-%20COSWIN%20-%20Arborescence%20documentaire/%E2%99%95%20COSWIN%20%E2%99%95/%E2%98%AF%20METHODES%20%E2%98%AF/plan%20et%20croquis%20machines/plan%20801-1200/plan%20928.pdf?d=w9525ebfbb4b3422fa52421b809736e05&amp;csf=1&amp;web=1&amp;e=Hg4PfN</t>
  </si>
  <si>
    <t>LIMITE DE LONGUEUR EXCEL : aucune cible courte autoritative reçue ; URL originale longue conservée en texte, sans fabriquer un lien.</t>
  </si>
  <si>
    <t>Q131</t>
  </si>
  <si>
    <t>Q133</t>
  </si>
  <si>
    <t>https://bonduelleprd.sharepoint.com/:b:/s/stg-iop-bor-techniqueconditionnement/IQAPkPjsn6ifQrBrFYFxcPKTAWg-0-BafaWe9-zzZNrhYr4?e=ZtMvr7</t>
  </si>
  <si>
    <t>Q136</t>
  </si>
  <si>
    <t>https://bonduelleprd.sharepoint.com/:b:/r/sites/stg-iop-bor-techniqueconditionnement/COMMANDES/Devis/Devis%202026_2027/SEW/Variateur%20MM07D-503-16.pdf?d=wb71221f997d547a1ba04e766884c5f3d&amp;csf=1&amp;web=1&amp;e=itEOWs</t>
  </si>
  <si>
    <t>Q137</t>
  </si>
  <si>
    <t>https://bonduelleprd.sharepoint.com/:b:/r/sites/stg-iop-bor-techniqueconditionnement/COMMANDES/Devis/Devis%202026_2027/Robopac/Recentreur%20bague%20fixation%20v%C3%A9rin.pdf?d=wd0fb19833d364efba3eb104b26ccf0ab&amp;csf=1&amp;web=1&amp;e=gVfUIi</t>
  </si>
  <si>
    <t>Q138</t>
  </si>
  <si>
    <t>Q151</t>
  </si>
  <si>
    <t>https://bonduelleprd-my.sharepoint.com/:i:/g/personal/vincent_darthos_bonduelle_com/IQAsmbaLPReYT5g45fTpCUIwAcP3RNEQbQBfL2cnAbAICr8?e=bTmFqD</t>
  </si>
  <si>
    <t>Q153</t>
  </si>
  <si>
    <t>https://bonduelleprd-my.sharepoint.com/:b:/r/personal/dany_bacot_bonduelle_com/Documents/document%20doc%20constructeur%20.nomenclature.devis%20pour%20cr%C3%A9ation%20article%20coswin/Pi%C3%A8ces%20d%C3%A9tach%C3%A9es%20fermeuse%20de%20boite%20B4%20_20170308%20(1).pdf?d=wc048d25b744f48feb062317c1b15f9b3&amp;csf=1&amp;web=1&amp;e=JsgYIj</t>
  </si>
  <si>
    <t>Q154</t>
  </si>
  <si>
    <t>https://bonduelleprd-my.sharepoint.com/:b:/r/personal/dany_bacot_bonduelle_com/Documents/document%20doc%20constructeur%20.nomenclature.devis%20pour%20cr%C3%A9ation%20article%20coswin/pi%C3%A9ces%20detach%C3%A9es%20tunnel%20spi%206-PJ0000508_Spareparts.pdf?d=w337619f6c7fb4caaab3e08cd6143d0e4&amp;csf=1&amp;web=1&amp;e=tQClMr</t>
  </si>
  <si>
    <t>https://bonduelleprd-my.sharepoint.com/personal/dany_bacot_bonduelle_com/Documents/document%20doc%20constructeur%20.nomenclature.devis%20pour%20cr%C3%A9ation%20article%20coswin/pi%C3%A9ces%20detach%C3%A9es%20tunnel%20spi%206-PJ0000508_Spareparts.pdf</t>
  </si>
  <si>
    <t>Q298</t>
  </si>
  <si>
    <t>https://bonduelleprd-my.sharepoint.com/:b:/r/personal/dany_bacot_bonduelle_com/Documents/document%20doc%20constructeur%20.nomenclature.devis%20pour%20cr%C3%A9ation%20article%20coswin/ET%20PACK%20devis%20jeu%20de%20calibration%20encaisseuse%20b4%20DEVIS_20936-.pdf?d=w090451b6423149e0ad0cd9f9f935a6c7&amp;csf=1&amp;web=1&amp;e=DZvp9E</t>
  </si>
  <si>
    <t>Q299</t>
  </si>
  <si>
    <t>https://bonduelleprd-my.sharepoint.com/:b:/r/personal/dany_bacot_bonduelle_com/Documents/document%20doc%20constructeur%20.nomenclature.devis%20pour%20cr%C3%A9ation%20article%20coswin/VARIATEUR%200.37KW%20DEVIS_20942-.pdf?d=wa81c1c6010d740ab80c479f933572b74&amp;csf=1&amp;web=1&amp;e=MNJjoC</t>
  </si>
  <si>
    <t>https://bonduelleprd-my.sharepoint.com/personal/dany_bacot_bonduelle_com/Documents/document%20doc%20constructeur%20.nomenclature.devis%20pour%20cr%C3%A9ation%20article%20coswin/VARIATEUR%200.37KW%20DEVIS_20942-.pdf</t>
  </si>
  <si>
    <t>Q307</t>
  </si>
  <si>
    <t>https://bonduelleprd-my.sharepoint.com/:b:/r/personal/dany_bacot_bonduelle_com/Documents/document%20doc%20constructeur%20.nomenclature.devis%20pour%20cr%C3%A9ation%20article%20coswin/devis%20kit%20de%20reparation%20verin%20joulin%20DV11970-A.pdf?d=w27c3a9f1b3644426b55235eb70535fd4&amp;csf=1&amp;web=1&amp;e=3aAfMD</t>
  </si>
  <si>
    <t>https://bonduelleprd-my.sharepoint.com/personal/dany_bacot_bonduelle_com/Documents/document%20doc%20constructeur%20.nomenclature.devis%20pour%20cr%C3%A9ation%20article%20coswin/devis%20kit%20de%20reparation%20verin%20joulin%20DV11970-A.pdf</t>
  </si>
  <si>
    <t>Q308</t>
  </si>
  <si>
    <t>https://bonduelleprd-my.sharepoint.com/:b:/r/personal/dany_bacot_bonduelle_com/Documents/document%20doc%20constructeur%20.nomenclature.devis%20pour%20cr%C3%A9ation%20article%20coswin/MOTOREDUCTEUR%204270%20FMI%20DEVIS%20DM016656%20BONDUELLE.pdf?d=w485800f27780469fa89bdaba3d75de3e&amp;csf=1&amp;web=1&amp;e=wxZgKC</t>
  </si>
  <si>
    <t>https://bonduelleprd-my.sharepoint.com/personal/dany_bacot_bonduelle_com/Documents/document%20doc%20constructeur%20.nomenclature.devis%20pour%20cr%C3%A9ation%20article%20coswin/MOTOREDUCTEUR%204270%20FMI%20DEVIS%20DM016656%20BONDUELLE.pdf</t>
  </si>
  <si>
    <t>Q309</t>
  </si>
  <si>
    <t>https://bonduelleprd-my.sharepoint.com/:b:/r/personal/dany_bacot_bonduelle_com/Documents/document%20doc%20constructeur%20.nomenclature.devis%20pour%20cr%C3%A9ation%20article%20coswin/DEVIS%20KIT%20BANDE%20ETANCHEITE%20DEFR0326-046569.pdf?d=w8ec521cc82eb4ea5a184402cced4739f&amp;csf=1&amp;web=1&amp;e=aEHvSq</t>
  </si>
  <si>
    <t>https://bonduelleprd-my.sharepoint.com/personal/dany_bacot_bonduelle_com/Documents/document%20doc%20constructeur%20.nomenclature.devis%20pour%20cr%C3%A9ation%20article%20coswin/DEVIS%20KIT%20BANDE%20ETANCHEITE%20DEFR0326-046569.pdf</t>
  </si>
  <si>
    <t>Q460</t>
  </si>
  <si>
    <t>https://bonduelleprd-my.sharepoint.com/:b:/r/personal/dany_bacot_bonduelle_com/Documents/document%20doc%20constructeur%20.nomenclature.devis%20pour%20cr%C3%A9ation%20article%20coswin/DEVIS%20INTERROLL%20TAPIS%20COLLECTEUR%20MELANGE%20PUREE.pdf?d=wfdb48f8674f34cb68f3c6b299b83d29d&amp;csf=1&amp;web=1&amp;e=5QGTqf</t>
  </si>
  <si>
    <t>https://bonduelleprd-my.sharepoint.com/personal/dany_bacot_bonduelle_com/Documents/document%20doc%20constructeur%20.nomenclature.devis%20pour%20cr%C3%A9ation%20article%20coswin/DEVIS%20INTERROLL%20TAPIS%20COLLECTEUR%20MELANGE%20PUREE.pdf</t>
  </si>
  <si>
    <t>Q467</t>
  </si>
  <si>
    <t>https://bonduelleprd-my.sharepoint.com/:b:/r/personal/dany_bacot_bonduelle_com/Documents/document%20doc%20constructeur%20.nomenclature.devis%20pour%20cr%C3%A9ation%20article%20coswin/EB%20Quote%202060097744%20-%20your%20inquiry%20CARTEX-DN15%2085-.PDF?d=wa507fb664d0c4bb580d7b80395247daf&amp;csf=1&amp;web=1&amp;e=lZ9z7T</t>
  </si>
  <si>
    <t>https://bonduelleprd-my.sharepoint.com/personal/dany_bacot_bonduelle_com/Documents/document%20doc%20constructeur%20.nomenclature.devis%20pour%20cr%C3%A9ation%20article%20coswin/EB%20Quote%202060097744%20-%20your%20inquiry%20CARTEX-DN15%2085-.PDF</t>
  </si>
  <si>
    <t>Q470</t>
  </si>
  <si>
    <t>https://bonduelleprd-my.sharepoint.com/:b:/g/personal/vincent_darthos_bonduelle_com/IQC_bCYtpxemS7L1z8CGPc4_AURsFbyTJmXQWHDQHCyvaxE?e=7Un3KF</t>
  </si>
  <si>
    <t>Q473</t>
  </si>
  <si>
    <t>https://bonduelleprd-my.sharepoint.com/:b:/g/personal/jean-louis_garcia_bonduelle_com/IQBYHKKO5YVGSLikjG07Q9OgAd4Tpzq7ZkJmJf0Xjlc4jZ4?e=V3nbgR</t>
  </si>
  <si>
    <t>Q476</t>
  </si>
  <si>
    <t>https://bonduelleprd-my.sharepoint.com/:b:/g/personal/nicolas_caplier_bonduelle_com/IQB09h0T1HUnQZdLqVbipC6TAYILG50ftxn5v5UFBFVQVNI?e=kY6h0F</t>
  </si>
  <si>
    <t>Q477</t>
  </si>
  <si>
    <t>Q479</t>
  </si>
  <si>
    <t>https://bonduelleprd-my.sharepoint.com/shared?listurl=https%3A%2F%2Fbonduelleprd%2Esharepoint%2Ecom%2Fsites%2Fgdrive%2Dstbtechnique%2FShared%20Documents&amp;viewid=9c1b12ab%2D4202%2D4f2b%2Dbf67%2Df2991bb21294&amp;id=%2Fsites%2Fgdrive%2Dstbtechnique%2FShared%20Documents%2F09%5FBudget%2FBUDGET%2FDEVIS%20CELLEULE%20REF%2F2212%5F001%2Epdf&amp;parent=%2Fsites%2Fgdrive%2Dstbtechnique%2FShared%20Documents%2F09%5FBudget%2FBUDGET%2FDEVIS%20CELLEULE%20REF</t>
  </si>
  <si>
    <t>ACCÈS REFUSÉ A UNE PIECE JOINTE ; URL ORIGINALE LONGUE CONSERVEE EN TEXTE, SANS CONTOURNEMENT.</t>
  </si>
  <si>
    <t>Q481</t>
  </si>
  <si>
    <t>https://bonduelleprd-my.sharepoint.com/:b:/g/personal/nicolas_caplier_bonduelle_com/IQB27l4VxzBoR4styWQbxokwAYY6C0nSKrE-ZiZ8AVYb9tE?e=hWdTCg</t>
  </si>
  <si>
    <t>Q482</t>
  </si>
  <si>
    <t>https://bonduelleprd-my.sharepoint.com/:b:/g/personal/nicolas_caplier_bonduelle_com/IQCsuqGHFn50T4_D9JUCOj1cAar4RBm70Jin2mYrrRpFQOo?e=Z6aYPB</t>
  </si>
  <si>
    <t>Q484</t>
  </si>
  <si>
    <t>https://bonduelleprd-my.sharepoint.com/:i:/g/personal/vincent_darthos_bonduelle_com/IQCwLLykGFv9SZ6bFfWQF6jaAf6a-osAePfGodhkskQ3DMM?e=aQ0neE</t>
  </si>
  <si>
    <t>Q491</t>
  </si>
  <si>
    <t>https://bonduelleprd-my.sharepoint.com/:b:/g/personal/jonathan_poisson_bonduelle_com/IQDjxQkOVgGgSYDdiKQP4qKKAWXAT7UBqSOXFFNiN8zx1nQ?e=nHJcXF</t>
  </si>
  <si>
    <t>Q495</t>
  </si>
  <si>
    <t>https://bonduelleprd-my.sharepoint.com/:b:/g/personal/nicolas_caplier_bonduelle_com/IQA8ejYXwt-IRYtizuQvn4X3AXUjN7UYzeJnWHNYiz0SZJA?e=pbwByW</t>
  </si>
  <si>
    <t>Q496</t>
  </si>
  <si>
    <t>https://bonduelleprd-my.sharepoint.com/:b:/g/personal/nicolas_caplier_bonduelle_com/IQDm-fzZofFSSoQ5pTOxOwJiAVb1hrj6Ek2iyZnHyrjAAx0?e=HyPcs7</t>
  </si>
  <si>
    <t>Q508</t>
  </si>
  <si>
    <t>Q31</t>
  </si>
  <si>
    <t>Q39</t>
  </si>
  <si>
    <t>Q43</t>
  </si>
  <si>
    <t>Q45</t>
  </si>
  <si>
    <t>https://bonduelleprd-my.sharepoint.com/:b:/g/personal/nicolas_caplier_bonduelle_com/IQCuNe2X-qYST5WyZPoAj6b4ARRTmR_Fe2LdOItDjBfa8F4?e=cadS0b</t>
  </si>
  <si>
    <t>SOURCES VERIFIEES — RECHERCHE NEUVE DU 07/10/2026</t>
  </si>
  <si>
    <t>Contexte(s) actuel(s)</t>
  </si>
  <si>
    <t>Portée produit</t>
  </si>
  <si>
    <t>Consultation</t>
  </si>
  <si>
    <t>Source 1</t>
  </si>
  <si>
    <t>Source 2</t>
  </si>
  <si>
    <t>Source 3</t>
  </si>
  <si>
    <t>Source 4</t>
  </si>
  <si>
    <t>Source 5</t>
  </si>
  <si>
    <t>Source 6</t>
  </si>
  <si>
    <t>Source 7</t>
  </si>
  <si>
    <t>Source 8</t>
  </si>
  <si>
    <t>Limite / conclusion</t>
  </si>
  <si>
    <t>URL source 1</t>
  </si>
  <si>
    <t>URL source 2</t>
  </si>
  <si>
    <t>URL source 3</t>
  </si>
  <si>
    <t>URL source 4</t>
  </si>
  <si>
    <t>URL source 5</t>
  </si>
  <si>
    <t>URL source 6</t>
  </si>
  <si>
    <t>URL source 7</t>
  </si>
  <si>
    <t>URL source 8</t>
  </si>
  <si>
    <t>Titre source 1</t>
  </si>
  <si>
    <t>Titre source 2</t>
  </si>
  <si>
    <t>Titre source 3</t>
  </si>
  <si>
    <t>Titre source 4</t>
  </si>
  <si>
    <t>Titre source 5</t>
  </si>
  <si>
    <t>Titre source 6</t>
  </si>
  <si>
    <t>Titre source 7</t>
  </si>
  <si>
    <t>Titre source 8</t>
  </si>
  <si>
    <t>Classe A - Article spécifique 9</t>
  </si>
  <si>
    <t>Série seulement — configuration exacte non confirmée</t>
  </si>
  <si>
    <t>https://reo.fr/produit/aimant-vibrant-reovib-wi-421/</t>
  </si>
  <si>
    <t>https://reovariac.fr/</t>
  </si>
  <si>
    <t>REO AG — Aimant vibrant REOVIB WI421 — famille</t>
  </si>
  <si>
    <t>REOVARIAC — Bienvenue sur le site de REOVARIAC</t>
  </si>
  <si>
    <t>Classe A - Article spécifique 102</t>
  </si>
  <si>
    <t>https://download.sew-eurodrive.com/download/pdf/31976336.pdf</t>
  </si>
  <si>
    <t>https://blog.seweurodrive.com/hubfs/9TRP0600_SEW%20Nomenclature%20Poster_07022024-12x18_web.pdf?hsLang=en</t>
  </si>
  <si>
    <t>https://www.usocome.com/pages_meta/mentions_legales.html</t>
  </si>
  <si>
    <t>https://www.seweurodrive.com/products/gearmotors/standard-gearmotors/helical-gearmotors-rdr/helical-gearmotors-rdr.html</t>
  </si>
  <si>
    <t>SEW-EURODRIVE — Type Codes, Volume 1 Drive Technology, 31976336/EN</t>
  </si>
  <si>
    <t>SEW-EURODRIVE — Gearmotor Nomenclature, 2024</t>
  </si>
  <si>
    <t>SEW USOCOME — Mentions légales</t>
  </si>
  <si>
    <t>SEW-EURODRIVE — Helical gearmotors R..DR.. — famille</t>
  </si>
  <si>
    <t>Classe A - Article spécifique 103</t>
  </si>
  <si>
    <t>https://www.industrietec-automation.com/SEW-15-KW-23-min-SA77-TDRN90L4-Getriebemotor-Gearbox-50-Hz</t>
  </si>
  <si>
    <t>Industrietec Automation — SEW 1,5 KW 23 min SA77/TDRN90L4 Getriebemotor</t>
  </si>
  <si>
    <t>Classe A - Article spécifique 104</t>
  </si>
  <si>
    <t>https://documents.mrosupply.com/product_documents/96/76/96765737/424508235_100_K37_DRN90L4_ProductData_en_US.pdf</t>
  </si>
  <si>
    <t>https://www.seweurodrive.com/en_us/technical_pages/forwarding/driveconfigurator_1/gear_units_1/helical_bevel_gear_units.html</t>
  </si>
  <si>
    <t>SEW-EURODRIVE, hébergement MRO Supply — Product information K37 DRN90L4, 424508235/100</t>
  </si>
  <si>
    <t>SEW-EURODRIVE — K series helical-bevel gear units — famille</t>
  </si>
  <si>
    <t>Classe A - Article spécifique 106</t>
  </si>
  <si>
    <t>https://www.lenntech.com/products/KSB-Etanorm/ETN-100-080-160/100-080-160-Centrifugal-Pump/index.html</t>
  </si>
  <si>
    <t>https://www.ksb.com/en-us/lc/products/pump/dry-installed-pump/etanorm-etanorm-myflow-etanorm-pro/e04b</t>
  </si>
  <si>
    <t>https://gb.kompass.com/en/c/sydex-flow-equipamentos-electromecanicos-lda/pt122157/</t>
  </si>
  <si>
    <t>Lenntech — KSB Etanorm 100-080-160 Centrifugal Pump</t>
  </si>
  <si>
    <t>KSB — Etanorm — famille</t>
  </si>
  <si>
    <t>Kompass — Sydex Flow - Equipamentos Electromecânicos, Lda</t>
  </si>
  <si>
    <t>Classe A - Article spécifique 107</t>
  </si>
  <si>
    <t>Identité produit non confirmée</t>
  </si>
  <si>
    <t>https://www.racius.com/lenhasol-aquecimento-central-lda/</t>
  </si>
  <si>
    <t>Racius — Lenhasol Aquecimento Central, Lda</t>
  </si>
  <si>
    <t>Classe A - Article spécifique 114 ; Classe B - Article générique 39</t>
  </si>
  <si>
    <t>Référence / produit exact documenté selon la portée décrite</t>
  </si>
  <si>
    <t>https://www.manutan.fr/fr/maf/mentions-legales</t>
  </si>
  <si>
    <t>https://www.manutan.fr/fr/maf/sangle-d-arrimage-a-crochets-et-tendeur-a-cliquet-tmu-2500-kg</t>
  </si>
  <si>
    <t>Manutan — Mentions légales Manutan</t>
  </si>
  <si>
    <t>Manutan — Sangle d’arrimage à crochets et tendeur à cliquet - TMU 2500 kg</t>
  </si>
  <si>
    <t>Classe A - Article spécifique 151</t>
  </si>
  <si>
    <t>https://zenariengineering.com/zenari-engineering/</t>
  </si>
  <si>
    <t>https://zenariengineering.com/en/</t>
  </si>
  <si>
    <t>ZENARI ENGINEERING S.N.C. — Zenari Engineering : identité légale</t>
  </si>
  <si>
    <t>ZENARI ENGINEERING S.N.C. — Machines de transformation de fruits et légumes</t>
  </si>
  <si>
    <t>Classe A - Article spécifique 158</t>
  </si>
  <si>
    <t>https://www.ratsit.se/5560848284-John_Bean_Technologies_AB</t>
  </si>
  <si>
    <t>https://www.hitta.se/john+bean+technologies+ab/helsingborg/jcoqxikn</t>
  </si>
  <si>
    <t>https://www.partstown.com/b/jbt/replacement-parts</t>
  </si>
  <si>
    <t>https://jbtmarel.com/en/products/spare-parts/</t>
  </si>
  <si>
    <t>https://jbtmarel.com/en/products/lubricants/</t>
  </si>
  <si>
    <t>https://info.nsf.org/USDA/letters/138219.pdf</t>
  </si>
  <si>
    <t>https://info.nsf.org/USDA/Listings.asp?Company=1S720</t>
  </si>
  <si>
    <t>Ratsit — John Bean Technologies AB — personne morale suédoise active</t>
  </si>
  <si>
    <t>Hitta — John Bean Technologies AB — société mère JBT Corp</t>
  </si>
  <si>
    <t>Parts Town — JBT Replacement Parts — catalogue général, sans preuve de ce code</t>
  </si>
  <si>
    <t>JBT Marel — Spare parts — offre générale, sans catalogue de codes</t>
  </si>
  <si>
    <t>JBT Marel — Lubricants — famille Formula</t>
  </si>
  <si>
    <t>NSF International — Certificate of Conformity — FORMULA 450 GREASE™</t>
  </si>
  <si>
    <t>NSF International — Nonfood Compounds Listing — John Bean Technologies AB</t>
  </si>
  <si>
    <t>Classe A - Article spécifique 239</t>
  </si>
  <si>
    <t>Classe A - Article spécifique 240</t>
  </si>
  <si>
    <t>Classe A - Article spécifique 241</t>
  </si>
  <si>
    <t>Classe A - Article spécifique 242</t>
  </si>
  <si>
    <t>Classe A - Article spécifique 243</t>
  </si>
  <si>
    <t>Classe A - Article spécifique 244</t>
  </si>
  <si>
    <t>Classe A - Article spécifique 245</t>
  </si>
  <si>
    <t>Classe A - Article spécifique 246</t>
  </si>
  <si>
    <t>Classe A - Article spécifique 247</t>
  </si>
  <si>
    <t>Classe A - Article spécifique 248</t>
  </si>
  <si>
    <t>Classe A - Article spécifique 249</t>
  </si>
  <si>
    <t>https://www.eximpedia.app/companies/john-bean-technologies-ab/11662144</t>
  </si>
  <si>
    <t>Eximpedia — John Bean Technologies AB — données commerciales, occurrence QUICK COUPLING 308835G</t>
  </si>
  <si>
    <t>Classe A - Article spécifique 250</t>
  </si>
  <si>
    <t>Classe A - Article spécifique 251</t>
  </si>
  <si>
    <t>Classe A - Article spécifique 252</t>
  </si>
  <si>
    <t>Classe A - Article spécifique 253</t>
  </si>
  <si>
    <t>Classe A - Article spécifique 254</t>
  </si>
  <si>
    <t>https://shop.nord.com/US-en/71-lp4-iec-b14-c140-230400v-hmt-3765.html</t>
  </si>
  <si>
    <t>https://www.im-tek.com/nord-71lp4-motor</t>
  </si>
  <si>
    <t>NORD DRIVESYSTEMS — 71 LP/4 — variante HMT, n° 32410083, portée série uniquement</t>
  </si>
  <si>
    <t>Imtek Engineering — Nord 71LP/4 Motor — type de base</t>
  </si>
  <si>
    <t>Classe A - Article spécifique 255</t>
  </si>
  <si>
    <t>https://www.nord.com/us/company/current-events/news-archives/articles/news_163456.jsp</t>
  </si>
  <si>
    <t>https://www.chem17.com/product/detail/39937028.html</t>
  </si>
  <si>
    <t>NORD DRIVESYSTEMS — NORD's Small Parallel Shaft Gear Units — série 0282.1</t>
  </si>
  <si>
    <t>Chem17 / 赛威传动技术（嘉兴）有限公司 — Pignon pour SK0282.1AXF — annonce de composant, non fiche du réducteur</t>
  </si>
  <si>
    <t>Classe A - Article spécifique 256</t>
  </si>
  <si>
    <t>Classe A - Article spécifique 257</t>
  </si>
  <si>
    <t>https://heritageequipment.com/product-detail/conveyor-chain-guide-wear-strip-7-8-0-6-id-109394-fmc-foodtech-lot-of-10-7308/</t>
  </si>
  <si>
    <t>Heritage Equipment — Conveyor chain guide wear strip, 109394 FMC FoodTech</t>
  </si>
  <si>
    <t>Classe A - Article spécifique 258</t>
  </si>
  <si>
    <t>Classe A - Article spécifique 259</t>
  </si>
  <si>
    <t>Classe A - Article spécifique 260</t>
  </si>
  <si>
    <t>Classe A - Article spécifique 261</t>
  </si>
  <si>
    <t>https://www.allabolag.se/foretag/john-bean-technologies-ab/helsingborg/producenter/2JYS9ZWI63IK3</t>
  </si>
  <si>
    <t>https://jbtmarel.com/media/ds3h2i1e/stein-twindrum-600-en.pdf</t>
  </si>
  <si>
    <t>Allabolag (sources Bolagsverket/SCB/Skatteverket) — John Bean Technologies AB — informations légales 556084-8284</t>
  </si>
  <si>
    <t>Ratsit — John Bean Technologies AB — identité juridique</t>
  </si>
  <si>
    <t>JBT Marel — Stein TwinDrum 600 — identité fournisseur uniquement</t>
  </si>
  <si>
    <t>Classe A - Article spécifique 262</t>
  </si>
  <si>
    <t>Classe A - Article spécifique 263</t>
  </si>
  <si>
    <t>Classe A - Article spécifique 264</t>
  </si>
  <si>
    <t>Classe A - Article spécifique 265</t>
  </si>
  <si>
    <t>Classe A - Article spécifique 266</t>
  </si>
  <si>
    <t>Classe A - Article spécifique 267</t>
  </si>
  <si>
    <t>Classe A - Article spécifique 268</t>
  </si>
  <si>
    <t>https://portal.spray.com/en-us/products/1-2hh-50w</t>
  </si>
  <si>
    <t>Spraying Systems Co. — FullJet Nozzle, Brass, 1/2HH-50W — variante voisine</t>
  </si>
  <si>
    <t>Classe A - Article spécifique 269</t>
  </si>
  <si>
    <t>https://portal.spray.com/en-us/products/hb3-4u-ss80200</t>
  </si>
  <si>
    <t>Spraying Systems Co. — VeeJet Nozzle, 303 Stainless Steel, HB3/4U-SS80200</t>
  </si>
  <si>
    <t>Classe A - Article spécifique 270</t>
  </si>
  <si>
    <t>https://www.lechler.com/fileadmin/media/kataloge/pdfs/industrie/katalog/EN/04_flachstrahl/lechler_flat_fan_nozzles_series_632_633.pdf</t>
  </si>
  <si>
    <t>https://www.lechler.com/fileadmin/media/datenblaetter/industrie/EN/lechler_flachstrahlduesen_schiffbau_baureihe_632-633_en.pdf</t>
  </si>
  <si>
    <t>Lechler — Low pressure flat fan nozzles — Series 632/633</t>
  </si>
  <si>
    <t>Lechler — Flat fan nozzles — Series 632/633, shipbuilding</t>
  </si>
  <si>
    <t>Classe A - Article spécifique 271</t>
  </si>
  <si>
    <t>Classe A - Article spécifique 272</t>
  </si>
  <si>
    <t>Classe A - Article spécifique 273</t>
  </si>
  <si>
    <t>https://pdfcookie.com/documents/despiece-tunel-frigoscandia-90259yq78kl1</t>
  </si>
  <si>
    <t>PDFCookie (hébergement tiers ; provenance non authentifiée) — Despiece Tunel Frigoscandia — copie tierce de nomenclature FMC FoodTech</t>
  </si>
  <si>
    <t>Classe A - Article spécifique 274</t>
  </si>
  <si>
    <t>Classe A - Article spécifique 275</t>
  </si>
  <si>
    <t>Classe A - Article spécifique 276</t>
  </si>
  <si>
    <t>Classe A - Article spécifique 277</t>
  </si>
  <si>
    <t>Classe A - Article spécifique 278</t>
  </si>
  <si>
    <t>Classe A - Article spécifique 279</t>
  </si>
  <si>
    <t>Classe A - Article spécifique 280</t>
  </si>
  <si>
    <t>Classe A - Article spécifique 281</t>
  </si>
  <si>
    <t>Classe A - Article spécifique 282</t>
  </si>
  <si>
    <t>Classe A - Article spécifique 311</t>
  </si>
  <si>
    <t>https://www.elesa.com/en/elesab2bstoreoc/no-slip-coating-in-black-colour-rmh-nd-bk</t>
  </si>
  <si>
    <t>https://www.elesa.com/siteassets/PDF/PDF_EN/RMH.pdf</t>
  </si>
  <si>
    <t>https://annuaire-entreprises.data.gouv.fr/entreprise/elesa-france-standard-machine-elements-elesa-326955515</t>
  </si>
  <si>
    <t>ELESA — RMH-ND-BK — Flat magnets</t>
  </si>
  <si>
    <t>ELESA — RMH — Flat magnets with threaded pin</t>
  </si>
  <si>
    <t>Annuaire des Entreprises — ELESA FRANCE STANDARD MACHINE ELEMENTS</t>
  </si>
  <si>
    <t>Classe A - Article spécifique 319</t>
  </si>
  <si>
    <t>https://fr.misumi-ec.com/vona2/detail/110300010010/?HissuCode=STHWICB20</t>
  </si>
  <si>
    <t>MISUMI — STHWICB20 — Support d’arbre à embase compacte fendu</t>
  </si>
  <si>
    <t>Classe A - Article spécifique 320</t>
  </si>
  <si>
    <t>https://se.misumi-ec.com/vona2/detail/110311064159/?HissuCode=PSFJWEU13-%5b25-1000%2f1%5d-MSC8-NSC8</t>
  </si>
  <si>
    <t>https://uk.misumi-ec.com/vona2/detail/110311064159/</t>
  </si>
  <si>
    <t>MISUMI — Arbres linéaires à filetage intérieur des deux côtés — SFJWEU / PSFJWEU</t>
  </si>
  <si>
    <t>MISUMI — SFJWEU / PSFJWEU — Linear shafts, internal thread on both sides</t>
  </si>
  <si>
    <t>Classe A - Article spécifique 321</t>
  </si>
  <si>
    <t>Classe A - Article spécifique 322</t>
  </si>
  <si>
    <t>Classe A - Article spécifique 349</t>
  </si>
  <si>
    <t>https://www.regalrexnord.com/products/others/10941741-nge2124ft-k134-10941741</t>
  </si>
  <si>
    <t>https://www.dertec.com/images/downloads/brochures/system-plast-modular-belts-sprockets.pdf</t>
  </si>
  <si>
    <t>https://odoo.archimedes.pl/en/shop/p14-073-771-aa2501994-modular-belt-nge2124ft-k134-system-plast-aa2501994-77543</t>
  </si>
  <si>
    <t>https://www.paginebianche.it/scheda/correggio/rexnord-marbett.4173356</t>
  </si>
  <si>
    <t>Regal Rexnord — System Plast 10941741 NGE2124FT-K134 — AA2501994</t>
  </si>
  <si>
    <t>System Plast, hébergé par Dertec — System Plast Smart Guide — page 30030a</t>
  </si>
  <si>
    <t>Archimedes — AA2501994 modular belt NGE2124FT-K134</t>
  </si>
  <si>
    <t>PagineBianche — Rexnord Flattop Europe S.r.l. a Correggio</t>
  </si>
  <si>
    <t>Classe A - Article spécifique 424</t>
  </si>
  <si>
    <t>https://opencorpdata.com/lei/81560051CBCEF21A2320</t>
  </si>
  <si>
    <t>https://www.aetnagroup.com/en/case-studies/prasmatic-combi-danish-crown</t>
  </si>
  <si>
    <t>OpenCorpData / GLEIF — AETNA GROUP S.P.A. : registre LEI</t>
  </si>
  <si>
    <t>Aetna Group — Prasmatic TC600 Combi : Danish Crown</t>
  </si>
  <si>
    <t>Classe A - Article spécifique 457</t>
  </si>
  <si>
    <t>https://www.radwell.com/Buy/ATOS/ATOS/DKE-1710-X%2024DC</t>
  </si>
  <si>
    <t>https://www.atos.com/tables/english/E025.pdf</t>
  </si>
  <si>
    <t>https://www.pappers.fr/entreprise/composants-systemes-solutions-sce-421675273</t>
  </si>
  <si>
    <t>Radwell — DKE-1710-X 24DC — Hydraulic Valve</t>
  </si>
  <si>
    <t>Atos — E025-11/E — Solenoid directional valves type DKE</t>
  </si>
  <si>
    <t>Pappers — COMPOSANTS SYSTEMES SOLUTIONS SCE (C3S)</t>
  </si>
  <si>
    <t>Classe A - Article spécifique 458</t>
  </si>
  <si>
    <t>https://ld-gmbh.com/ld_files/WWW/Web-Attachments/03%20Hydraulics/Atos/D170.pdf</t>
  </si>
  <si>
    <t>https://www.atos.com/tables/english/D170.pdf</t>
  </si>
  <si>
    <t>Atos / hébergement LD — D170-6/E — Modular fast/slow valves type DHQ and DKQ</t>
  </si>
  <si>
    <t>Atos — D170-11/E — Modular fast/slow valves type DHQ</t>
  </si>
  <si>
    <t>Classe A - Article spécifique 464</t>
  </si>
  <si>
    <t>https://www.radwell.com/Buy/SEW%20EURODRIVE/SEW%20EURODRIVE/R17%20DRN63M4</t>
  </si>
  <si>
    <t>https://dsp.usocome.fr/partenaire/seba-motorisation/</t>
  </si>
  <si>
    <t>Radwell International — R17 DRN63M4 Gear Motor</t>
  </si>
  <si>
    <t>SEW USOCOME — SEBA MOTORISATION — Drive Service Partner</t>
  </si>
  <si>
    <t>Classe A - Article spécifique 467</t>
  </si>
  <si>
    <t>https://www.eagleburgmann.com/en/products/mechanical-seals/mechanical-seals-for-pumps/standard-cartridge-seals/cartex-dual-seals/download_pdf/</t>
  </si>
  <si>
    <t>https://shop.myeagleburgmann.com/US/en/Mechanical-Seals/Standard-Cartridge-seals/Cartex-double-seal/p/MS_Cartex-DN</t>
  </si>
  <si>
    <t>EagleBurgmann — Cartex Dual seals — dimensions et données techniques</t>
  </si>
  <si>
    <t>EagleBurgmann — Cartex Dual seal — MS_Cartex-DN</t>
  </si>
  <si>
    <t>Classe A - Article spécifique 468</t>
  </si>
  <si>
    <t>https://www.companyweb.be/nl/0405035475/john-bean-technologies</t>
  </si>
  <si>
    <t>https://jbtmarel.com/media/cm0ndldc/jbt-ab-process-systems-controls-and-automation_en.pdf</t>
  </si>
  <si>
    <t>Companyweb (sources KBO/NBB/Staatsblad) — John Bean Technologies (NV), Sint-Niklaas, BE0405035475</t>
  </si>
  <si>
    <t>JBT Marel — A&amp;B Process Systems — Controls and Automation (identité fournisseur uniquement)</t>
  </si>
  <si>
    <t>Classe A - Article spécifique 474</t>
  </si>
  <si>
    <t>https://roser-group.com/</t>
  </si>
  <si>
    <t>https://www.iberinform.es/empresa/109278/roser-construcciones-metalicas</t>
  </si>
  <si>
    <t>Roser Group — Fabricants de machines et service de pièces détachées</t>
  </si>
  <si>
    <t>Iberinform — ROSER CONSTRUCCIONES METALICAS SA</t>
  </si>
  <si>
    <t>Classe A - Article spécifique 475</t>
  </si>
  <si>
    <t>Classe A - Article spécifique 476</t>
  </si>
  <si>
    <t>https://www.sick.com/media/pdf/9/09/509/dataSheet_PSN02-2301_1102144_en.pdf</t>
  </si>
  <si>
    <t>https://www.sick.com/in/en/catalog/products/safety/safety-light-beam-sensors/detem/psn02-2301/p/p655509</t>
  </si>
  <si>
    <t>https://www.sick.com/at/en/catalog/products/safety/safety-light-beam-sensors/detem/m4m-za04300d20/p/p665199</t>
  </si>
  <si>
    <t>https://annuaire-entreprises.data.gouv.fr/entreprise/sick-972204770</t>
  </si>
  <si>
    <t>SICK — PSN02-2301, Data sheet</t>
  </si>
  <si>
    <t>SICK — PSN02-2301 — deTem — Part no. 1102144</t>
  </si>
  <si>
    <t>SICK — M4M-ZA04300D20 — Part no. 1096014</t>
  </si>
  <si>
    <t>Annuaire des Entreprises — Société SICK — SIREN 972204770</t>
  </si>
  <si>
    <t>Classe A - Article spécifique 477</t>
  </si>
  <si>
    <t>https://www.sick.com/media/pdf/9/99/199/dataSheet_M4M-ZA04300D20_1096014_en.pdf</t>
  </si>
  <si>
    <t>https://www.digikey.com/en/products/detail/sick-inc/1096014/22679932</t>
  </si>
  <si>
    <t>SICK — M4M-ZA04300D20 - deTem | SICK (Part no. 1096014)</t>
  </si>
  <si>
    <t>SICK — deTem M4M-ZA04300D20, Data sheet</t>
  </si>
  <si>
    <t>DigiKey — 1096014 SICK, Inc. | DigiKey</t>
  </si>
  <si>
    <t>Classe A - Article spécifique 479</t>
  </si>
  <si>
    <t>https://lmia.fr/</t>
  </si>
  <si>
    <t>https://www.cc-basse-zorn.fr/fr/Zones-activites/LMIA-SA-251.html</t>
  </si>
  <si>
    <t>LMIA — Fournisseur de machines agroalimentaires</t>
  </si>
  <si>
    <t>Communauté de communes de la Basse-Zorn — LMIA SA</t>
  </si>
  <si>
    <t>Classe A - Article spécifique 481</t>
  </si>
  <si>
    <t>https://www.kaercher.com/int/professional/wet-and-dry-vacuum-cleaners/classic/nt-30-1-me-classic-edition-14285680.html</t>
  </si>
  <si>
    <t>https://www.kaercher.com/fr/professional/aspirateurs-eau-et-poussieres/gamme-classic/nt-30-1-me-classic-edition-14285680.html</t>
  </si>
  <si>
    <t>https://www.manutan.fr/fr/maf/aspirateur-eau-et-poussieres-nt-30-1-me-classic-edition-karcher</t>
  </si>
  <si>
    <t>Kärcher — NT 30/1 Me Classic Edition | Kärcher International</t>
  </si>
  <si>
    <t>Kärcher — NT 30/1 Me Classic Edition | Kärcher Professional (France)</t>
  </si>
  <si>
    <t>Manutan — Aspirateur eau et poussières NT 30/1 Me classic Edition - Karcher - Manutan.fr (Réf. AB59719)</t>
  </si>
  <si>
    <t>Classe A - Article spécifique 482</t>
  </si>
  <si>
    <t>https://www.pumpsukltd.com/lowara-15sv03f030t-d-multistage-pump.html</t>
  </si>
  <si>
    <t>https://www.pumpalia.com/en/surface-vertical-pumps/15sv-f-a304-lowara/15sv03f030t-d/</t>
  </si>
  <si>
    <t>Pumps UK — Lowara 15SV03F030T/D Multistage Pump (1016LD421)</t>
  </si>
  <si>
    <t>Pumpalia — 15SV03F030T/D, product code 1016LD421</t>
  </si>
  <si>
    <t>Classe A - Article spécifique 483</t>
  </si>
  <si>
    <t>https://www.burkert.com/en/products/solenoid-valves/water-solenoid-valves/227542</t>
  </si>
  <si>
    <t>https://www.burkert.com/en/type/6213</t>
  </si>
  <si>
    <t>https://www.valves-direct.com/type-6213/98107-burkert-227542-2-2-nc-g1-1-2-orifice-size-40mm-type-6213-solenoid-valve-for-neutral-liquids-and-gases.html</t>
  </si>
  <si>
    <t>https://www.feldmann.fr/contact/</t>
  </si>
  <si>
    <t>https://www.118000.fr/e_C0096037706</t>
  </si>
  <si>
    <t>Bürkert — 2/2-way-solenoid valve, servo coupled — Type 6213 / Article Number 227542</t>
  </si>
  <si>
    <t>Bürkert — Type 6213 - Servo-assisted 2/2-way diaphragm valve</t>
  </si>
  <si>
    <t>Valves Direct — Burkert 227542 - 2/2 NC, G1 1/2, Orifice Size 40mm, Type 6213</t>
  </si>
  <si>
    <t>Feldmann — Contactez-nous | Feldmann (FELDMANN LESQUIN)</t>
  </si>
  <si>
    <t>118000.fr — Feldmann à LESQUIN 59810 (SIRET 34096955900053)</t>
  </si>
  <si>
    <t>Classe A - Article spécifique 484</t>
  </si>
  <si>
    <t>Classe A - Article spécifique 485</t>
  </si>
  <si>
    <t>https://entreprises.lefigaro.fr/sea-productique-44/entreprise-380778654</t>
  </si>
  <si>
    <t>Le Figaro Entreprises — SEA PRODUCTIQUE : raison sociale et SIREN</t>
  </si>
  <si>
    <t>Classe A - Article spécifique 486</t>
  </si>
  <si>
    <t>Classe A - Article spécifique 487</t>
  </si>
  <si>
    <t>Classe A - Article spécifique 488</t>
  </si>
  <si>
    <t>Classe A - Article spécifique 489</t>
  </si>
  <si>
    <t>Classe A - Article spécifique 490</t>
  </si>
  <si>
    <t>https://www.manutan.co.uk/en/key/bin-bag-selective-sorting-everyday-waste-168-l-a017040</t>
  </si>
  <si>
    <t>https://www.manutan.fr/fr/maf/sac-poubelle-tri-selectif-dechet-courant-168-l</t>
  </si>
  <si>
    <t>Manutan UK — Bin bags 168 L : A017040 jaune, pack de 200</t>
  </si>
  <si>
    <t>Manutan France — Sac-poubelle tri sélectif déchet courant 168 L</t>
  </si>
  <si>
    <t>Classe A - Article spécifique 491</t>
  </si>
  <si>
    <t>https://valinonline.com/products/238710-006-d</t>
  </si>
  <si>
    <t>https://www.kleen-ritecorp.com/p-67046-asco-238710-006-d-solenoid-valve-coil-24v-dc-insulation-class-f-11-6-w-watts.aspx</t>
  </si>
  <si>
    <t>https://cdn11.bigcommerce.com/s-ca10qrhzok/content/documents/emerson-asco-solenoids-coils-and-accessories-pg-2_5-catalog.pdf</t>
  </si>
  <si>
    <t>https://annuaire-entreprises.data.gouv.fr/entreprise/safim-444413892</t>
  </si>
  <si>
    <t>Valin — 238710-006-D — Solenoid Valve Coil Kit</t>
  </si>
  <si>
    <t>Kleen-Rite — 238710-006-D — 24 VDC Solenoid Valve Coil</t>
  </si>
  <si>
    <t>ASCO / hébergement Valin — ASCO Solenoids, Coils &amp; Accessories — Identification</t>
  </si>
  <si>
    <t>Annuaire des Entreprises — Société SAFIM — SIREN 444413892</t>
  </si>
  <si>
    <t>Classe A - Article spécifique 492</t>
  </si>
  <si>
    <t>https://www.br-automation.com/en/products/io-systems/x20-system/bus-controllers/x20bc0083/</t>
  </si>
  <si>
    <t>https://uk.rs-online.com/web/p/plc-accessories/0566517</t>
  </si>
  <si>
    <t>https://www.nexinstrument.com/x20bc0083</t>
  </si>
  <si>
    <t>https://leiatlas.com/lei/5299007KPTJPEU9TEQ59</t>
  </si>
  <si>
    <t>B&amp;R Industrial Automation — X20BC0083</t>
  </si>
  <si>
    <t>RS — X20BC0083 — B&amp;R X20</t>
  </si>
  <si>
    <t>NEX Instrument — X20BC0083 — X20 Bus Controller</t>
  </si>
  <si>
    <t>LEIatlas / données GLEIF — GEA Food Solutions International B.V. — LEI 5299007KPTJPEU9TEQ59</t>
  </si>
  <si>
    <t>Classe A - Article spécifique 493</t>
  </si>
  <si>
    <t>https://www.hengstler.com/products/rotary-encoders/incremental-encoders/ri58/ri58o10000as71rc</t>
  </si>
  <si>
    <t>https://www.kempstoncontrols.com/0550105/Hengstler/sku/823579</t>
  </si>
  <si>
    <t>Hengstler — 0550105 — RI58-O/10000AS.71RC</t>
  </si>
  <si>
    <t>Kempston Controls — 0550105 — ENCODER RI58-O/10000AS.71RC</t>
  </si>
  <si>
    <t>Classe A - Article spécifique 494</t>
  </si>
  <si>
    <t>https://www.weintek.com/Product/Model/cMT3162X</t>
  </si>
  <si>
    <t>https://dl.weintek.com/public/cMT/eng/Datasheet/cMT3162X_Datasheet_ENG.pdf</t>
  </si>
  <si>
    <t>https://www.ffonseca.com/en/News.php</t>
  </si>
  <si>
    <t>https://www.dnb.com/business-directory/company-profiles/f-fonseca-sa.0245681de729a0fa2c7bf797143c8578</t>
  </si>
  <si>
    <t>Weintek — cMT3162X</t>
  </si>
  <si>
    <t>Weintek — cMT3162X_Datasheet_ENG</t>
  </si>
  <si>
    <t>F.Fonseca — News — cMT2166X e cMT3162X</t>
  </si>
  <si>
    <t>Dun &amp; Bradstreet — F. FONSECA, S.A. — Company Summary</t>
  </si>
  <si>
    <t>Classe A - Article spécifique 496</t>
  </si>
  <si>
    <t>https://products.schmersal.com/en_GB/bps-260-2-101184396</t>
  </si>
  <si>
    <t>https://us.rs-online.com/product/schmersal/bps260-2/71931460/</t>
  </si>
  <si>
    <t>https://www.schmersal.fr/mentions-legales/</t>
  </si>
  <si>
    <t>Schmersal — BPS 260-2 — Article number 101184396</t>
  </si>
  <si>
    <t>RS — BPS260-2 — Actuating Magnet</t>
  </si>
  <si>
    <t>Schmersal France SAS — Mentions légales</t>
  </si>
  <si>
    <t>Classe A - Article spécifique 497</t>
  </si>
  <si>
    <t>https://annuaire-entreprises.data.gouv.fr/entreprise/etablissements-michaud-et-chailly-319416939</t>
  </si>
  <si>
    <t>https://www.tecomsrl.it/TECOM/cms/FRA/category/40-modules-de-transfert.html</t>
  </si>
  <si>
    <t>https://www.tecomsrl.it/TECOM/dms/Sito/PDF/page_097_ENG.pdf</t>
  </si>
  <si>
    <t>https://www.tecomsrl.it/TECOM/catalog/ENG/articolo/40-modular-transfer-plates/uvldukznsx-Modular-transfer-plates-with-lip---Part-258.html</t>
  </si>
  <si>
    <t>Annuaire des Entreprises / DINUM — ETABLISSEMENTS MICHAUD ET CHAILLY à Lyon</t>
  </si>
  <si>
    <t>Tecom s.r.l. — Modules de transfert</t>
  </si>
  <si>
    <t>Tecom s.r.l. — Modular transfer plates : Part.258, page 97</t>
  </si>
  <si>
    <t>Tecom s.r.l. — Part.258 - Modular transfer plates with lip</t>
  </si>
  <si>
    <t>Classe A - Article spécifique 498</t>
  </si>
  <si>
    <t>https://www.michaud-chailly.fr/fr/</t>
  </si>
  <si>
    <t>Michaud Chailly — Composants et services sur mesure</t>
  </si>
  <si>
    <t>Classe A - Article spécifique 499</t>
  </si>
  <si>
    <t>https://www.magnetec.it/en/automatic-machines/</t>
  </si>
  <si>
    <t>Magnetec s.r.l. — Automatic Machines : Unwrapper / Wrapper</t>
  </si>
  <si>
    <t>Classe A - Article spécifique 500</t>
  </si>
  <si>
    <t>Classe A - Article spécifique 501</t>
  </si>
  <si>
    <t>Classe A - Article spécifique 502</t>
  </si>
  <si>
    <t>Classe A - Article spécifique 503</t>
  </si>
  <si>
    <t>https://www.motion.com/products/sku/00693734</t>
  </si>
  <si>
    <t>https://www.motion.com/products/sku/00728731</t>
  </si>
  <si>
    <t>https://www.magnetec.it/</t>
  </si>
  <si>
    <t>Motion / Gates — 210L050 — PowerGrip, simple denture</t>
  </si>
  <si>
    <t>Motion / Megadyne — D210L050 — double sided timing belt</t>
  </si>
  <si>
    <t>Magnetec s.r.l. — Magnetec s.r.l. — convoyeurs</t>
  </si>
  <si>
    <t>Classe A - Article spécifique 504</t>
  </si>
  <si>
    <t>https://www.motion.com/products/sku/00753074</t>
  </si>
  <si>
    <t>https://www.motion.com/products/sku/04617241</t>
  </si>
  <si>
    <t>https://www.vbeltsupply.com/products/d173l075</t>
  </si>
  <si>
    <t>Motion / Gates — 173L075 — PowerGrip, simple denture</t>
  </si>
  <si>
    <t>Motion / Megadyne — D173L075 — double sided timing belt</t>
  </si>
  <si>
    <t>VBeltSupply — D173L075 — DL 0.75 in × 17.3 in PL, 46T</t>
  </si>
  <si>
    <t>Classe A - Article spécifique 505</t>
  </si>
  <si>
    <t>https://www.chiorino.com/pdf/NA696_2M5U0-U2LFWA_EN.pdf</t>
  </si>
  <si>
    <t>https://www.chiorino.com/pdf/NA696_2M5U0-U2LFWA_DE.pdf</t>
  </si>
  <si>
    <t>Chiorino — NA696 — 2M5 U0-U2 LF W A, technical data sheet</t>
  </si>
  <si>
    <t>Chiorino — NA696 — 2M5 U0-U2 LF W A, Datenblatt</t>
  </si>
  <si>
    <t>Magnetec s.r.l. — Magnetec s.r.l. — convoyage et emballage métallique</t>
  </si>
  <si>
    <t>Classe A - Article spécifique 506</t>
  </si>
  <si>
    <t>Classe A - Article spécifique 507</t>
  </si>
  <si>
    <t>Classe A - Article spécifique 508</t>
  </si>
  <si>
    <t>HTDS — RIDEAUX PLOMBES RX.pdf — Page 1 — tableau PIECES DETACHEES et PORT, proposition PPF262291</t>
  </si>
  <si>
    <t>Classe A - Article spécifique 509</t>
  </si>
  <si>
    <t>https://www.bijurdelimon.com/default/b6085.html</t>
  </si>
  <si>
    <t>https://ldewittlubrication.com/bijur-delimon-b6085-extra-slow-flow-fjd-3-0-meter-unit/</t>
  </si>
  <si>
    <t>https://www.dssmith.com/fr</t>
  </si>
  <si>
    <t>Bijur Delimon International — Meter Unit - B6085, METER UNIT FJD-3/0</t>
  </si>
  <si>
    <t>L. DeWitt McCarter — Bijur Delimon B6085 FJD Meter Unit</t>
  </si>
  <si>
    <t>DS Smith — DS Smith : groupe emballage, papier, recyclage</t>
  </si>
  <si>
    <t>Classe A - Article spécifique 510</t>
  </si>
  <si>
    <t>https://www.prominent.fr/resources/ExplodedViewSpareParts/English/8960/Exploded-view-spare-parts-Beta-b-Solenoid-Diaphragm-Metering-Pumps.pdf</t>
  </si>
  <si>
    <t>https://aquaproductsinc.com/product/prominent-1000248-diaphragm-gala/</t>
  </si>
  <si>
    <t>ProMinent — Exploded Views of Liquid Ends : Beta b</t>
  </si>
  <si>
    <t>Aqua Products Inc. — ProMinent 1000248 - Diaphragm Gala</t>
  </si>
  <si>
    <t>Classe A - Article spécifique 511</t>
  </si>
  <si>
    <t>https://www.electricautomationnetwork.com/es/danfoss-drives/131h6685-fc-102p90kt4e21h2xgxxxxsxxxxa0bxcxxxxdx-danfoss-drives</t>
  </si>
  <si>
    <t>https://www.digiconsolutions.co.uk/product/p90k-90-kw-125-hp-vlt-hvac-drive-fc-102-ip21-type-1-no-brake-chopper-part-number-131h6685/</t>
  </si>
  <si>
    <t>https://store.danfoss.com/en/Drives/Low-voltage-drives/VLT%C2%AE-HVAC-Drive-FC-102/FC-102P55KT4E55H1XGXXXXSXXXXA0BXCXXXXDX/p/131B9575</t>
  </si>
  <si>
    <t>https://store.danfoss.com/no/en/Drives/Low-voltage-drives/VLT%C2%AE-HVAC-Drive-FC-102/FC-102N250T4E54H2XGC7XXSXXXXAXBXCXXXXDX/p/131Z8887</t>
  </si>
  <si>
    <t>https://www.pappers.fr/entreprise/societe-delectrotechnique-industrielle-et-de-bobinage-380560581</t>
  </si>
  <si>
    <t>Electric Automation Network — Danfoss 131H6685 — code type complet</t>
  </si>
  <si>
    <t>Digicon Solutions — Danfoss 131H6685 — code type complet</t>
  </si>
  <si>
    <t>Danfoss Product Store — 131B9575 — FC-102 55 kW, clé de type, variante voisine</t>
  </si>
  <si>
    <t>Danfoss Product Store — 131Z8887 — FC-102 250 kW, clé de type, variante voisine</t>
  </si>
  <si>
    <t>Pappers — SOCIETE D’ELECTROTECHNIQUE INDUSTRIELLE ET DE BOBINAGE (SEIBO)</t>
  </si>
  <si>
    <t>Classe A - Article spécifique 512</t>
  </si>
  <si>
    <t>https://www.electricautomationnetwork.com/en/danfoss-drives/134h3782-danfoss-drives-vlt-hvac-drive-fc-102-110-kw-150-hp-380-480-vac-no-brake-chopper-ip21-type-1</t>
  </si>
  <si>
    <t>https://tsl-me.com/danfoss-134h3782.html</t>
  </si>
  <si>
    <t>Electric Automation Network — Danfoss 134H3782 — code type complet</t>
  </si>
  <si>
    <t>TSL Group — Danfoss 134H3782 — code type complet</t>
  </si>
  <si>
    <t>Classe A - Article spécifique 513</t>
  </si>
  <si>
    <t>https://www.pappers.fr/entreprise/sarl-guy-le-gall-400862371</t>
  </si>
  <si>
    <t>https://www.guylegall.com/</t>
  </si>
  <si>
    <t>Pappers — SARL GUY LE GALL : raison sociale</t>
  </si>
  <si>
    <t>GUY LE GALL — Mécanique de précision, pièces et plaquettes</t>
  </si>
  <si>
    <t>Classe A - Article spécifique 514</t>
  </si>
  <si>
    <t>https://www.mayr.com/en/products/torque-limiters/eas-compact~478</t>
  </si>
  <si>
    <t>https://mayr.com.sg/wp-content/uploads/2025/03/k_405_v06_gb_16_04_2007.pdf</t>
  </si>
  <si>
    <t>https://www.dexis.fr/mentions-legales</t>
  </si>
  <si>
    <t>mayr — EAS-compact — famille</t>
  </si>
  <si>
    <t>mayr, hébergement Mayr Singapore — EAS-NC, K.405.V06.GB — catalogue historique</t>
  </si>
  <si>
    <t>DEXIS / SOGEDESCA — Mentions légales du site DEXIS</t>
  </si>
  <si>
    <t>Classe A - Article spécifique 515</t>
  </si>
  <si>
    <t>DEXIS / SOGEDESCA — Mentions légales DEXIS</t>
  </si>
  <si>
    <t>Classe A - Article spécifique 516</t>
  </si>
  <si>
    <t>Classe A - Article spécifique 517 ; Classe B - Article générique 44</t>
  </si>
  <si>
    <t>https://www.intralox.com/de/belt-finder/modular-plastic-belting/series-2400/radius-flush-grid-2-2</t>
  </si>
  <si>
    <t>Intralox — Series 2400 Radius Flush Grid (2.2)</t>
  </si>
  <si>
    <t>Classe B - Article générique 22</t>
  </si>
  <si>
    <t>https://www.cylex-locale.fr/entreprises/safim---st%25C3%25A9-anonyme-fournitures-industrielles-11658233.html</t>
  </si>
  <si>
    <t>Cylex — Safim — fournitures industrielles, données juridiques SAFIM</t>
  </si>
  <si>
    <t>Classe B - Article générique 26</t>
  </si>
  <si>
    <t>https://ftp.festo.com/Public/PNEUMATIC/SOFTWARE_SERVICE/Datasheet/EN_US/536373.pdf</t>
  </si>
  <si>
    <t>https://www.festo.com/no/en/a/536373</t>
  </si>
  <si>
    <t>https://www.festo.com/fr/fr/e/informations-juridiques/-id_3741/</t>
  </si>
  <si>
    <t>Festo — ADN-25-60-A-P-A — Part number 536373</t>
  </si>
  <si>
    <t>Festo — Compact cylinder ADN-25-60-A-P-A</t>
  </si>
  <si>
    <t>Festo France — Mentions légales — Festo E.U.R.L.</t>
  </si>
  <si>
    <t>Classe B - Article générique 31</t>
  </si>
  <si>
    <t>https://www.mechancontrols.com/products/magnasafe/ms5sslqd/</t>
  </si>
  <si>
    <t>https://machinesafety-shop.com/ms5-ss-21-dc-lqd-ms5-stainless-steel-magnetic-safety-sensor/</t>
  </si>
  <si>
    <t>https://annuaire-entreprises.data.gouv.fr/entreprise/elec-sud-ouest-441395712</t>
  </si>
  <si>
    <t>Mechan Controls — MS5SSLQD — MS5-SS-21-DC-LQD</t>
  </si>
  <si>
    <t>Machinesafety-Shop — MS5-SS-21-DC-LQD — Magnetic safety sensor</t>
  </si>
  <si>
    <t>Annuaire des Entreprises — ELEC SUD OUEST — SIREN 441395712</t>
  </si>
  <si>
    <t>Classe B - Article générique 34</t>
  </si>
  <si>
    <t>https://www.plastique-cauwet.com/Usinage-plastique/</t>
  </si>
  <si>
    <t>https://www.plastique-cauwet.com/</t>
  </si>
  <si>
    <t>JM CAUWET — Usinage plastique — tournage et pièces sur mesure</t>
  </si>
  <si>
    <t>JM CAUWET — JM CAUWET — solutions plastiques</t>
  </si>
  <si>
    <t>Classe B - Article générique 35</t>
  </si>
  <si>
    <t>https://www.intralox.com/belt-finder/modular-plastic-belting/series-900/flush-grid</t>
  </si>
  <si>
    <t>Intralox — Series 900 Flush Grid</t>
  </si>
  <si>
    <t>Classe B - Article générique 37</t>
  </si>
  <si>
    <t>https://www.ahlsell.dk/en/produkter/technique/tenant/rental-and-accessories/food-line-composite-rental-houses-and-rentals/c-60.40.20.40/10231337/skf-ecb-508-end-cap</t>
  </si>
  <si>
    <t>https://www.lemu.dk/en/product/skf-food-line-508-40m-open-id-4333918032</t>
  </si>
  <si>
    <t>https://www.bernardsanders.com/a/450899/skf-skf-foodline-blue-range-open-eindkap-ecb-g2-open-ecb508-40m</t>
  </si>
  <si>
    <t>https://annuaire-entreprises.data.gouv.fr/etablissement/55480026800076</t>
  </si>
  <si>
    <t>Ahlsell — SKF ECB 508 End cap — G2/OPEN ECB508-40M</t>
  </si>
  <si>
    <t>Lemvigh-Müller — SKF Food line 508-40M — Open</t>
  </si>
  <si>
    <t>IP Bernard Sanders Aandrijftechniek — SKF Foodline Blue Range Open — G2/OPEN ECB508-40M</t>
  </si>
  <si>
    <t>Annuaire des Entreprises — Établissement SEFI — dénomination de la société</t>
  </si>
  <si>
    <t>Classe B - Article générique 38</t>
  </si>
  <si>
    <t>https://www.festo.com/gr/en/a/534337/</t>
  </si>
  <si>
    <t>https://ftp.festo.com/Public/PNEUMATIC/SOFTWARE_SERVICE/Datasheet/EN_US/534337.pdf</t>
  </si>
  <si>
    <t>Festo — One-way flow control valve GRLA-1/8-QS-8-RS-D — 534337</t>
  </si>
  <si>
    <t>Festo — GRLA-1/8-QS-8-RS-D — Part number 534337</t>
  </si>
  <si>
    <t>Classe B - Article générique 40</t>
  </si>
  <si>
    <t>https://www.interroll.com/products/drum-motors/series-dm-0080</t>
  </si>
  <si>
    <t>https://www.interroll.com/contact-us/france</t>
  </si>
  <si>
    <t>Interroll — Drum Motor DM0080 — famille configurable</t>
  </si>
  <si>
    <t>Interroll — Office responsible for France — INTERROLL SAS</t>
  </si>
  <si>
    <t>Classe B - Article générique 41</t>
  </si>
  <si>
    <t>https://www.interroll.com/fileadmin/products/product_data/DM_Sprockets/DM_Sprockets_EN.pdf</t>
  </si>
  <si>
    <t>Interroll — DM SERIES OPTIONS AND ACCESSORIES — SPROCKETS, 01/2025</t>
  </si>
  <si>
    <t>Classe B - Article générique 42</t>
  </si>
  <si>
    <t>Classe B - Article générique 43</t>
  </si>
  <si>
    <t>https://annuaire-entreprises.data.gouv.fr/entreprise/gauchy-tech-activ-axion-gtaa-811519537</t>
  </si>
  <si>
    <t>Annuaire des Entreprises / DINUM — GAUCHY TECH ACTIV AXION (GTAA)</t>
  </si>
  <si>
    <t>GTAa — DEVIS BANDE 2135X580.pdf — Page 1 — ligne PALETISEUR 1/2, devis DE26598</t>
  </si>
  <si>
    <t>Classe B - Article générique 45</t>
  </si>
  <si>
    <t>https://www.dexis.fr/brand/noyer20safia</t>
  </si>
  <si>
    <t>https://www.skf.com/my/products/industrial-seals/power-transmission-seals/radial-shaft-seals/productid-90X125X12%20CRW1%20V</t>
  </si>
  <si>
    <t>DEXIS — NOYER SAFIA — DEXIS</t>
  </si>
  <si>
    <t>SKF — 90X125X12 CRW1 V — radial shaft seal</t>
  </si>
  <si>
    <t>Classe B - Article générique 46</t>
  </si>
  <si>
    <t>https://www.sick.com/media/pdf/0/80/180/dataSheet_YG8U14-C20UA3M2A14_2139966_en.pdf</t>
  </si>
  <si>
    <t>https://www.sonepar.fr/catalog/fr-fr/products/sick-connecteurs-et-cables-yg8u14-c20ua3m2a14-00067027146</t>
  </si>
  <si>
    <t>SICK — YG8U14-C20UA3M2A14, Data sheet</t>
  </si>
  <si>
    <t>Sonepar — Sick 2139966 — YG8U14-C20UA3M2A14</t>
  </si>
  <si>
    <t>Classe B - Article générique 47</t>
  </si>
  <si>
    <t>https://www.festo.com/us/en/a/8073977/</t>
  </si>
  <si>
    <t>https://ftp.festo.com/Public/PNEUMATIC/SOFTWARE_SERVICE/Datasheet/EN_US/8073977.pdf</t>
  </si>
  <si>
    <t>Festo — ISO cylinder CRDSNU-B-20-50-PPS-A-MG-A1 — 8073977</t>
  </si>
  <si>
    <t>Festo — CRDSNU-B-20-50-PPS-A-MG-A1 — Part number 8073977</t>
  </si>
  <si>
    <t>Classe B - Article générique 48</t>
  </si>
  <si>
    <t>https://www.dertec.com/images/downloads/brochures/FH-Hypoid-Bevel-Gearboxes.pdf</t>
  </si>
  <si>
    <t>https://www.dertec.com/</t>
  </si>
  <si>
    <t>Dertec — Stainless Steel FH Hypoid Bevel Gearbox</t>
  </si>
  <si>
    <t>Dertec — Dertec | Gearboxes, motors and hygienic components (siège Sassenheim, Pays-Bas)</t>
  </si>
  <si>
    <t>CONVENTIONS FAMILLE — BASE FRAICHE DEDOUBLONNEE PAR CODE</t>
  </si>
  <si>
    <t>Famille saisie (code)</t>
  </si>
  <si>
    <t>Nature de saisie</t>
  </si>
  <si>
    <t>Codes distincts famille</t>
  </si>
  <si>
    <t>Occurrences nature</t>
  </si>
  <si>
    <t>Part nature</t>
  </si>
  <si>
    <t>Dominante famille</t>
  </si>
  <si>
    <t>Occurrences dominante</t>
  </si>
  <si>
    <t>Part dominante</t>
  </si>
  <si>
    <t>Règle appliquée</t>
  </si>
  <si>
    <t>150501</t>
  </si>
  <si>
    <t>VIBRATEUR</t>
  </si>
  <si>
    <t>MOTEUR</t>
  </si>
  <si>
    <t>150701</t>
  </si>
  <si>
    <t>MOTOREDUCTEUR</t>
  </si>
  <si>
    <t>110230</t>
  </si>
  <si>
    <t>POMPE</t>
  </si>
  <si>
    <t>120200</t>
  </si>
  <si>
    <t>SANGLE</t>
  </si>
  <si>
    <t>ELINGUE</t>
  </si>
  <si>
    <t>133100</t>
  </si>
  <si>
    <t>DISQUE</t>
  </si>
  <si>
    <t>227035</t>
  </si>
  <si>
    <t>GRAISSE</t>
  </si>
  <si>
    <t>TUBE</t>
  </si>
  <si>
    <t>JOINT</t>
  </si>
  <si>
    <t>ELECTROVANNE</t>
  </si>
  <si>
    <t>CONNECTEUR</t>
  </si>
  <si>
    <t>RACCORD</t>
  </si>
  <si>
    <t>PRISE</t>
  </si>
  <si>
    <t>BOUCHON</t>
  </si>
  <si>
    <t>DISTRIBUTEUR</t>
  </si>
  <si>
    <t>REDUCTEUR</t>
  </si>
  <si>
    <t>BANDE</t>
  </si>
  <si>
    <t>GUIDE</t>
  </si>
  <si>
    <t>GOUPILLE</t>
  </si>
  <si>
    <t>BUSE</t>
  </si>
  <si>
    <t>COLLIER</t>
  </si>
  <si>
    <t>VANNE</t>
  </si>
  <si>
    <t>JAUGE</t>
  </si>
  <si>
    <t>ANNEAU</t>
  </si>
  <si>
    <t>200000</t>
  </si>
  <si>
    <t>AIMANTS</t>
  </si>
  <si>
    <t>RESSORT</t>
  </si>
  <si>
    <t>150000</t>
  </si>
  <si>
    <t>SUPPORT</t>
  </si>
  <si>
    <t>COURROIE</t>
  </si>
  <si>
    <t>ARBRES</t>
  </si>
  <si>
    <t>100400</t>
  </si>
  <si>
    <t>TAPIS</t>
  </si>
  <si>
    <t>244501</t>
  </si>
  <si>
    <t>BARRE</t>
  </si>
  <si>
    <t>ARBRE</t>
  </si>
  <si>
    <t>115700</t>
  </si>
  <si>
    <t>115600</t>
  </si>
  <si>
    <t>VALVE</t>
  </si>
  <si>
    <t>LIMITEUR</t>
  </si>
  <si>
    <t>150702</t>
  </si>
  <si>
    <t>STATOR</t>
  </si>
  <si>
    <t>110320</t>
  </si>
  <si>
    <t>GARNITURE</t>
  </si>
  <si>
    <t>150350</t>
  </si>
  <si>
    <t>AXE</t>
  </si>
  <si>
    <t>105901</t>
  </si>
  <si>
    <t>BARRIERES</t>
  </si>
  <si>
    <t>BARRIERE</t>
  </si>
  <si>
    <t>110300</t>
  </si>
  <si>
    <t>135100</t>
  </si>
  <si>
    <t>ASPIRATEUR</t>
  </si>
  <si>
    <t>TEFLON</t>
  </si>
  <si>
    <t>141000</t>
  </si>
  <si>
    <t>PIGNON</t>
  </si>
  <si>
    <t>BRAS</t>
  </si>
  <si>
    <t>MOYEU</t>
  </si>
  <si>
    <t>BIELLE</t>
  </si>
  <si>
    <t>SAC</t>
  </si>
  <si>
    <t>BOBINE</t>
  </si>
  <si>
    <t>105250</t>
  </si>
  <si>
    <t>MODULE</t>
  </si>
  <si>
    <t>106201</t>
  </si>
  <si>
    <t>ENCODER</t>
  </si>
  <si>
    <t>CODEUR</t>
  </si>
  <si>
    <t>105000</t>
  </si>
  <si>
    <t>ECRAN</t>
  </si>
  <si>
    <t>CELLULE</t>
  </si>
  <si>
    <t>105900</t>
  </si>
  <si>
    <t>AIMANT</t>
  </si>
  <si>
    <t>CAPTEUR</t>
  </si>
  <si>
    <t>100000</t>
  </si>
  <si>
    <t>ROULEAU</t>
  </si>
  <si>
    <t>235200</t>
  </si>
  <si>
    <t>ROULEAUX</t>
  </si>
  <si>
    <t>DOUBLE</t>
  </si>
  <si>
    <t>224520</t>
  </si>
  <si>
    <t>RIDEAUX</t>
  </si>
  <si>
    <t>RIDEAU</t>
  </si>
  <si>
    <t>DOSEUR</t>
  </si>
  <si>
    <t>MEMBRANE</t>
  </si>
  <si>
    <t>105830</t>
  </si>
  <si>
    <t>VARIATEUR</t>
  </si>
  <si>
    <t>235500</t>
  </si>
  <si>
    <t>PLAQUETTE</t>
  </si>
  <si>
    <t>MOLETTE</t>
  </si>
  <si>
    <t>150100</t>
  </si>
  <si>
    <t>150130</t>
  </si>
  <si>
    <t>POULIE</t>
  </si>
  <si>
    <t>100630</t>
  </si>
  <si>
    <t>INSERT</t>
  </si>
  <si>
    <t>PROFIL</t>
  </si>
  <si>
    <t>0183</t>
  </si>
  <si>
    <t>150101</t>
  </si>
  <si>
    <t>ENGRENAGE</t>
  </si>
  <si>
    <t>ACCOUPLEMENT</t>
  </si>
  <si>
    <t>141100</t>
  </si>
  <si>
    <t>VERIN</t>
  </si>
  <si>
    <t>105755</t>
  </si>
  <si>
    <t>INTERUPTEUR</t>
  </si>
  <si>
    <t>RELAIS</t>
  </si>
  <si>
    <t>100620</t>
  </si>
  <si>
    <t>PALIER</t>
  </si>
  <si>
    <t>101100</t>
  </si>
  <si>
    <t>150620</t>
  </si>
  <si>
    <t>COUVERCLE</t>
  </si>
  <si>
    <t>140800</t>
  </si>
  <si>
    <t>REGULATEUR</t>
  </si>
  <si>
    <t>150530</t>
  </si>
  <si>
    <t>TAMBOUR</t>
  </si>
  <si>
    <t>150330</t>
  </si>
  <si>
    <t>105510</t>
  </si>
  <si>
    <t>YG8U14</t>
  </si>
  <si>
    <t>CABLE</t>
  </si>
  <si>
    <t>150700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</si>
</sst>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mm\-dd\-yy"/>
    <numFmt numFmtId="166" formatCode="0.0"/>
    <numFmt numFmtId="167" formatCode="0.0%"/>
  </numFmts>
  <fonts count="35">
    <font>
      <sz val="11"/>
      <color theme="1"/>
      <name val="Calibri"/>
      <family val="2"/>
      <scheme val="minor"/>
    </font>
    <font>
      <i/>
      <sz val="9"/>
      <color rgb="FF000000"/>
      <name val="Arial"/>
    </font>
    <font>
      <i/>
      <sz val="8"/>
      <color rgb="FF000000"/>
      <name val="Arial"/>
    </font>
    <font>
      <b/>
      <sz val="9"/>
      <color rgb="FF000000"/>
      <name val="Arial"/>
    </font>
    <font>
      <sz val="9"/>
      <color rgb="FF000000"/>
      <name val="Arial"/>
    </font>
    <font>
      <sz val="10"/>
      <color rgb="FF000000"/>
      <name val="Arial"/>
    </font>
    <font>
      <b/>
      <sz val="9"/>
      <color rgb="FFFF0000"/>
      <name val="Arial"/>
    </font>
    <font>
      <sz val="11"/>
      <color rgb="FF1F497D"/>
      <name val="Calibri"/>
    </font>
    <font>
      <b/>
      <i/>
      <sz val="9"/>
      <color rgb="FF000000"/>
      <name val="Arial"/>
    </font>
    <font>
      <sz val="12"/>
      <color rgb="FF000000"/>
      <name val="Aptos"/>
    </font>
    <font>
      <b/>
      <i/>
      <sz val="9"/>
      <color rgb="FFFF0000"/>
      <name val="Arial"/>
    </font>
    <font>
      <b/>
      <sz val="10"/>
      <color rgb="FFFF0000"/>
      <name val="Arial"/>
    </font>
    <font>
      <i/>
      <sz val="9"/>
      <color rgb="FF747373"/>
      <name val="Arial"/>
    </font>
    <font>
      <i/>
      <sz val="9"/>
      <color rgb="FF757171"/>
      <name val="Arial"/>
    </font>
    <font>
      <sz val="10"/>
      <color theme="1"/>
      <name val="Arial"/>
    </font>
    <font>
      <b/>
      <sz val="10"/>
      <color rgb="FF000000"/>
      <name val="Arial"/>
    </font>
    <font>
      <sz val="11"/>
      <color rgb="FF000000"/>
      <name val="Aptos Narrow"/>
    </font>
    <font>
      <sz val="9"/>
      <color rgb="FF000000"/>
      <name val="Calibri"/>
    </font>
    <font>
      <sz val="11"/>
      <color rgb="FF242424"/>
      <name val="Aptos Narrow"/>
    </font>
    <font>
      <sz val="12"/>
      <color rgb="FF353535"/>
      <name val="Roboto"/>
    </font>
    <font>
      <sz val="10"/>
      <color rgb="FF0563C1"/>
      <name val="Arial"/>
    </font>
    <font>
      <sz val="8"/>
      <color rgb="FFFFFFFF"/>
      <name val="Arial"/>
    </font>
    <font>
      <b/>
      <sz val="10"/>
      <color rgb="FFFFFFFF"/>
      <name val="Arial"/>
    </font>
    <font>
      <b/>
      <sz val="10"/>
      <color rgb="FF1F6F3D"/>
      <name val="Arial"/>
    </font>
    <font>
      <sz val="10"/>
      <color rgb="FF0000FF"/>
      <name val="Arial"/>
    </font>
    <font>
      <b/>
      <sz val="10"/>
      <color rgb="FF843C0C"/>
      <name val="Arial"/>
    </font>
    <font>
      <b/>
      <sz val="10"/>
      <color rgb="FFC00000"/>
      <name val="Arial"/>
    </font>
    <font>
      <sz val="9"/>
      <color rgb="FF595959"/>
      <name val="Arial"/>
    </font>
    <font>
      <sz val="9"/>
      <color rgb="FF0563C1"/>
      <name val="Arial"/>
    </font>
    <font>
      <b/>
      <sz val="14"/>
      <color rgb="FFFFFFFF"/>
      <name val="Arial"/>
    </font>
    <font>
      <u/>
      <sz val="11"/>
      <color theme="10"/>
      <name val="Calibri"/>
      <family val="2"/>
      <scheme val="minor"/>
    </font>
    <font>
      <sz val="10"/>
      <color rgb="FF374151"/>
      <name val="Arial"/>
    </font>
    <font>
      <i/>
      <sz val="10"/>
      <color rgb="FF808080"/>
      <name val="Arial"/>
    </font>
    <font>
      <b/>
      <sz val="10"/>
      <color rgb="FF7030A0"/>
      <name val="Arial"/>
    </font>
    <font>
      <b/>
      <sz val="10"/>
      <color rgb="FF2E75B6"/>
      <name val="Arial"/>
    </font>
  </fonts>
  <fills count="14">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DAE3F3"/>
        <bgColor indexed="64"/>
      </patternFill>
    </fill>
    <fill>
      <patternFill patternType="solid">
        <fgColor rgb="FFFBE5D6"/>
        <bgColor indexed="64"/>
      </patternFill>
    </fill>
    <fill>
      <patternFill patternType="solid">
        <fgColor rgb="FFFFF2CC"/>
        <bgColor indexed="64"/>
      </patternFill>
    </fill>
    <fill>
      <patternFill patternType="solid">
        <fgColor rgb="FFFFFF00"/>
        <bgColor indexed="64"/>
      </patternFill>
    </fill>
    <fill>
      <patternFill patternType="solid">
        <fgColor rgb="FF2E75B6"/>
        <bgColor indexed="64"/>
      </patternFill>
    </fill>
    <fill>
      <patternFill patternType="solid">
        <fgColor rgb="FF374151"/>
        <bgColor indexed="64"/>
      </patternFill>
    </fill>
    <fill>
      <patternFill patternType="solid">
        <fgColor rgb="FF1F6F3D"/>
        <bgColor indexed="64"/>
      </patternFill>
    </fill>
    <fill>
      <patternFill patternType="solid">
        <fgColor rgb="FF843C0C"/>
        <bgColor indexed="64"/>
      </patternFill>
    </fill>
    <fill>
      <patternFill patternType="solid">
        <fgColor rgb="FFEFF3F7"/>
        <bgColor indexed="64"/>
      </patternFill>
    </fill>
    <fill>
      <patternFill patternType="solid">
        <fgColor rgb="FFDFEDE5"/>
        <bgColor indexed="64"/>
      </patternFill>
    </fill>
  </fills>
  <borders count="4">
    <border>
      <left/>
      <right/>
      <top/>
      <bottom/>
      <diagonal/>
    </border>
    <border>
      <left style="thin">
        <color rgb="FF000000"/>
      </left>
      <right/>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30" fillId="0" borderId="0" applyNumberFormat="0" applyFill="0" applyBorder="0" applyAlignment="0" applyProtection="0"/>
  </cellStyleXfs>
  <cellXfs count="97">
    <xf numFmtId="0" fontId="0" fillId="0" borderId="0" xfId="0"/>
    <xf numFmtId="49" fontId="2" fillId="0" borderId="0" xfId="0" applyNumberFormat="1" applyFont="1" applyAlignment="1">
      <alignment horizontal="center" vertical="center" wrapText="1"/>
    </xf>
    <xf numFmtId="164" fontId="3"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xf>
    <xf numFmtId="1" fontId="5" fillId="0" borderId="0" xfId="0" applyNumberFormat="1" applyFont="1" applyAlignment="1">
      <alignment vertical="center"/>
    </xf>
    <xf numFmtId="49" fontId="5" fillId="0" borderId="0" xfId="0" applyNumberFormat="1" applyFont="1" applyAlignment="1">
      <alignment vertical="center"/>
    </xf>
    <xf numFmtId="165" fontId="4" fillId="0" borderId="1" xfId="0" applyNumberFormat="1" applyFont="1" applyBorder="1" applyAlignment="1">
      <alignment horizontal="center" vertical="center"/>
    </xf>
    <xf numFmtId="49" fontId="5" fillId="2" borderId="0" xfId="0" applyNumberFormat="1" applyFont="1" applyFill="1" applyAlignment="1">
      <alignment vertical="center" wrapText="1"/>
    </xf>
    <xf numFmtId="49" fontId="1" fillId="0" borderId="0" xfId="0" applyNumberFormat="1" applyFont="1" applyAlignment="1">
      <alignment horizontal="center" vertical="center" wrapText="1"/>
    </xf>
    <xf numFmtId="49" fontId="3" fillId="3" borderId="1" xfId="0" applyNumberFormat="1" applyFont="1" applyFill="1" applyBorder="1" applyAlignment="1">
      <alignment horizontal="center" vertical="center" wrapText="1"/>
    </xf>
    <xf numFmtId="165" fontId="1" fillId="0" borderId="0" xfId="0" applyNumberFormat="1" applyFont="1" applyAlignment="1">
      <alignment horizontal="center" vertical="center" wrapText="1"/>
    </xf>
    <xf numFmtId="165" fontId="3" fillId="3" borderId="1" xfId="0" applyNumberFormat="1" applyFont="1" applyFill="1" applyBorder="1" applyAlignment="1">
      <alignment horizontal="center" vertical="center" wrapText="1"/>
    </xf>
    <xf numFmtId="165" fontId="4" fillId="2" borderId="1" xfId="0" applyNumberFormat="1" applyFont="1" applyFill="1" applyBorder="1" applyAlignment="1">
      <alignment horizontal="center" vertical="center"/>
    </xf>
    <xf numFmtId="165" fontId="5" fillId="2" borderId="0" xfId="0" applyNumberFormat="1" applyFont="1" applyFill="1" applyAlignment="1">
      <alignment vertical="center" wrapText="1"/>
    </xf>
    <xf numFmtId="49" fontId="6" fillId="4" borderId="1" xfId="0" applyNumberFormat="1" applyFont="1" applyFill="1" applyBorder="1" applyAlignment="1">
      <alignment horizontal="center" vertical="center" wrapText="1"/>
    </xf>
    <xf numFmtId="49" fontId="7" fillId="0" borderId="1" xfId="0" applyNumberFormat="1" applyFont="1" applyBorder="1" applyAlignment="1">
      <alignment horizontal="center" vertical="center"/>
    </xf>
    <xf numFmtId="49" fontId="5" fillId="2" borderId="0" xfId="0" applyNumberFormat="1" applyFont="1" applyFill="1" applyAlignment="1">
      <alignment horizontal="left" vertical="center" wrapText="1"/>
    </xf>
    <xf numFmtId="49" fontId="5" fillId="2" borderId="0" xfId="0" applyNumberFormat="1" applyFont="1" applyFill="1" applyAlignment="1">
      <alignment horizontal="center" vertical="center" wrapText="1"/>
    </xf>
    <xf numFmtId="1" fontId="1" fillId="0" borderId="0" xfId="0" applyNumberFormat="1" applyFont="1" applyAlignment="1">
      <alignment horizontal="center" vertical="center" wrapText="1"/>
    </xf>
    <xf numFmtId="164" fontId="8" fillId="4"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xf>
    <xf numFmtId="49" fontId="4" fillId="2" borderId="1" xfId="0" applyNumberFormat="1" applyFont="1" applyFill="1" applyBorder="1" applyAlignment="1">
      <alignment horizontal="center" vertical="center" wrapText="1"/>
    </xf>
    <xf numFmtId="1" fontId="5" fillId="2" borderId="0" xfId="0" applyNumberFormat="1" applyFont="1" applyFill="1" applyAlignment="1">
      <alignment horizontal="center" vertical="center" wrapText="1"/>
    </xf>
    <xf numFmtId="164" fontId="3" fillId="4"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5" fillId="0" borderId="0" xfId="0" applyNumberFormat="1" applyFont="1" applyAlignment="1">
      <alignment horizontal="center" vertical="center" wrapText="1"/>
    </xf>
    <xf numFmtId="164" fontId="3" fillId="5"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49" fontId="10" fillId="0" borderId="0" xfId="0" applyNumberFormat="1" applyFont="1" applyAlignment="1">
      <alignment horizontal="center" vertical="center" wrapText="1"/>
    </xf>
    <xf numFmtId="49" fontId="6" fillId="6" borderId="1" xfId="0" applyNumberFormat="1" applyFont="1" applyFill="1" applyBorder="1" applyAlignment="1">
      <alignment horizontal="center" vertical="center" wrapText="1"/>
    </xf>
    <xf numFmtId="49" fontId="11" fillId="2" borderId="0" xfId="0" applyNumberFormat="1" applyFont="1" applyFill="1" applyAlignment="1">
      <alignment horizontal="center" vertical="center" wrapText="1"/>
    </xf>
    <xf numFmtId="165" fontId="12" fillId="0" borderId="0" xfId="0" applyNumberFormat="1" applyFont="1" applyAlignment="1">
      <alignment horizontal="center" vertical="center" wrapText="1"/>
    </xf>
    <xf numFmtId="165" fontId="3" fillId="6" borderId="1" xfId="0" applyNumberFormat="1" applyFont="1" applyFill="1" applyBorder="1" applyAlignment="1">
      <alignment horizontal="center" vertical="center" wrapText="1"/>
    </xf>
    <xf numFmtId="49" fontId="13"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164" fontId="3" fillId="3" borderId="2"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4" fillId="0" borderId="0" xfId="0" applyNumberFormat="1" applyFont="1" applyAlignment="1">
      <alignment wrapText="1"/>
    </xf>
    <xf numFmtId="49"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16" fillId="0" borderId="1" xfId="0" applyNumberFormat="1" applyFont="1" applyBorder="1" applyAlignment="1">
      <alignment vertical="center"/>
    </xf>
    <xf numFmtId="49" fontId="5" fillId="0" borderId="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8" fillId="0" borderId="1" xfId="0" applyNumberFormat="1" applyFont="1" applyBorder="1" applyAlignment="1">
      <alignment horizontal="center" vertical="center" wrapText="1"/>
    </xf>
    <xf numFmtId="164" fontId="6" fillId="4"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49" fontId="5" fillId="0" borderId="0" xfId="0" applyNumberFormat="1" applyFont="1" applyAlignment="1">
      <alignment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vertical="center"/>
    </xf>
    <xf numFmtId="49" fontId="19" fillId="0" borderId="1"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49" fontId="20" fillId="0" borderId="1" xfId="0" applyNumberFormat="1" applyFont="1" applyBorder="1" applyAlignment="1">
      <alignment horizontal="center" vertical="center" wrapText="1"/>
    </xf>
    <xf numFmtId="49" fontId="3" fillId="6" borderId="1" xfId="0" applyNumberFormat="1" applyFont="1" applyFill="1" applyBorder="1" applyAlignment="1">
      <alignment horizontal="center" vertical="center" wrapText="1"/>
    </xf>
    <xf numFmtId="49" fontId="11" fillId="0" borderId="1" xfId="0" applyNumberFormat="1" applyFont="1" applyBorder="1" applyAlignment="1">
      <alignment horizontal="center" vertical="center" wrapText="1"/>
    </xf>
    <xf numFmtId="49" fontId="15" fillId="0" borderId="0" xfId="0" applyNumberFormat="1" applyFont="1" applyAlignment="1">
      <alignment horizontal="right" vertical="center"/>
    </xf>
    <xf numFmtId="49" fontId="5" fillId="7" borderId="0" xfId="0" applyNumberFormat="1" applyFont="1" applyFill="1" applyAlignment="1">
      <alignment horizontal="left" vertical="center" wrapText="1"/>
    </xf>
    <xf numFmtId="49" fontId="5" fillId="0" borderId="0" xfId="0" applyNumberFormat="1" applyFont="1" applyAlignment="1">
      <alignment horizontal="left" vertical="center" wrapText="1"/>
    </xf>
    <xf numFmtId="49" fontId="14" fillId="0" borderId="0" xfId="0" applyNumberFormat="1" applyFont="1" applyAlignment="1">
      <alignment vertical="top" wrapText="1"/>
    </xf>
    <xf numFmtId="49" fontId="22" fillId="9" borderId="0" xfId="0" applyNumberFormat="1" applyFont="1" applyFill="1" applyAlignment="1">
      <alignment horizontal="center" vertical="center" wrapText="1"/>
    </xf>
    <xf numFmtId="49" fontId="22" fillId="10" borderId="0" xfId="0" applyNumberFormat="1" applyFont="1" applyFill="1" applyAlignment="1">
      <alignment horizontal="center" vertical="center" wrapText="1"/>
    </xf>
    <xf numFmtId="49" fontId="22" fillId="11" borderId="0" xfId="0" applyNumberFormat="1" applyFont="1" applyFill="1" applyAlignment="1">
      <alignment horizontal="center" vertical="center" wrapText="1"/>
    </xf>
    <xf numFmtId="49" fontId="22" fillId="8" borderId="0" xfId="0" applyNumberFormat="1" applyFont="1" applyFill="1" applyAlignment="1">
      <alignment horizontal="center" vertical="center" wrapText="1"/>
    </xf>
    <xf numFmtId="49" fontId="23" fillId="0" borderId="0" xfId="0" applyNumberFormat="1" applyFont="1" applyAlignment="1">
      <alignment vertical="top" wrapText="1"/>
    </xf>
    <xf numFmtId="49" fontId="24" fillId="0" borderId="0" xfId="0" applyNumberFormat="1" applyFont="1" applyAlignment="1">
      <alignment vertical="top" wrapText="1"/>
    </xf>
    <xf numFmtId="49" fontId="25" fillId="0" borderId="0" xfId="0" applyNumberFormat="1" applyFont="1" applyAlignment="1">
      <alignment vertical="top" wrapText="1"/>
    </xf>
    <xf numFmtId="49" fontId="26" fillId="0" borderId="0" xfId="0" applyNumberFormat="1" applyFont="1" applyAlignment="1">
      <alignment vertical="top" wrapText="1"/>
    </xf>
    <xf numFmtId="49" fontId="27" fillId="0" borderId="0" xfId="0" applyNumberFormat="1" applyFont="1" applyAlignment="1">
      <alignment vertical="top" wrapText="1"/>
    </xf>
    <xf numFmtId="49" fontId="28" fillId="0" borderId="0" xfId="0" applyNumberFormat="1" applyFont="1" applyAlignment="1">
      <alignment vertical="top" wrapText="1"/>
    </xf>
    <xf numFmtId="49" fontId="22" fillId="8" borderId="0" xfId="0" applyNumberFormat="1" applyFont="1" applyFill="1" applyAlignment="1">
      <alignment wrapText="1"/>
    </xf>
    <xf numFmtId="49" fontId="31" fillId="0" borderId="0" xfId="0" applyNumberFormat="1" applyFont="1" applyAlignment="1">
      <alignment vertical="top" wrapText="1"/>
    </xf>
    <xf numFmtId="49" fontId="31" fillId="12" borderId="0" xfId="0" applyNumberFormat="1" applyFont="1" applyFill="1" applyAlignment="1">
      <alignment vertical="top" wrapText="1"/>
    </xf>
    <xf numFmtId="3" fontId="5" fillId="0" borderId="0" xfId="0" applyNumberFormat="1" applyFont="1" applyAlignment="1">
      <alignment horizontal="right" vertical="top" wrapText="1"/>
    </xf>
    <xf numFmtId="3" fontId="5" fillId="12" borderId="0" xfId="0" applyNumberFormat="1" applyFont="1" applyFill="1" applyAlignment="1">
      <alignment horizontal="right" vertical="top" wrapText="1"/>
    </xf>
    <xf numFmtId="166" fontId="5" fillId="12" borderId="0" xfId="0" applyNumberFormat="1" applyFont="1" applyFill="1" applyAlignment="1">
      <alignment horizontal="right" vertical="top" wrapText="1"/>
    </xf>
    <xf numFmtId="1" fontId="5" fillId="0" borderId="0" xfId="0" applyNumberFormat="1" applyFont="1" applyAlignment="1">
      <alignment horizontal="right" vertical="top" wrapText="1"/>
    </xf>
    <xf numFmtId="14" fontId="5" fillId="0" borderId="0" xfId="0" applyNumberFormat="1" applyFont="1" applyAlignment="1">
      <alignment horizontal="right" vertical="top" wrapText="1"/>
    </xf>
    <xf numFmtId="166" fontId="5" fillId="0" borderId="0" xfId="0" applyNumberFormat="1" applyFont="1" applyAlignment="1">
      <alignment horizontal="right" vertical="top" wrapText="1"/>
    </xf>
    <xf numFmtId="167" fontId="5" fillId="0" borderId="0" xfId="0" applyNumberFormat="1" applyFont="1" applyAlignment="1">
      <alignment horizontal="right" vertical="top" wrapText="1"/>
    </xf>
    <xf numFmtId="3" fontId="22" fillId="10" borderId="0" xfId="0" applyNumberFormat="1" applyFont="1" applyFill="1" applyAlignment="1">
      <alignment horizontal="right" vertical="top" wrapText="1"/>
    </xf>
    <xf numFmtId="3" fontId="23" fillId="13" borderId="0" xfId="0" applyNumberFormat="1" applyFont="1" applyFill="1" applyAlignment="1">
      <alignment horizontal="right" vertical="top" wrapText="1"/>
    </xf>
    <xf numFmtId="1" fontId="24" fillId="0" borderId="0" xfId="0" applyNumberFormat="1" applyFont="1" applyAlignment="1">
      <alignment horizontal="right" vertical="top" wrapText="1"/>
    </xf>
    <xf numFmtId="1" fontId="24" fillId="12" borderId="0" xfId="0" applyNumberFormat="1" applyFont="1" applyFill="1" applyAlignment="1">
      <alignment horizontal="right" vertical="top" wrapText="1"/>
    </xf>
    <xf numFmtId="167" fontId="24" fillId="12" borderId="0" xfId="0" applyNumberFormat="1" applyFont="1" applyFill="1" applyAlignment="1">
      <alignment horizontal="right" vertical="top" wrapText="1"/>
    </xf>
    <xf numFmtId="14" fontId="24" fillId="0" borderId="0" xfId="0" applyNumberFormat="1" applyFont="1" applyAlignment="1">
      <alignment horizontal="right" vertical="top" wrapText="1"/>
    </xf>
    <xf numFmtId="49" fontId="32" fillId="0" borderId="0" xfId="0" applyNumberFormat="1" applyFont="1" applyAlignment="1">
      <alignment vertical="top" wrapText="1"/>
    </xf>
    <xf numFmtId="49" fontId="33" fillId="0" borderId="0" xfId="0" applyNumberFormat="1" applyFont="1" applyAlignment="1">
      <alignment vertical="top" wrapText="1"/>
    </xf>
    <xf numFmtId="0" fontId="28" fillId="0" borderId="0" xfId="0" applyFont="1" applyAlignment="1">
      <alignment vertical="top" wrapText="1"/>
    </xf>
    <xf numFmtId="0" fontId="30" fillId="0" borderId="0" xfId="1" applyNumberFormat="1" applyAlignment="1">
      <alignment vertical="top" wrapText="1"/>
    </xf>
    <xf numFmtId="0" fontId="30" fillId="12" borderId="0" xfId="1" applyNumberFormat="1" applyFill="1" applyAlignment="1">
      <alignment vertical="top" wrapText="1"/>
    </xf>
    <xf numFmtId="49" fontId="22" fillId="9" borderId="0" xfId="0" applyNumberFormat="1" applyFont="1" applyFill="1" applyAlignment="1">
      <alignment vertical="top" wrapText="1"/>
    </xf>
    <xf numFmtId="49" fontId="34" fillId="12" borderId="0" xfId="0" applyNumberFormat="1" applyFont="1" applyFill="1" applyAlignment="1">
      <alignment vertical="top" wrapText="1"/>
    </xf>
    <xf numFmtId="49" fontId="34" fillId="0" borderId="0" xfId="0" applyNumberFormat="1" applyFont="1" applyAlignment="1">
      <alignment vertical="top" wrapText="1"/>
    </xf>
    <xf numFmtId="49" fontId="29" fillId="9" borderId="0" xfId="0" applyNumberFormat="1" applyFont="1" applyFill="1" applyAlignment="1">
      <alignment horizontal="left" vertical="top" wrapText="1"/>
    </xf>
    <xf numFmtId="49" fontId="21" fillId="8" borderId="0" xfId="0" applyNumberFormat="1" applyFont="1" applyFill="1" applyAlignment="1">
      <alignment horizontal="center" vertical="center" wrapText="1"/>
    </xf>
    <xf numFmtId="49" fontId="29" fillId="9" borderId="0" xfId="0" applyNumberFormat="1" applyFont="1" applyFill="1" applyAlignment="1">
      <alignment wrapText="1"/>
    </xf>
  </cellXfs>
  <cellStyles count="2">
    <cellStyle name="Hyperlink" xfId="1" xr:uid="{00000000-000B-0000-0000-000008000000}"/>
    <cellStyle name="Normal" xfId="0" builtinId="0"/>
  </cellStyles>
  <dxfs count="98">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67" formatCode="0.0%"/>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67" formatCode="0.0%"/>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right" vertical="top" textRotation="0" wrapText="1" indent="0" justifyLastLine="0" shrinkToFit="0" readingOrder="0"/>
    </dxf>
    <dxf>
      <font>
        <b/>
        <i val="0"/>
        <strike val="0"/>
        <condense val="0"/>
        <extend val="0"/>
        <outline val="0"/>
        <shadow val="0"/>
        <u val="none"/>
        <vertAlign val="baseline"/>
        <sz val="10"/>
        <color rgb="FFFFFFFF"/>
        <name val="Arial"/>
        <scheme val="none"/>
      </font>
      <numFmt numFmtId="30" formatCode="@"/>
      <fill>
        <patternFill patternType="solid">
          <fgColor indexed="64"/>
          <bgColor rgb="FF843C0C"/>
        </patternFill>
      </fill>
      <alignment horizontal="center" vertical="center"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9" formatCode="dd/mm/yyyy"/>
      <alignment horizontal="right"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rial"/>
        <scheme val="none"/>
      </font>
      <numFmt numFmtId="30" formatCode="@"/>
      <fill>
        <patternFill patternType="solid">
          <fgColor indexed="64"/>
          <bgColor rgb="FF2E75B6"/>
        </patternFill>
      </fill>
      <alignment horizontal="center" vertical="center"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9"/>
        <color rgb="FF0563C1"/>
        <name val="Arial"/>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rial"/>
        <scheme val="none"/>
      </font>
      <numFmt numFmtId="30" formatCode="@"/>
      <fill>
        <patternFill patternType="solid">
          <fgColor indexed="64"/>
          <bgColor rgb="FF2E75B6"/>
        </patternFill>
      </fill>
      <alignment horizontal="center" vertical="center" textRotation="0" wrapText="1" indent="0" justifyLastLine="0" shrinkToFit="0" readingOrder="0"/>
    </dxf>
    <dxf>
      <font>
        <b/>
        <i val="0"/>
        <strike val="0"/>
        <condense val="0"/>
        <extend val="0"/>
        <outline val="0"/>
        <shadow val="0"/>
        <u val="none"/>
        <vertAlign val="baseline"/>
        <sz val="10"/>
        <color rgb="FF843C0C"/>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FF"/>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FF"/>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0.0"/>
      <alignment horizontal="right"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 formatCode="0"/>
      <alignment horizontal="right" vertical="top" textRotation="0" wrapText="1" indent="0" justifyLastLine="0" shrinkToFit="0" readingOrder="0"/>
    </dxf>
    <dxf>
      <font>
        <b/>
        <i val="0"/>
        <strike val="0"/>
        <condense val="0"/>
        <extend val="0"/>
        <outline val="0"/>
        <shadow val="0"/>
        <u val="none"/>
        <vertAlign val="baseline"/>
        <sz val="10"/>
        <color rgb="FFC00000"/>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1" formatCode="0"/>
      <alignment horizontal="right"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rgb="FF374151"/>
        <name val="Arial"/>
        <scheme val="none"/>
      </font>
      <numFmt numFmtId="30" formatCode="@"/>
      <alignment horizontal="general" vertical="top" textRotation="0" wrapText="1" indent="0" justifyLastLine="0" shrinkToFit="0" readingOrder="0"/>
    </dxf>
    <dxf>
      <font>
        <b/>
        <i val="0"/>
        <strike val="0"/>
        <condense val="0"/>
        <extend val="0"/>
        <outline val="0"/>
        <shadow val="0"/>
        <u val="none"/>
        <vertAlign val="baseline"/>
        <sz val="10"/>
        <color rgb="FFFFFFFF"/>
        <name val="Arial"/>
        <scheme val="none"/>
      </font>
      <numFmt numFmtId="30" formatCode="@"/>
      <fill>
        <patternFill patternType="solid">
          <fgColor indexed="64"/>
          <bgColor rgb="FF2E75B6"/>
        </patternFill>
      </fill>
      <alignment horizontal="center" vertical="center" textRotation="0" wrapText="1" indent="0" justifyLastLine="0" shrinkToFit="0" readingOrder="0"/>
    </dxf>
    <dxf>
      <font>
        <b/>
        <i val="0"/>
        <color rgb="FF7030A0"/>
      </font>
    </dxf>
    <dxf>
      <font>
        <b/>
        <i val="0"/>
        <color rgb="FFC00000"/>
      </font>
    </dxf>
    <dxf>
      <font>
        <b/>
        <i val="0"/>
        <color rgb="FFBF8F00"/>
      </font>
    </dxf>
    <dxf>
      <font>
        <b/>
        <i val="0"/>
        <color rgb="FF008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7030A0"/>
      </font>
    </dxf>
    <dxf>
      <font>
        <b/>
        <i val="0"/>
        <color rgb="FFC00000"/>
      </font>
    </dxf>
    <dxf>
      <font>
        <b/>
        <i val="0"/>
        <color rgb="FFBF8F00"/>
      </font>
    </dxf>
    <dxf>
      <font>
        <b/>
        <i val="0"/>
        <color rgb="FF008000"/>
      </font>
    </dxf>
    <dxf>
      <font>
        <b val="0"/>
        <i/>
        <color rgb="FF80808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7030A0"/>
      </font>
    </dxf>
    <dxf>
      <font>
        <b/>
        <i val="0"/>
        <color rgb="FFC00000"/>
      </font>
    </dxf>
    <dxf>
      <font>
        <b/>
        <i val="0"/>
        <color rgb="FFBF8F00"/>
      </font>
    </dxf>
    <dxf>
      <font>
        <b/>
        <i val="0"/>
        <color rgb="FF008000"/>
      </font>
    </dxf>
    <dxf>
      <font>
        <b val="0"/>
        <i/>
        <color rgb="FF80808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C2D25D-F156-47D8-8DE0-F0214B0710E0}" name="PointsControle" displayName="PointsControle" ref="A2:Q125" totalsRowShown="0" headerRowDxfId="69">
  <autoFilter ref="A2:Q125" xr:uid="{4EC2D25D-F156-47D8-8DE0-F0214B0710E0}"/>
  <tableColumns count="17">
    <tableColumn id="1" xr3:uid="{DF06CE03-3B36-4DD5-9B8A-B25130466588}" name="Référence exacte saisie" dataDxfId="68"/>
    <tableColumn id="2" xr3:uid="{EA0FC18D-8E75-4F18-9243-5E68B5E46E9F}" name="Onglet actuel" dataDxfId="67"/>
    <tableColumn id="3" xr3:uid="{5B22292D-F567-4B8E-9CF0-A5CF6D1CD69F}" name="Ligne actuelle" dataDxfId="66"/>
    <tableColumn id="4" xr3:uid="{B49A919C-32E8-4A31-8737-9897AFA94B9F}" name="Statut / action" dataDxfId="65"/>
    <tableColumn id="5" xr3:uid="{BC4CEE0E-F786-4955-8D34-C15E83CA0329}" name="Champs non confirmés" dataDxfId="64"/>
    <tableColumn id="6" xr3:uid="{15032A0E-AD42-4A0D-A643-69E6DA04207A}" name="Contrôle famille" dataDxfId="63"/>
    <tableColumn id="7" xr3:uid="{9C1493E3-8F05-4C7C-8E00-C94E783797D9}" name="Contrôle machine" dataDxfId="62"/>
    <tableColumn id="8" xr3:uid="{A3CEABF9-15B9-47E8-884D-60C123935BAF}" name="Confiance" dataDxfId="61"/>
    <tableColumn id="9" xr3:uid="{7BB62C94-3C7D-4361-B437-6E701132BC9E}" name="Preuves / limites" dataDxfId="60"/>
    <tableColumn id="10" xr3:uid="{F2DC7433-3F17-4403-B284-728EEFACA3B0}" name="Codes de base distincts" dataDxfId="59"/>
    <tableColumn id="11" xr3:uid="{8BABC0F8-40E0-4204-B762-C409CCB505DB}" name="Nombre de codes" dataDxfId="58">
      <calculatedColumnFormula>IF(J3="",0,LEN(J3)-LEN(SUBSTITUTE(J3,";",""))+1)</calculatedColumnFormula>
    </tableColumn>
    <tableColumn id="12" xr3:uid="{A9C79A7A-22E4-473D-9F05-0E54C50DCB74}" name="Qualification base" dataDxfId="57"/>
    <tableColumn id="13" xr3:uid="{2A9B1371-77FF-4C4D-B30B-16E065BB8032}" name="Groupe interne potentiel" dataDxfId="56"/>
    <tableColumn id="14" xr3:uid="{4F08B177-3C63-44D0-82E6-6259276BE3CC}" name="Contribution groupes" dataDxfId="55">
      <calculatedColumnFormula>IF(M3="",0,1/COUNTIF($M$3:$M$125,M3))</calculatedColumnFormula>
    </tableColumn>
    <tableColumn id="15" xr3:uid="{9D763793-9F97-45F6-80CE-42E9788476B6}" name="IA 1" dataDxfId="54"/>
    <tableColumn id="16" xr3:uid="{4DE5739D-72F8-4830-8B28-441392612DC0}" name="IA 2" dataDxfId="53"/>
    <tableColumn id="17" xr3:uid="{BE4B3A9E-2553-428A-B14F-53DD9EFB8576}" name="Algorithme" dataDxfId="5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75932E-ECA4-4C1A-B493-15DC896774D8}" name="LiensOriginaux" displayName="LiensOriginaux" ref="A2:G52" totalsRowShown="0" headerRowDxfId="51" dataDxfId="50">
  <autoFilter ref="A2:G52" xr:uid="{6875932E-ECA4-4C1A-B493-15DC896774D8}"/>
  <tableColumns count="7">
    <tableColumn id="1" xr3:uid="{3DD00834-023A-4AA1-BBD2-C69CFBD46334}" name="Onglet source" dataDxfId="49"/>
    <tableColumn id="2" xr3:uid="{B246299E-FBF8-40D4-A8B7-853541ACF789}" name="Cellule source" dataDxfId="48"/>
    <tableColumn id="3" xr3:uid="{DB203440-3BB6-4F17-B7B2-D72F089D28E4}" name="Libellé original exact" dataDxfId="47"/>
    <tableColumn id="4" xr3:uid="{4F73DC9F-D025-4E29-AE6F-100AF108C374}" name="Lien d origine" dataDxfId="46">
      <calculatedColumnFormula>IF(F3="",E3,HYPERLINK(F3,"OUVRIR LE DOCUMENT D ORIGINE"))</calculatedColumnFormula>
    </tableColumn>
    <tableColumn id="5" xr3:uid="{39B5E27B-889A-4A2C-8440-E497766C8A64}" name="URL originale exacte" dataDxfId="45"/>
    <tableColumn id="6" xr3:uid="{57AAE660-FF2C-429B-A8A2-CED3649E3520}" name="Cible courte du lien" dataDxfId="44"/>
    <tableColumn id="7" xr3:uid="{097398A0-98C1-42FA-84CA-ED7403C4F6EE}" name="Vérification / limite d accès" dataDxfId="4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4F019C-E059-4779-8781-00984ABC5B7E}" name="SourcesControle" displayName="SourcesControle" ref="A2:AC123" totalsRowShown="0" headerRowDxfId="42" dataDxfId="41">
  <autoFilter ref="A2:AC123" xr:uid="{064F019C-E059-4779-8781-00984ABC5B7E}"/>
  <tableColumns count="29">
    <tableColumn id="1" xr3:uid="{49E66C81-EC74-4191-A878-AF3F2C78904E}" name="Référence exacte saisie" dataDxfId="40"/>
    <tableColumn id="2" xr3:uid="{0D164981-D61C-4D21-8B42-6A16AF02CC21}" name="Contexte(s) actuel(s)" dataDxfId="39"/>
    <tableColumn id="3" xr3:uid="{4D98FD55-147D-4267-AA04-29BEF7974713}" name="Portée produit" dataDxfId="38"/>
    <tableColumn id="4" xr3:uid="{837E225A-A112-4B0E-8EDC-516D5C0CD36E}" name="Consultation" dataDxfId="37"/>
    <tableColumn id="5" xr3:uid="{D24851A9-C113-47FA-AC23-24B9F3D3B0CE}" name="Source 1" dataDxfId="36">
      <calculatedColumnFormula>IF(N3="","",HYPERLINK(N3,V3))</calculatedColumnFormula>
    </tableColumn>
    <tableColumn id="6" xr3:uid="{D8B267ED-C50A-407D-805E-909D33A6D1D6}" name="Source 2" dataDxfId="35">
      <calculatedColumnFormula>IF(O3="","",HYPERLINK(O3,W3))</calculatedColumnFormula>
    </tableColumn>
    <tableColumn id="7" xr3:uid="{1DF26E83-BD8F-4076-B252-5B71198C6201}" name="Source 3" dataDxfId="34">
      <calculatedColumnFormula>IF(P3="","",HYPERLINK(P3,X3))</calculatedColumnFormula>
    </tableColumn>
    <tableColumn id="8" xr3:uid="{27DD54AD-9251-4A2E-BB28-0403B8DBAB93}" name="Source 4" dataDxfId="33">
      <calculatedColumnFormula>IF(Q3="","",HYPERLINK(Q3,Y3))</calculatedColumnFormula>
    </tableColumn>
    <tableColumn id="9" xr3:uid="{DCE01646-B05B-4C67-8BFF-4A2CA58DBD3C}" name="Source 5" dataDxfId="32">
      <calculatedColumnFormula>IF(R3="","",HYPERLINK(R3,Z3))</calculatedColumnFormula>
    </tableColumn>
    <tableColumn id="10" xr3:uid="{6E727961-8824-4B42-8C6F-17F9C973E1BC}" name="Source 6" dataDxfId="31">
      <calculatedColumnFormula>IF(S3="","",HYPERLINK(S3,AA3))</calculatedColumnFormula>
    </tableColumn>
    <tableColumn id="11" xr3:uid="{2C50CA13-FA11-463C-8335-5A0276B5DE89}" name="Source 7" dataDxfId="30">
      <calculatedColumnFormula>IF(T3="","",HYPERLINK(T3,AB3))</calculatedColumnFormula>
    </tableColumn>
    <tableColumn id="12" xr3:uid="{3FAAB703-2868-4CA3-A33B-11B0ADB485CF}" name="Source 8" dataDxfId="29">
      <calculatedColumnFormula>IF(U3="","",HYPERLINK(U3,AC3))</calculatedColumnFormula>
    </tableColumn>
    <tableColumn id="13" xr3:uid="{2B3F9DAF-4D60-4487-B6CC-9868A571368E}" name="Limite / conclusion" dataDxfId="28"/>
    <tableColumn id="14" xr3:uid="{9505BA67-0A85-42E1-962F-29865ADB6FE5}" name="URL source 1" dataDxfId="27"/>
    <tableColumn id="15" xr3:uid="{FE1327F5-8D34-48FF-A908-386385D3E7A1}" name="URL source 2" dataDxfId="26"/>
    <tableColumn id="16" xr3:uid="{2D683CB6-5D79-46B9-B9D7-28421F54FC08}" name="URL source 3" dataDxfId="25"/>
    <tableColumn id="17" xr3:uid="{9A5B67A3-A861-4012-BF69-68C7F7D5B725}" name="URL source 4" dataDxfId="24"/>
    <tableColumn id="18" xr3:uid="{0AF748BC-8D54-49BD-9853-4300F82680B0}" name="URL source 5" dataDxfId="23"/>
    <tableColumn id="19" xr3:uid="{BC0AA048-08BB-4485-B21B-9411486A16B8}" name="URL source 6" dataDxfId="22"/>
    <tableColumn id="20" xr3:uid="{041A125A-2186-4B10-BBB3-70CC5F5A7D6D}" name="URL source 7" dataDxfId="21"/>
    <tableColumn id="21" xr3:uid="{E609B754-5B8A-4534-A749-178FE32FAC87}" name="URL source 8" dataDxfId="20"/>
    <tableColumn id="22" xr3:uid="{99752C31-060E-467D-B5D4-D9E06F6EBE36}" name="Titre source 1" dataDxfId="19"/>
    <tableColumn id="23" xr3:uid="{7DAB5600-8FB8-4438-A225-96DE0579E061}" name="Titre source 2" dataDxfId="18"/>
    <tableColumn id="24" xr3:uid="{576F457F-D601-43E9-BE07-BD8FAA5ABD62}" name="Titre source 3" dataDxfId="17"/>
    <tableColumn id="25" xr3:uid="{B5BB40F1-943F-4565-BF45-D81336B3CC4E}" name="Titre source 4" dataDxfId="16"/>
    <tableColumn id="26" xr3:uid="{CB9EEC0C-9E5D-4807-B1CC-1A012325E7CA}" name="Titre source 5" dataDxfId="15"/>
    <tableColumn id="27" xr3:uid="{6EA3F0A2-E85E-4A3F-ACC2-95CA3F2C54EE}" name="Titre source 6" dataDxfId="14"/>
    <tableColumn id="28" xr3:uid="{3CE7B305-CE56-4106-A55A-691C0AA529D6}" name="Titre source 7" dataDxfId="13"/>
    <tableColumn id="29" xr3:uid="{9D5B4D14-0797-4E9A-A4FC-0104EBA848A7}" name="Titre source 8" dataDxf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E83121-4E96-422C-B661-97EB0A4D080E}" name="ConventionsControle" displayName="ConventionsControle" ref="A2:J125" totalsRowShown="0" headerRowDxfId="11" dataDxfId="10">
  <autoFilter ref="A2:J125" xr:uid="{9BE83121-4E96-422C-B661-97EB0A4D080E}"/>
  <tableColumns count="10">
    <tableColumn id="1" xr3:uid="{7F2AB67B-9656-4D30-B2D3-27E6A212CE31}" name="Référence exacte saisie" dataDxfId="9"/>
    <tableColumn id="2" xr3:uid="{9945998E-AA5D-4A5C-8DA5-097CF0595C63}" name="Famille saisie (code)" dataDxfId="8"/>
    <tableColumn id="3" xr3:uid="{302AEA16-E937-4AFE-81ED-3FC917E04593}" name="Nature de saisie" dataDxfId="7"/>
    <tableColumn id="4" xr3:uid="{B6567A1E-CE08-44C8-A050-7BB900C98CAA}" name="Codes distincts famille" dataDxfId="6"/>
    <tableColumn id="5" xr3:uid="{2660A19D-3F02-4A3A-827A-5C5D6F981DAC}" name="Occurrences nature" dataDxfId="5"/>
    <tableColumn id="6" xr3:uid="{15FEFFA4-8BB4-4247-AAD3-2563AC2C536C}" name="Part nature" dataDxfId="4">
      <calculatedColumnFormula>IF(OR(D3="",E3=""),"",IF(D3=0,0,E3/D3))</calculatedColumnFormula>
    </tableColumn>
    <tableColumn id="7" xr3:uid="{C10CDE2B-180A-4A8D-B28A-B27CE41BAB67}" name="Dominante famille" dataDxfId="3"/>
    <tableColumn id="8" xr3:uid="{C6A7B69C-E841-46C3-B60D-82379D68E62B}" name="Occurrences dominante" dataDxfId="2"/>
    <tableColumn id="9" xr3:uid="{4B542CE9-FFC4-454D-B476-618C5E233D84}" name="Part dominante" dataDxfId="1">
      <calculatedColumnFormula>IF(OR(D3="",H3=""),"",IF(D3=0,0,H3/D3))</calculatedColumnFormula>
    </tableColumn>
    <tableColumn id="10" xr3:uid="{AF2F0B68-8D55-4686-A663-6503F493CC3C}" name="Règle appliqué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workbookViewId="0">
      <pane ySplit="2" topLeftCell="A3" activePane="bottomLeft" state="frozen"/>
      <selection pane="bottomLeft"/>
    </sheetView>
  </sheetViews>
  <sheetFormatPr defaultRowHeight="15"/>
  <cols>
    <col min="1" max="1" width="48.7109375" customWidth="1"/>
    <col min="2" max="4" width="14.7109375" customWidth="1"/>
    <col min="5" max="5" width="86.7109375" customWidth="1"/>
    <col min="6" max="6" width="3.7109375" customWidth="1"/>
    <col min="7" max="7" width="33.7109375" customWidth="1"/>
    <col min="8" max="8" width="14.7109375" customWidth="1"/>
    <col min="9" max="9" width="48.7109375" customWidth="1"/>
  </cols>
  <sheetData>
    <row r="1" spans="1:9" ht="30" customHeight="1">
      <c r="A1" s="94" t="s">
        <v>0</v>
      </c>
      <c r="B1" s="94"/>
      <c r="C1" s="94"/>
      <c r="D1" s="94"/>
      <c r="E1" s="94"/>
      <c r="F1" s="71"/>
      <c r="G1" s="71"/>
      <c r="H1" s="71"/>
      <c r="I1" s="71"/>
    </row>
    <row r="2" spans="1:9" ht="42" customHeight="1">
      <c r="A2" s="63" t="s">
        <v>1</v>
      </c>
      <c r="B2" s="63" t="s">
        <v>2</v>
      </c>
      <c r="C2" s="63" t="s">
        <v>3</v>
      </c>
      <c r="D2" s="63" t="s">
        <v>4</v>
      </c>
      <c r="E2" s="63" t="s">
        <v>5</v>
      </c>
      <c r="F2" s="63"/>
      <c r="G2" s="62" t="s">
        <v>6</v>
      </c>
      <c r="H2" s="62" t="s">
        <v>7</v>
      </c>
      <c r="I2" s="62" t="s">
        <v>8</v>
      </c>
    </row>
    <row r="3" spans="1:9" ht="38.25" customHeight="1">
      <c r="A3" s="71" t="s">
        <v>9</v>
      </c>
      <c r="B3" s="73">
        <f>COUNTIF('Classe A - Article spécifique'!D3:D517,"&lt;&gt;")</f>
        <v>515</v>
      </c>
      <c r="C3" s="73">
        <f>COUNTIF('Classe B - Article générique'!D3:D48,"&lt;&gt;")</f>
        <v>46</v>
      </c>
      <c r="D3" s="73">
        <f>SUM(B3:C3)</f>
        <v>561</v>
      </c>
      <c r="E3" s="71" t="s">
        <v>10</v>
      </c>
      <c r="F3" s="71"/>
      <c r="G3" s="71" t="s">
        <v>11</v>
      </c>
      <c r="H3" s="82">
        <v>4</v>
      </c>
      <c r="I3" s="71" t="s">
        <v>12</v>
      </c>
    </row>
    <row r="4" spans="1:9" ht="38.25" customHeight="1">
      <c r="A4" s="72" t="s">
        <v>13</v>
      </c>
      <c r="B4" s="74">
        <f>COUNTIFS('Classe A - Article spécifique'!D3:D517,"&lt;&gt;",'Classe A - Article spécifique'!R3:R517,"&lt;&gt;")</f>
        <v>409</v>
      </c>
      <c r="C4" s="74">
        <f>COUNTIFS('Classe B - Article générique'!D3:D48,"&lt;&gt;",'Classe B - Article générique'!R3:R48,"&lt;&gt;")</f>
        <v>29</v>
      </c>
      <c r="D4" s="74">
        <f>SUM(B4:C4)</f>
        <v>438</v>
      </c>
      <c r="E4" s="72" t="s">
        <v>14</v>
      </c>
      <c r="F4" s="72"/>
      <c r="G4" s="72" t="s">
        <v>15</v>
      </c>
      <c r="H4" s="83">
        <v>100</v>
      </c>
      <c r="I4" s="72" t="s">
        <v>16</v>
      </c>
    </row>
    <row r="5" spans="1:9" ht="38.25" customHeight="1">
      <c r="A5" s="71" t="s">
        <v>17</v>
      </c>
      <c r="B5" s="80">
        <f>COUNTIFS('Classe A - Article spécifique'!D3:D517,"&lt;&gt;",'Classe A - Article spécifique'!R3:R517,"")</f>
        <v>106</v>
      </c>
      <c r="C5" s="80">
        <f>COUNTIFS('Classe B - Article générique'!D3:D48,"&lt;&gt;",'Classe B - Article générique'!R3:R48,"")</f>
        <v>17</v>
      </c>
      <c r="D5" s="80">
        <f>SUM(B5:C5)</f>
        <v>123</v>
      </c>
      <c r="E5" s="71" t="s">
        <v>18</v>
      </c>
      <c r="F5" s="71"/>
      <c r="G5" s="71" t="s">
        <v>19</v>
      </c>
      <c r="H5" s="82">
        <v>20</v>
      </c>
      <c r="I5" s="71" t="s">
        <v>16</v>
      </c>
    </row>
    <row r="6" spans="1:9" ht="38.25" customHeight="1">
      <c r="A6" s="72" t="s">
        <v>20</v>
      </c>
      <c r="B6" s="74">
        <f>COUNTIFS('Classe A - Article spécifique'!R3:R517,"",'Classe A - Article spécifique'!D3:D517,"&lt;&gt;",'Classe A - Article spécifique'!W3:W517,"&lt;&gt;")</f>
        <v>25</v>
      </c>
      <c r="C6" s="74">
        <f>COUNTIFS('Classe B - Article générique'!R3:R48,"",'Classe B - Article générique'!D3:D48,"&lt;&gt;",'Classe B - Article générique'!U3:U48,"&lt;&gt;")</f>
        <v>7</v>
      </c>
      <c r="D6" s="74">
        <f>SUM(B6:C6)</f>
        <v>32</v>
      </c>
      <c r="E6" s="72" t="s">
        <v>21</v>
      </c>
      <c r="F6" s="72"/>
      <c r="G6" s="72" t="s">
        <v>22</v>
      </c>
      <c r="H6" s="84">
        <v>0.3</v>
      </c>
      <c r="I6" s="72" t="s">
        <v>23</v>
      </c>
    </row>
    <row r="7" spans="1:9" ht="38.25" customHeight="1">
      <c r="A7" s="71" t="s">
        <v>24</v>
      </c>
      <c r="B7" s="73">
        <f>COUNTIFS('Classe A - Article spécifique'!R3:R517,"",'Classe A - Article spécifique'!D3:D517,"&lt;&gt;",'Classe A - Article spécifique'!X3:X517,"&lt;&gt;")</f>
        <v>22</v>
      </c>
      <c r="C7" s="73">
        <f>COUNTIFS('Classe B - Article générique'!R3:R48,"",'Classe B - Article générique'!D3:D48,"&lt;&gt;",'Classe B - Article générique'!V3:V48,"&lt;&gt;")</f>
        <v>8</v>
      </c>
      <c r="D7" s="73">
        <f>SUM(B7:C7)</f>
        <v>30</v>
      </c>
      <c r="E7" s="71" t="s">
        <v>25</v>
      </c>
      <c r="F7" s="71"/>
      <c r="G7" s="71" t="s">
        <v>26</v>
      </c>
      <c r="H7" s="85">
        <v>46302</v>
      </c>
      <c r="I7" s="71" t="s">
        <v>27</v>
      </c>
    </row>
    <row r="8" spans="1:9" ht="38.25" customHeight="1">
      <c r="A8" s="72" t="s">
        <v>28</v>
      </c>
      <c r="B8" s="74">
        <f>COUNTIFS('Classe A - Article spécifique'!R3:R517,"",'Classe A - Article spécifique'!D3:D517,"&lt;&gt;",'Classe A - Article spécifique'!W3:W517,"&lt;&gt;",'Classe A - Article spécifique'!X3:X517,"&lt;&gt;")</f>
        <v>21</v>
      </c>
      <c r="C8" s="74">
        <f>COUNTIFS('Classe B - Article générique'!R3:R48,"",'Classe B - Article générique'!D3:D48,"&lt;&gt;",'Classe B - Article générique'!U3:U48,"&lt;&gt;",'Classe B - Article générique'!V3:V48,"&lt;&gt;")</f>
        <v>7</v>
      </c>
      <c r="D8" s="74">
        <f>SUM(B8:C8)</f>
        <v>28</v>
      </c>
      <c r="E8" s="72" t="s">
        <v>29</v>
      </c>
      <c r="F8" s="72"/>
      <c r="G8" s="72"/>
      <c r="H8" s="72"/>
      <c r="I8" s="72"/>
    </row>
    <row r="9" spans="1:9" ht="38.25" customHeight="1">
      <c r="A9" s="71" t="s">
        <v>30</v>
      </c>
      <c r="B9" s="73">
        <f>COUNTIFS('Classe A - Article spécifique'!R3:R517,"",'Classe A - Article spécifique'!D3:D517,"&lt;&gt;",'Classe A - Article spécifique'!Y3:Y517,"&lt;&gt;")</f>
        <v>96</v>
      </c>
      <c r="C9" s="73">
        <f>COUNTIFS('Classe B - Article générique'!R3:R48,"",'Classe B - Article générique'!D3:D48,"&lt;&gt;",'Classe B - Article générique'!W3:W48,"&lt;&gt;")</f>
        <v>17</v>
      </c>
      <c r="D9" s="73">
        <f>SUM(B9:C9)</f>
        <v>113</v>
      </c>
      <c r="E9" s="71" t="s">
        <v>31</v>
      </c>
      <c r="F9" s="71"/>
      <c r="G9" s="71"/>
      <c r="H9" s="71"/>
      <c r="I9" s="71"/>
    </row>
    <row r="10" spans="1:9" ht="38.25" customHeight="1">
      <c r="A10" s="72" t="s">
        <v>32</v>
      </c>
      <c r="B10" s="74">
        <f>COUNTIFS('Classe A - Article spécifique'!R3:R517,"",'Classe A - Article spécifique'!D3:D517,"&lt;&gt;",'Classe A - Article spécifique'!Z3:Z517,"&lt;&gt;")</f>
        <v>8</v>
      </c>
      <c r="C10" s="74">
        <f>COUNTIFS('Classe B - Article générique'!R3:R48,"",'Classe B - Article générique'!D3:D48,"&lt;&gt;",'Classe B - Article générique'!X3:X48,"&lt;&gt;")</f>
        <v>8</v>
      </c>
      <c r="D10" s="74">
        <f>SUM(B10:C10)</f>
        <v>16</v>
      </c>
      <c r="E10" s="72" t="s">
        <v>33</v>
      </c>
      <c r="F10" s="72"/>
      <c r="G10" s="72"/>
      <c r="H10" s="72"/>
      <c r="I10" s="72"/>
    </row>
    <row r="11" spans="1:9" ht="38.25" customHeight="1">
      <c r="A11" s="71" t="s">
        <v>34</v>
      </c>
      <c r="B11" s="73">
        <f>B5*$H$3-SUM(B6:B7,B9:B10)</f>
        <v>273</v>
      </c>
      <c r="C11" s="73">
        <f>C5*$H$3-SUM(C6:C7,C9:C10)</f>
        <v>28</v>
      </c>
      <c r="D11" s="73">
        <f>SUM(B11:C11)</f>
        <v>301</v>
      </c>
      <c r="E11" s="71" t="s">
        <v>35</v>
      </c>
      <c r="F11" s="71"/>
      <c r="G11" s="71"/>
      <c r="H11" s="71"/>
      <c r="I11" s="71"/>
    </row>
    <row r="12" spans="1:9" ht="38.25" customHeight="1">
      <c r="A12" s="72" t="s">
        <v>36</v>
      </c>
      <c r="B12" s="74">
        <f>B5-COUNTIFS('Classe A - Article spécifique'!R3:R517,"",'Classe A - Article spécifique'!D3:D517,"&lt;&gt;",'Classe A - Article spécifique'!W3:W517,"&lt;&gt;",'Classe A - Article spécifique'!X3:X517,"&lt;&gt;",'Classe A - Article spécifique'!Y3:Y517,"&lt;&gt;",'Classe A - Article spécifique'!Z3:Z517,"&lt;&gt;")</f>
        <v>101</v>
      </c>
      <c r="C12" s="74">
        <f>C5-COUNTIFS('Classe B - Article générique'!R3:R48,"",'Classe B - Article générique'!D3:D48,"&lt;&gt;",'Classe B - Article générique'!U3:U48,"&lt;&gt;",'Classe B - Article générique'!V3:V48,"&lt;&gt;",'Classe B - Article générique'!W3:W48,"&lt;&gt;",'Classe B - Article générique'!X3:X48,"&lt;&gt;")</f>
        <v>11</v>
      </c>
      <c r="D12" s="74">
        <f>SUM(B12:C12)</f>
        <v>112</v>
      </c>
      <c r="E12" s="72" t="s">
        <v>37</v>
      </c>
      <c r="F12" s="72"/>
      <c r="G12" s="72"/>
      <c r="H12" s="72"/>
      <c r="I12" s="72"/>
    </row>
    <row r="13" spans="1:9" ht="38.25" customHeight="1">
      <c r="A13" s="71" t="s">
        <v>38</v>
      </c>
      <c r="B13" s="73">
        <f>COUNTIF('Classe A - Article spécifique'!AP3:AP517,"Non applicable")</f>
        <v>1</v>
      </c>
      <c r="C13" s="73">
        <f>COUNTIF('Classe B - Article générique'!AN3:AN48,"Non applicable")</f>
        <v>0</v>
      </c>
      <c r="D13" s="73">
        <f>SUM(B13:C13)</f>
        <v>1</v>
      </c>
      <c r="E13" s="71" t="s">
        <v>39</v>
      </c>
      <c r="F13" s="71"/>
      <c r="G13" s="71"/>
      <c r="H13" s="71"/>
      <c r="I13" s="71"/>
    </row>
    <row r="14" spans="1:9" ht="38.25" customHeight="1">
      <c r="A14" s="72" t="s">
        <v>40</v>
      </c>
      <c r="B14" s="74" cm="1">
        <f t="array" ref="B14">SUMPRODUCT(--('Classe A - Article spécifique'!R3:R517=""),--((('Classe A - Article spécifique'!AI3:AI517&lt;&gt;"")+('Classe A - Article spécifique'!AJ3:AJ517&lt;&gt;"")+('Classe A - Article spécifique'!AK3:AK517&lt;&gt;""))&gt;0))</f>
        <v>0</v>
      </c>
      <c r="C14" s="74" cm="1">
        <f t="array" ref="C14">SUMPRODUCT(--('Classe B - Article générique'!R3:R48=""),--((('Classe B - Article générique'!AG3:AG48&lt;&gt;"")+('Classe B - Article générique'!AH3:AH48&lt;&gt;"")+('Classe B - Article générique'!AI3:AI48&lt;&gt;""))&gt;0))</f>
        <v>0</v>
      </c>
      <c r="D14" s="74">
        <f>SUM(B14:C14)</f>
        <v>0</v>
      </c>
      <c r="E14" s="72" t="s">
        <v>41</v>
      </c>
      <c r="F14" s="72"/>
      <c r="G14" s="72"/>
      <c r="H14" s="72"/>
      <c r="I14" s="72"/>
    </row>
    <row r="15" spans="1:9" ht="38.25" customHeight="1">
      <c r="A15" s="71" t="s">
        <v>42</v>
      </c>
      <c r="B15" s="73">
        <f>COUNTIFS('Classe A - Article spécifique'!R3:R517,"",'Classe A - Article spécifique'!AI3:AI517,"http*")+COUNTIFS('Classe A - Article spécifique'!R3:R517,"",'Classe A - Article spécifique'!AJ3:AJ517,"http*")+COUNTIFS('Classe A - Article spécifique'!R3:R517,"",'Classe A - Article spécifique'!AK3:AK517,"http*")</f>
        <v>0</v>
      </c>
      <c r="C15" s="73">
        <f>COUNTIFS('Classe B - Article générique'!R3:R48,"",'Classe B - Article générique'!AG3:AG48,"http*")+COUNTIFS('Classe B - Article générique'!R3:R48,"",'Classe B - Article générique'!AH3:AH48,"http*")+COUNTIFS('Classe B - Article générique'!R3:R48,"",'Classe B - Article générique'!AI3:AI48,"http*")</f>
        <v>0</v>
      </c>
      <c r="D15" s="73">
        <f>SUM(B15:C15)</f>
        <v>0</v>
      </c>
      <c r="E15" s="71" t="s">
        <v>43</v>
      </c>
      <c r="F15" s="71"/>
      <c r="G15" s="71"/>
      <c r="H15" s="71"/>
      <c r="I15" s="71"/>
    </row>
    <row r="16" spans="1:9" ht="38.25" customHeight="1">
      <c r="A16" s="72" t="s">
        <v>44</v>
      </c>
      <c r="B16" s="74">
        <f>COUNTIFS('Classe A - Article spécifique'!R3:R517,"",'Classe A - Article spécifique'!D3:D517,"&lt;&gt;",'Classe A - Article spécifique'!AH3:AH517,"&lt;&gt;")</f>
        <v>6</v>
      </c>
      <c r="C16" s="74">
        <f>COUNTIFS('Classe B - Article générique'!R3:R48,"",'Classe B - Article générique'!D3:D48,"&lt;&gt;",'Classe B - Article générique'!AF3:AF48,"&lt;&gt;")</f>
        <v>0</v>
      </c>
      <c r="D16" s="74">
        <f>SUM(B16:C16)</f>
        <v>6</v>
      </c>
      <c r="E16" s="72" t="s">
        <v>45</v>
      </c>
      <c r="F16" s="72"/>
      <c r="G16" s="72"/>
      <c r="H16" s="72"/>
      <c r="I16" s="72"/>
    </row>
    <row r="17" spans="1:9" ht="38.25" customHeight="1">
      <c r="A17" s="71" t="s">
        <v>46</v>
      </c>
      <c r="B17" s="73">
        <f>SUMIFS('Points à valider'!K3:K125,'Points à valider'!B3:B125,"Classe A - Article spécifique")</f>
        <v>8</v>
      </c>
      <c r="C17" s="73">
        <f>SUMIFS('Points à valider'!K3:K125,'Points à valider'!B3:B125,"Classe B - Article générique")</f>
        <v>0</v>
      </c>
      <c r="D17" s="73">
        <f>SUM(B17:C17)</f>
        <v>8</v>
      </c>
      <c r="E17" s="71" t="s">
        <v>47</v>
      </c>
      <c r="F17" s="71"/>
      <c r="G17" s="71"/>
      <c r="H17" s="71"/>
      <c r="I17" s="71"/>
    </row>
    <row r="18" spans="1:9" ht="38.25" customHeight="1">
      <c r="A18" s="72" t="s">
        <v>48</v>
      </c>
      <c r="B18" s="74">
        <f>COUNTIFS('Points à valider'!B3:B125,"Classe A - Article spécifique",'Points à valider'!L3:L125,"DOUBLON BASE A CONFIRMER")</f>
        <v>4</v>
      </c>
      <c r="C18" s="74">
        <f>COUNTIFS('Points à valider'!B3:B125,"Classe B - Article générique",'Points à valider'!L3:L125,"DOUBLON BASE A CONFIRMER")</f>
        <v>0</v>
      </c>
      <c r="D18" s="74">
        <f>SUM(B18:C18)</f>
        <v>4</v>
      </c>
      <c r="E18" s="72" t="s">
        <v>49</v>
      </c>
      <c r="F18" s="72"/>
      <c r="G18" s="72"/>
      <c r="H18" s="72"/>
      <c r="I18" s="72"/>
    </row>
    <row r="19" spans="1:9" ht="38.25" customHeight="1">
      <c r="A19" s="71" t="s">
        <v>50</v>
      </c>
      <c r="B19" s="73">
        <f>COUNTIFS('Points à valider'!B3:B125,"Classe A - Article spécifique",'Points à valider'!L3:L125,"CANDIDAT AMBIGU BASE")</f>
        <v>2</v>
      </c>
      <c r="C19" s="73">
        <f>COUNTIFS('Points à valider'!B3:B125,"Classe B - Article générique",'Points à valider'!L3:L125,"CANDIDAT AMBIGU BASE")</f>
        <v>0</v>
      </c>
      <c r="D19" s="73">
        <f>SUM(B19:C19)</f>
        <v>2</v>
      </c>
      <c r="E19" s="71" t="s">
        <v>51</v>
      </c>
      <c r="F19" s="71"/>
      <c r="G19" s="71"/>
      <c r="H19" s="71"/>
      <c r="I19" s="71"/>
    </row>
    <row r="20" spans="1:9" ht="38.25" customHeight="1">
      <c r="A20" s="72" t="s">
        <v>52</v>
      </c>
      <c r="B20" s="75">
        <f>SUMIFS('Points à valider'!N3:N125,'Points à valider'!B3:B125,"Classe A - Article spécifique")</f>
        <v>1</v>
      </c>
      <c r="C20" s="75">
        <f>SUMIFS('Points à valider'!N3:N125,'Points à valider'!B3:B125,"Classe B - Article générique")</f>
        <v>1</v>
      </c>
      <c r="D20" s="75">
        <f>SUM(B20:C20)</f>
        <v>2</v>
      </c>
      <c r="E20" s="72" t="s">
        <v>53</v>
      </c>
      <c r="F20" s="72"/>
      <c r="G20" s="72"/>
      <c r="H20" s="72"/>
      <c r="I20" s="72"/>
    </row>
    <row r="21" spans="1:9" ht="38.25" customHeight="1">
      <c r="A21" s="71" t="s">
        <v>54</v>
      </c>
      <c r="B21" s="73">
        <f>COUNTIFS('Points à valider'!B3:B125,"Classe A - Article spécifique",'Points à valider'!M3:M125,"&lt;&gt;")</f>
        <v>2</v>
      </c>
      <c r="C21" s="73">
        <f>COUNTIFS('Points à valider'!B3:B125,"Classe B - Article générique",'Points à valider'!M3:M125,"&lt;&gt;")</f>
        <v>2</v>
      </c>
      <c r="D21" s="73">
        <f>SUM(B21:C21)</f>
        <v>4</v>
      </c>
      <c r="E21" s="71" t="s">
        <v>55</v>
      </c>
      <c r="F21" s="71"/>
      <c r="G21" s="71"/>
      <c r="H21" s="71"/>
      <c r="I21" s="71"/>
    </row>
    <row r="22" spans="1:9" ht="38.25" customHeight="1">
      <c r="A22" s="72" t="s">
        <v>56</v>
      </c>
      <c r="B22" s="74">
        <f>COUNTIFS('Classe A - Article spécifique'!R3:R517,"",'Classe A - Article spécifique'!D3:D517,"&lt;&gt;",'Classe A - Article spécifique'!AB3:AB517,"&lt;&gt;")</f>
        <v>15</v>
      </c>
      <c r="C22" s="74">
        <f>COUNTIFS('Classe B - Article générique'!R3:R48,"",'Classe B - Article générique'!D3:D48,"&lt;&gt;",'Classe B - Article générique'!Z3:Z48,"&lt;&gt;")</f>
        <v>6</v>
      </c>
      <c r="D22" s="74">
        <f>SUM(B22:C22)</f>
        <v>21</v>
      </c>
      <c r="E22" s="72" t="s">
        <v>57</v>
      </c>
      <c r="F22" s="72"/>
      <c r="G22" s="72"/>
      <c r="H22" s="72"/>
      <c r="I22" s="72"/>
    </row>
    <row r="23" spans="1:9" ht="38.25" customHeight="1">
      <c r="A23" s="71" t="s">
        <v>58</v>
      </c>
      <c r="B23" s="73">
        <f>COUNTIFS('Classe A - Article spécifique'!R3:R517,"",'Classe A - Article spécifique'!D3:D517,"&lt;&gt;",'Classe A - Article spécifique'!AD3:AD517,"&lt;&gt;")</f>
        <v>106</v>
      </c>
      <c r="C23" s="73">
        <f>COUNTIFS('Classe B - Article générique'!R3:R48,"",'Classe B - Article générique'!D3:D48,"&lt;&gt;",'Classe B - Article générique'!AB3:AB48,"&lt;&gt;")</f>
        <v>17</v>
      </c>
      <c r="D23" s="73">
        <f>SUM(B23:C23)</f>
        <v>123</v>
      </c>
      <c r="E23" s="71" t="s">
        <v>59</v>
      </c>
      <c r="F23" s="71"/>
      <c r="G23" s="71"/>
      <c r="H23" s="71"/>
      <c r="I23" s="71"/>
    </row>
    <row r="24" spans="1:9" ht="38.25" customHeight="1">
      <c r="A24" s="72" t="s">
        <v>60</v>
      </c>
      <c r="B24" s="74">
        <f>COUNTIFS('Classe A - Article spécifique'!R3:R517,"",'Classe A - Article spécifique'!D3:D517,"&lt;&gt;",'Classe A - Article spécifique'!AF3:AF517,"&lt;&gt;")</f>
        <v>106</v>
      </c>
      <c r="C24" s="74">
        <f>COUNTIFS('Classe B - Article générique'!R3:R48,"",'Classe B - Article générique'!D3:D48,"&lt;&gt;",'Classe B - Article générique'!AD3:AD48,"&lt;&gt;")</f>
        <v>17</v>
      </c>
      <c r="D24" s="74">
        <f>SUM(B24:C24)</f>
        <v>123</v>
      </c>
      <c r="E24" s="72" t="s">
        <v>61</v>
      </c>
      <c r="F24" s="72"/>
      <c r="G24" s="72"/>
      <c r="H24" s="72"/>
      <c r="I24" s="72"/>
    </row>
    <row r="25" spans="1:9" ht="38.25" customHeight="1">
      <c r="A25" s="71" t="s">
        <v>62</v>
      </c>
      <c r="B25" s="81">
        <f>'Notes et sources'!B63</f>
        <v>0</v>
      </c>
      <c r="C25" s="81">
        <f>'Notes et sources'!B64</f>
        <v>0</v>
      </c>
      <c r="D25" s="81">
        <f>SUM(B25:C25,'Notes et sources'!B62)</f>
        <v>0</v>
      </c>
      <c r="E25" s="71" t="s">
        <v>63</v>
      </c>
      <c r="F25" s="71"/>
      <c r="G25" s="71"/>
      <c r="H25" s="71"/>
      <c r="I25" s="71"/>
    </row>
    <row r="26" spans="1:9" ht="38.25" customHeight="1">
      <c r="A26" s="72" t="s">
        <v>64</v>
      </c>
      <c r="B26" s="81">
        <f>'Notes et sources'!B66</f>
        <v>165</v>
      </c>
      <c r="C26" s="81">
        <f>'Notes et sources'!B67</f>
        <v>10</v>
      </c>
      <c r="D26" s="81">
        <f>SUM(B26:C26)</f>
        <v>175</v>
      </c>
      <c r="E26" s="72" t="s">
        <v>65</v>
      </c>
      <c r="F26" s="72"/>
      <c r="G26" s="72"/>
      <c r="H26" s="72"/>
      <c r="I26" s="72"/>
    </row>
    <row r="27" spans="1:9" ht="38.25" customHeight="1">
      <c r="A27" s="71" t="s">
        <v>66</v>
      </c>
      <c r="B27" s="81" cm="1">
        <f t="array" ref="B27">SUMPRODUCT(--ISERROR('Classe A - Article spécifique'!W3:AU517))</f>
        <v>0</v>
      </c>
      <c r="C27" s="81" cm="1">
        <f t="array" ref="C27">SUMPRODUCT(--ISERROR('Classe B - Article générique'!U3:AS48))</f>
        <v>0</v>
      </c>
      <c r="D27" s="81">
        <f>SUM(B27:C27)</f>
        <v>0</v>
      </c>
      <c r="E27" s="71" t="s">
        <v>67</v>
      </c>
      <c r="F27" s="71"/>
      <c r="G27" s="71"/>
      <c r="H27" s="71"/>
      <c r="I27" s="71"/>
    </row>
    <row r="28" spans="1:9" ht="38.25" customHeight="1">
      <c r="A28" s="72" t="s">
        <v>68</v>
      </c>
      <c r="B28" s="74">
        <f>COUNTIF('Classe A - Article spécifique'!F3:G1100,"#REF!")</f>
        <v>0</v>
      </c>
      <c r="C28" s="74">
        <f>IF(ISERROR('Classe B - Article générique'!F91),1,0)</f>
        <v>1</v>
      </c>
      <c r="D28" s="74">
        <f>SUM(B28:C28)</f>
        <v>1</v>
      </c>
      <c r="E28" s="72" t="s">
        <v>69</v>
      </c>
      <c r="F28" s="72"/>
      <c r="G28" s="72"/>
      <c r="H28" s="72"/>
      <c r="I28" s="72"/>
    </row>
    <row r="29" spans="1:9" ht="38.25" customHeight="1">
      <c r="A29" s="71" t="s">
        <v>70</v>
      </c>
      <c r="B29" s="73">
        <f>COUNTIF('Classe A - Article spécifique'!AP3:AP517,"Élevé")</f>
        <v>14</v>
      </c>
      <c r="C29" s="73">
        <f>COUNTIF('Classe B - Article générique'!AN3:AN48,"Élevé")</f>
        <v>6</v>
      </c>
      <c r="D29" s="73">
        <f>SUM(B29:C29)</f>
        <v>20</v>
      </c>
      <c r="E29" s="71" t="s">
        <v>71</v>
      </c>
      <c r="F29" s="71"/>
      <c r="G29" s="71"/>
      <c r="H29" s="71"/>
      <c r="I29" s="71"/>
    </row>
    <row r="30" spans="1:9" ht="38.25" customHeight="1">
      <c r="A30" s="72" t="s">
        <v>72</v>
      </c>
      <c r="B30" s="74">
        <f>COUNTIF('Classe A - Article spécifique'!AP3:AP517,"Moyen")</f>
        <v>11</v>
      </c>
      <c r="C30" s="74">
        <f>COUNTIF('Classe B - Article générique'!AN3:AN48,"Moyen")</f>
        <v>3</v>
      </c>
      <c r="D30" s="74">
        <f>SUM(B30:C30)</f>
        <v>14</v>
      </c>
      <c r="E30" s="72" t="s">
        <v>73</v>
      </c>
      <c r="F30" s="72"/>
      <c r="G30" s="72"/>
      <c r="H30" s="72"/>
      <c r="I30" s="72"/>
    </row>
    <row r="31" spans="1:9" ht="38.25" customHeight="1">
      <c r="A31" s="71" t="s">
        <v>74</v>
      </c>
      <c r="B31" s="73">
        <f>COUNTIF('Classe A - Article spécifique'!AP3:AP517,"Faible")</f>
        <v>80</v>
      </c>
      <c r="C31" s="73">
        <f>COUNTIF('Classe B - Article générique'!AN3:AN48,"Faible")</f>
        <v>8</v>
      </c>
      <c r="D31" s="73">
        <f>SUM(B31:C31)</f>
        <v>88</v>
      </c>
      <c r="E31" s="71" t="s">
        <v>75</v>
      </c>
      <c r="F31" s="71"/>
      <c r="G31" s="71"/>
      <c r="H31" s="71"/>
      <c r="I31" s="71"/>
    </row>
    <row r="32" spans="1:9" ht="38.25" customHeight="1">
      <c r="A32" s="72" t="s">
        <v>76</v>
      </c>
      <c r="B32" s="74">
        <f>COUNTIF('Classe A - Article spécifique'!AP3:AP517,"Non applicable")</f>
        <v>1</v>
      </c>
      <c r="C32" s="74">
        <f>COUNTIF('Classe B - Article générique'!AN3:AN48,"Non applicable")</f>
        <v>0</v>
      </c>
      <c r="D32" s="74">
        <f>SUM(B32:C32)</f>
        <v>1</v>
      </c>
      <c r="E32" s="72" t="s">
        <v>77</v>
      </c>
      <c r="F32" s="72"/>
      <c r="G32" s="72"/>
      <c r="H32" s="72"/>
      <c r="I32" s="72"/>
    </row>
    <row r="33" spans="1:9" ht="38.25" customHeight="1">
      <c r="A33" s="71"/>
      <c r="B33" s="71"/>
      <c r="C33" s="71"/>
      <c r="D33" s="71"/>
      <c r="E33" s="71"/>
      <c r="F33" s="71"/>
      <c r="G33" s="71"/>
      <c r="H33" s="71"/>
      <c r="I33" s="71"/>
    </row>
    <row r="34" spans="1:9" ht="38.25" customHeight="1">
      <c r="A34" s="72"/>
      <c r="B34" s="72"/>
      <c r="C34" s="72"/>
      <c r="D34" s="72"/>
      <c r="E34" s="72"/>
      <c r="F34" s="72"/>
      <c r="G34" s="72"/>
      <c r="H34" s="72"/>
      <c r="I34" s="72"/>
    </row>
    <row r="35" spans="1:9" ht="38.25" customHeight="1">
      <c r="A35" s="91" t="s">
        <v>78</v>
      </c>
      <c r="B35" s="91"/>
      <c r="C35" s="91"/>
      <c r="D35" s="91"/>
      <c r="E35" s="91"/>
      <c r="F35" s="71"/>
      <c r="G35" s="71"/>
      <c r="H35" s="71"/>
      <c r="I35" s="71"/>
    </row>
    <row r="36" spans="1:9" ht="63.75" customHeight="1">
      <c r="A36" s="92" t="s">
        <v>79</v>
      </c>
      <c r="B36" s="72"/>
      <c r="C36" s="72"/>
      <c r="D36" s="72"/>
      <c r="E36" s="72" t="s">
        <v>80</v>
      </c>
      <c r="F36" s="72"/>
      <c r="G36" s="72"/>
      <c r="H36" s="72"/>
      <c r="I36" s="72"/>
    </row>
    <row r="37" spans="1:9" ht="63.75" customHeight="1">
      <c r="A37" s="93" t="s">
        <v>81</v>
      </c>
      <c r="B37" s="71"/>
      <c r="C37" s="71"/>
      <c r="D37" s="71"/>
      <c r="E37" s="71" t="s">
        <v>82</v>
      </c>
      <c r="F37" s="71"/>
      <c r="G37" s="71"/>
      <c r="H37" s="71"/>
      <c r="I37" s="71"/>
    </row>
    <row r="38" spans="1:9" ht="63.75" customHeight="1">
      <c r="A38" s="92" t="s">
        <v>83</v>
      </c>
      <c r="B38" s="72"/>
      <c r="C38" s="72"/>
      <c r="D38" s="72"/>
      <c r="E38" s="72" t="s">
        <v>84</v>
      </c>
      <c r="F38" s="72"/>
      <c r="G38" s="72"/>
      <c r="H38" s="72"/>
      <c r="I38" s="72"/>
    </row>
    <row r="39" spans="1:9" ht="63.75" customHeight="1">
      <c r="A39" s="93" t="s">
        <v>85</v>
      </c>
      <c r="B39" s="71"/>
      <c r="C39" s="71"/>
      <c r="D39" s="71"/>
      <c r="E39" s="71" t="s">
        <v>86</v>
      </c>
      <c r="F39" s="71"/>
      <c r="G39" s="71"/>
      <c r="H39" s="71"/>
      <c r="I39" s="71"/>
    </row>
    <row r="40" spans="1:9" ht="63.75" customHeight="1">
      <c r="A40" s="92" t="s">
        <v>87</v>
      </c>
      <c r="B40" s="72"/>
      <c r="C40" s="72"/>
      <c r="D40" s="72"/>
      <c r="E40" s="72" t="s">
        <v>88</v>
      </c>
      <c r="F40" s="72"/>
      <c r="G40" s="72"/>
      <c r="H40" s="72"/>
      <c r="I40" s="72"/>
    </row>
    <row r="41" spans="1:9" ht="63.75" customHeight="1">
      <c r="A41" s="93" t="s">
        <v>89</v>
      </c>
      <c r="B41" s="71"/>
      <c r="C41" s="71"/>
      <c r="D41" s="71"/>
      <c r="E41" s="71" t="s">
        <v>90</v>
      </c>
      <c r="F41" s="71"/>
      <c r="G41" s="71"/>
      <c r="H41" s="71"/>
      <c r="I41" s="71"/>
    </row>
    <row r="42" spans="1:9" ht="63.75" customHeight="1">
      <c r="A42" s="92" t="s">
        <v>91</v>
      </c>
      <c r="B42" s="72"/>
      <c r="C42" s="72"/>
      <c r="D42" s="72"/>
      <c r="E42" s="72" t="s">
        <v>92</v>
      </c>
      <c r="F42" s="72"/>
      <c r="G42" s="72"/>
      <c r="H42" s="72"/>
      <c r="I42" s="72"/>
    </row>
    <row r="43" spans="1:9" ht="63.75" customHeight="1">
      <c r="A43" s="93" t="s">
        <v>93</v>
      </c>
      <c r="B43" s="71"/>
      <c r="C43" s="71"/>
      <c r="D43" s="71"/>
      <c r="E43" s="71" t="s">
        <v>94</v>
      </c>
      <c r="F43" s="71"/>
      <c r="G43" s="71"/>
      <c r="H43" s="71"/>
      <c r="I43" s="71"/>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C0D1-DB9B-49FC-9B44-18CCDC151ADD}">
  <dimension ref="A1:AU1100"/>
  <sheetViews>
    <sheetView workbookViewId="0">
      <pane ySplit="2" topLeftCell="A3" activePane="bottomLeft" state="frozen"/>
      <selection pane="bottomLeft"/>
    </sheetView>
  </sheetViews>
  <sheetFormatPr defaultRowHeight="15"/>
  <cols>
    <col min="1" max="1" width="13.140625" customWidth="1"/>
    <col min="2" max="2" width="22.5703125" customWidth="1"/>
    <col min="3" max="3" width="21.42578125" customWidth="1"/>
    <col min="4" max="4" width="49.7109375" customWidth="1"/>
    <col min="5" max="5" width="23.140625" customWidth="1"/>
    <col min="6" max="6" width="18.7109375" customWidth="1"/>
    <col min="7" max="7" width="90" customWidth="1"/>
    <col min="8" max="8" width="32.28515625" customWidth="1"/>
    <col min="9" max="9" width="17.5703125" customWidth="1"/>
    <col min="10" max="10" width="7.7109375" customWidth="1"/>
    <col min="11" max="11" width="7.42578125" customWidth="1"/>
    <col min="12" max="12" width="10" customWidth="1"/>
    <col min="13" max="13" width="48.140625" customWidth="1"/>
    <col min="14" max="14" width="18.7109375" customWidth="1"/>
    <col min="15" max="15" width="54.5703125" customWidth="1"/>
    <col min="16" max="16" width="16.85546875" customWidth="1"/>
    <col min="17" max="17" width="202" customWidth="1"/>
    <col min="18" max="18" width="14" customWidth="1"/>
    <col min="19" max="19" width="29.5703125" customWidth="1"/>
    <col min="20" max="20" width="86.5703125" customWidth="1"/>
    <col min="21" max="21" width="11.140625" customWidth="1"/>
    <col min="22" max="22" width="118.28515625" customWidth="1"/>
    <col min="23" max="23" width="30.7109375" customWidth="1"/>
    <col min="24" max="24" width="22.7109375" customWidth="1"/>
    <col min="25" max="26" width="24.7109375" customWidth="1"/>
    <col min="27" max="27" width="66.7109375" customWidth="1"/>
    <col min="28" max="28" width="58.7109375" customWidth="1"/>
    <col min="29" max="29" width="46.7109375" customWidth="1"/>
    <col min="30" max="30" width="58.7109375" customWidth="1"/>
    <col min="31" max="31" width="46.7109375" customWidth="1"/>
    <col min="32" max="32" width="58.7109375" customWidth="1"/>
    <col min="33" max="33" width="46.7109375" customWidth="1"/>
    <col min="34" max="34" width="24.7109375" customWidth="1"/>
    <col min="35" max="37" width="30.7109375" customWidth="1"/>
    <col min="38" max="41" width="26.7109375" customWidth="1"/>
    <col min="42" max="42" width="16.7109375" customWidth="1"/>
    <col min="43" max="43" width="70.7109375" customWidth="1"/>
    <col min="44" max="44" width="42.7109375" customWidth="1"/>
    <col min="45" max="45" width="40.7109375" customWidth="1"/>
    <col min="46" max="46" width="24.7109375" customWidth="1"/>
    <col min="47" max="47" width="40.7109375" customWidth="1"/>
  </cols>
  <sheetData>
    <row r="1" spans="1:47" ht="33.75" customHeight="1">
      <c r="A1" s="1" t="s">
        <v>95</v>
      </c>
      <c r="B1" s="8" t="s">
        <v>96</v>
      </c>
      <c r="C1" s="10" t="s">
        <v>96</v>
      </c>
      <c r="D1" s="8" t="s">
        <v>96</v>
      </c>
      <c r="E1" s="8" t="s">
        <v>96</v>
      </c>
      <c r="F1" s="18" t="s">
        <v>97</v>
      </c>
      <c r="G1" s="8" t="s">
        <v>96</v>
      </c>
      <c r="H1" s="8" t="s">
        <v>98</v>
      </c>
      <c r="I1" s="26" t="s">
        <v>96</v>
      </c>
      <c r="J1" s="8" t="s">
        <v>96</v>
      </c>
      <c r="K1" s="8" t="s">
        <v>96</v>
      </c>
      <c r="L1" s="8" t="s">
        <v>96</v>
      </c>
      <c r="M1" s="8" t="s">
        <v>96</v>
      </c>
      <c r="N1" s="18" t="s">
        <v>96</v>
      </c>
      <c r="O1" s="8" t="s">
        <v>96</v>
      </c>
      <c r="P1" s="8" t="s">
        <v>98</v>
      </c>
      <c r="Q1" s="8" t="s">
        <v>96</v>
      </c>
      <c r="R1" s="30" t="s">
        <v>99</v>
      </c>
      <c r="S1" s="33" t="s">
        <v>99</v>
      </c>
      <c r="T1" s="35" t="s">
        <v>99</v>
      </c>
      <c r="U1" s="36" t="s">
        <v>99</v>
      </c>
      <c r="V1" s="38" t="s">
        <v>96</v>
      </c>
      <c r="W1" s="95" t="s">
        <v>100</v>
      </c>
      <c r="X1" s="95"/>
      <c r="Y1" s="95"/>
      <c r="Z1" s="95"/>
      <c r="AA1" s="95"/>
      <c r="AB1" s="95"/>
      <c r="AC1" s="95"/>
      <c r="AD1" s="95"/>
      <c r="AE1" s="95"/>
      <c r="AF1" s="95"/>
      <c r="AG1" s="95"/>
      <c r="AH1" s="95"/>
      <c r="AI1" s="95"/>
      <c r="AJ1" s="95"/>
      <c r="AK1" s="95"/>
      <c r="AL1" s="95"/>
      <c r="AM1" s="95"/>
      <c r="AN1" s="95"/>
      <c r="AO1" s="95"/>
      <c r="AP1" s="95"/>
      <c r="AQ1" s="95"/>
      <c r="AR1" s="95"/>
      <c r="AS1" s="95"/>
      <c r="AT1" s="95"/>
      <c r="AU1" s="95"/>
    </row>
    <row r="2" spans="1:47" ht="62.25" customHeight="1">
      <c r="A2" s="2" t="s">
        <v>101</v>
      </c>
      <c r="B2" s="9" t="s">
        <v>102</v>
      </c>
      <c r="C2" s="11" t="s">
        <v>103</v>
      </c>
      <c r="D2" s="14" t="s">
        <v>104</v>
      </c>
      <c r="E2" s="14" t="s">
        <v>105</v>
      </c>
      <c r="F2" s="19" t="s">
        <v>106</v>
      </c>
      <c r="G2" s="23" t="s">
        <v>107</v>
      </c>
      <c r="H2" s="23" t="s">
        <v>108</v>
      </c>
      <c r="I2" s="23" t="s">
        <v>109</v>
      </c>
      <c r="J2" s="23" t="s">
        <v>110</v>
      </c>
      <c r="K2" s="23" t="s">
        <v>111</v>
      </c>
      <c r="L2" s="23" t="s">
        <v>112</v>
      </c>
      <c r="M2" s="27" t="s">
        <v>113</v>
      </c>
      <c r="N2" s="27" t="s">
        <v>114</v>
      </c>
      <c r="O2" s="28" t="s">
        <v>115</v>
      </c>
      <c r="P2" s="2" t="s">
        <v>116</v>
      </c>
      <c r="Q2" s="29" t="s">
        <v>117</v>
      </c>
      <c r="R2" s="31" t="s">
        <v>118</v>
      </c>
      <c r="S2" s="34" t="s">
        <v>119</v>
      </c>
      <c r="T2" s="9" t="s">
        <v>120</v>
      </c>
      <c r="U2" s="37" t="s">
        <v>121</v>
      </c>
      <c r="V2" s="9" t="s">
        <v>122</v>
      </c>
      <c r="W2" s="61" t="s">
        <v>123</v>
      </c>
      <c r="X2" s="61" t="s">
        <v>124</v>
      </c>
      <c r="Y2" s="61" t="s">
        <v>125</v>
      </c>
      <c r="Z2" s="61" t="s">
        <v>126</v>
      </c>
      <c r="AA2" s="60" t="s">
        <v>127</v>
      </c>
      <c r="AB2" s="61" t="s">
        <v>128</v>
      </c>
      <c r="AC2" s="61" t="s">
        <v>129</v>
      </c>
      <c r="AD2" s="61" t="s">
        <v>130</v>
      </c>
      <c r="AE2" s="61" t="s">
        <v>131</v>
      </c>
      <c r="AF2" s="62" t="s">
        <v>132</v>
      </c>
      <c r="AG2" s="62" t="s">
        <v>133</v>
      </c>
      <c r="AH2" s="60" t="s">
        <v>134</v>
      </c>
      <c r="AI2" s="63" t="s">
        <v>135</v>
      </c>
      <c r="AJ2" s="63" t="s">
        <v>136</v>
      </c>
      <c r="AK2" s="63" t="s">
        <v>137</v>
      </c>
      <c r="AL2" s="63" t="s">
        <v>138</v>
      </c>
      <c r="AM2" s="63" t="s">
        <v>139</v>
      </c>
      <c r="AN2" s="63" t="s">
        <v>140</v>
      </c>
      <c r="AO2" s="63" t="s">
        <v>141</v>
      </c>
      <c r="AP2" s="62" t="s">
        <v>142</v>
      </c>
      <c r="AQ2" s="62" t="s">
        <v>143</v>
      </c>
      <c r="AR2" s="60" t="s">
        <v>144</v>
      </c>
      <c r="AS2" s="60" t="s">
        <v>145</v>
      </c>
      <c r="AT2" s="60" t="s">
        <v>146</v>
      </c>
      <c r="AU2" s="60" t="s">
        <v>147</v>
      </c>
    </row>
    <row r="3" spans="1:47" ht="45" customHeight="1">
      <c r="A3" s="3" t="s">
        <v>148</v>
      </c>
      <c r="B3" s="3" t="s">
        <v>149</v>
      </c>
      <c r="C3" s="6">
        <v>46266</v>
      </c>
      <c r="D3" s="3" t="s">
        <v>150</v>
      </c>
      <c r="E3" s="3" t="s">
        <v>151</v>
      </c>
      <c r="F3" s="20">
        <f>LEN(G3)</f>
        <v>34</v>
      </c>
      <c r="G3" s="3" t="s">
        <v>152</v>
      </c>
      <c r="H3" s="24" t="s">
        <v>153</v>
      </c>
      <c r="I3" s="24"/>
      <c r="J3" s="3" t="s">
        <v>154</v>
      </c>
      <c r="K3" s="3" t="s">
        <v>154</v>
      </c>
      <c r="L3" s="3" t="s">
        <v>155</v>
      </c>
      <c r="M3" s="3" t="s">
        <v>156</v>
      </c>
      <c r="N3" s="20">
        <v>14922</v>
      </c>
      <c r="O3" s="3"/>
      <c r="P3" s="3" t="s">
        <v>157</v>
      </c>
      <c r="Q3" s="5"/>
      <c r="R3" s="3" t="s">
        <v>158</v>
      </c>
      <c r="S3" s="6">
        <v>46275</v>
      </c>
      <c r="T3" s="24"/>
      <c r="U3" s="3" t="b">
        <v>1</v>
      </c>
      <c r="V3" s="5"/>
      <c r="W3" s="64"/>
      <c r="X3" s="64"/>
      <c r="Y3" s="64"/>
      <c r="Z3" s="64"/>
      <c r="AA3" s="59" t="s">
        <v>159</v>
      </c>
      <c r="AB3" s="65"/>
      <c r="AC3" s="68"/>
      <c r="AD3" s="65"/>
      <c r="AE3" s="68"/>
      <c r="AF3" s="66"/>
      <c r="AG3" s="68"/>
      <c r="AH3" s="67"/>
      <c r="AI3" s="69"/>
      <c r="AJ3" s="69"/>
      <c r="AK3" s="69"/>
      <c r="AL3" s="86"/>
      <c r="AM3" s="88"/>
      <c r="AN3" s="88"/>
      <c r="AO3" s="88"/>
      <c r="AP3" s="59"/>
      <c r="AQ3" s="68"/>
      <c r="AR3" s="59"/>
      <c r="AS3" s="68"/>
      <c r="AT3" s="59"/>
      <c r="AU3" s="68"/>
    </row>
    <row r="4" spans="1:47" ht="45" customHeight="1">
      <c r="A4" s="3" t="s">
        <v>148</v>
      </c>
      <c r="B4" s="3" t="s">
        <v>160</v>
      </c>
      <c r="C4" s="6">
        <v>46266</v>
      </c>
      <c r="D4" s="3" t="s">
        <v>161</v>
      </c>
      <c r="E4" s="3" t="s">
        <v>162</v>
      </c>
      <c r="F4" s="20">
        <f>LEN(G4)</f>
        <v>67</v>
      </c>
      <c r="G4" s="3" t="s">
        <v>163</v>
      </c>
      <c r="H4" s="24" t="s">
        <v>164</v>
      </c>
      <c r="I4" s="3" t="s">
        <v>165</v>
      </c>
      <c r="J4" s="3" t="s">
        <v>154</v>
      </c>
      <c r="K4" s="3" t="s">
        <v>154</v>
      </c>
      <c r="L4" s="3" t="s">
        <v>155</v>
      </c>
      <c r="M4" s="3" t="s">
        <v>162</v>
      </c>
      <c r="N4" s="20">
        <v>6914</v>
      </c>
      <c r="O4" s="3" t="s">
        <v>161</v>
      </c>
      <c r="P4" s="3" t="s">
        <v>157</v>
      </c>
      <c r="Q4" s="3" t="s">
        <v>166</v>
      </c>
      <c r="R4" s="3" t="s">
        <v>167</v>
      </c>
      <c r="S4" s="3">
        <v>46274</v>
      </c>
      <c r="T4" s="24" t="s">
        <v>168</v>
      </c>
      <c r="U4" s="3" t="b">
        <v>0</v>
      </c>
      <c r="V4" s="3" t="s">
        <v>169</v>
      </c>
      <c r="W4" s="64"/>
      <c r="X4" s="64"/>
      <c r="Y4" s="64"/>
      <c r="Z4" s="64"/>
      <c r="AA4" s="59" t="s">
        <v>170</v>
      </c>
      <c r="AB4" s="65"/>
      <c r="AC4" s="68"/>
      <c r="AD4" s="65"/>
      <c r="AE4" s="68"/>
      <c r="AF4" s="66"/>
      <c r="AG4" s="68"/>
      <c r="AH4" s="67"/>
      <c r="AI4" s="69"/>
      <c r="AJ4" s="69"/>
      <c r="AK4" s="69"/>
      <c r="AL4" s="86"/>
      <c r="AM4" s="88"/>
      <c r="AN4" s="88"/>
      <c r="AO4" s="88"/>
      <c r="AP4" s="59"/>
      <c r="AQ4" s="68"/>
      <c r="AR4" s="59"/>
      <c r="AS4" s="68"/>
      <c r="AT4" s="59"/>
      <c r="AU4" s="68"/>
    </row>
    <row r="5" spans="1:47" ht="45" customHeight="1">
      <c r="A5" s="3" t="s">
        <v>148</v>
      </c>
      <c r="B5" s="3" t="s">
        <v>160</v>
      </c>
      <c r="C5" s="6">
        <v>46266</v>
      </c>
      <c r="D5" s="3" t="s">
        <v>171</v>
      </c>
      <c r="E5" s="3" t="s">
        <v>162</v>
      </c>
      <c r="F5" s="20">
        <f>LEN(G5)</f>
        <v>69</v>
      </c>
      <c r="G5" s="3" t="s">
        <v>172</v>
      </c>
      <c r="H5" s="24" t="s">
        <v>164</v>
      </c>
      <c r="I5" s="3" t="s">
        <v>165</v>
      </c>
      <c r="J5" s="3" t="s">
        <v>154</v>
      </c>
      <c r="K5" s="3" t="s">
        <v>154</v>
      </c>
      <c r="L5" s="3" t="s">
        <v>155</v>
      </c>
      <c r="M5" s="3" t="s">
        <v>162</v>
      </c>
      <c r="N5" s="20">
        <v>6914</v>
      </c>
      <c r="O5" s="3" t="s">
        <v>171</v>
      </c>
      <c r="P5" s="3" t="s">
        <v>157</v>
      </c>
      <c r="Q5" s="3" t="s">
        <v>166</v>
      </c>
      <c r="R5" s="3" t="s">
        <v>173</v>
      </c>
      <c r="S5" s="3">
        <v>46274</v>
      </c>
      <c r="T5" s="24" t="s">
        <v>174</v>
      </c>
      <c r="U5" s="3" t="b">
        <v>0</v>
      </c>
      <c r="V5" s="5"/>
      <c r="W5" s="64"/>
      <c r="X5" s="64"/>
      <c r="Y5" s="64"/>
      <c r="Z5" s="64"/>
      <c r="AA5" s="59" t="s">
        <v>175</v>
      </c>
      <c r="AB5" s="65"/>
      <c r="AC5" s="68"/>
      <c r="AD5" s="65"/>
      <c r="AE5" s="68"/>
      <c r="AF5" s="66"/>
      <c r="AG5" s="68"/>
      <c r="AH5" s="67"/>
      <c r="AI5" s="69"/>
      <c r="AJ5" s="69"/>
      <c r="AK5" s="69"/>
      <c r="AL5" s="86"/>
      <c r="AM5" s="88"/>
      <c r="AN5" s="88"/>
      <c r="AO5" s="88"/>
      <c r="AP5" s="59"/>
      <c r="AQ5" s="68"/>
      <c r="AR5" s="59"/>
      <c r="AS5" s="68"/>
      <c r="AT5" s="59"/>
      <c r="AU5" s="68"/>
    </row>
    <row r="6" spans="1:47" ht="45" customHeight="1">
      <c r="A6" s="3" t="s">
        <v>148</v>
      </c>
      <c r="B6" s="3" t="s">
        <v>176</v>
      </c>
      <c r="C6" s="6">
        <v>46266</v>
      </c>
      <c r="D6" s="3" t="s">
        <v>177</v>
      </c>
      <c r="E6" s="3" t="s">
        <v>178</v>
      </c>
      <c r="F6" s="20">
        <f>LEN(G6)</f>
        <v>26</v>
      </c>
      <c r="G6" s="3" t="s">
        <v>179</v>
      </c>
      <c r="H6" s="24" t="s">
        <v>180</v>
      </c>
      <c r="I6" s="24" t="s">
        <v>181</v>
      </c>
      <c r="J6" s="3" t="s">
        <v>154</v>
      </c>
      <c r="K6" s="3" t="s">
        <v>154</v>
      </c>
      <c r="L6" s="3" t="s">
        <v>155</v>
      </c>
      <c r="M6" s="3" t="s">
        <v>182</v>
      </c>
      <c r="N6" s="20">
        <v>597400</v>
      </c>
      <c r="O6" s="3"/>
      <c r="P6" s="3" t="s">
        <v>183</v>
      </c>
      <c r="Q6" s="5"/>
      <c r="R6" s="3" t="s">
        <v>184</v>
      </c>
      <c r="S6" s="6">
        <v>46268</v>
      </c>
      <c r="T6" s="24"/>
      <c r="U6" s="3" t="b">
        <v>1</v>
      </c>
      <c r="V6" s="3" t="s">
        <v>185</v>
      </c>
      <c r="W6" s="64"/>
      <c r="X6" s="64"/>
      <c r="Y6" s="64"/>
      <c r="Z6" s="64"/>
      <c r="AA6" s="59" t="s">
        <v>186</v>
      </c>
      <c r="AB6" s="65"/>
      <c r="AC6" s="68"/>
      <c r="AD6" s="65"/>
      <c r="AE6" s="68"/>
      <c r="AF6" s="66"/>
      <c r="AG6" s="68"/>
      <c r="AH6" s="67"/>
      <c r="AI6" s="69"/>
      <c r="AJ6" s="69"/>
      <c r="AK6" s="69"/>
      <c r="AL6" s="86"/>
      <c r="AM6" s="88"/>
      <c r="AN6" s="88"/>
      <c r="AO6" s="88"/>
      <c r="AP6" s="59"/>
      <c r="AQ6" s="68"/>
      <c r="AR6" s="59"/>
      <c r="AS6" s="68"/>
      <c r="AT6" s="59"/>
      <c r="AU6" s="68"/>
    </row>
    <row r="7" spans="1:47" ht="45" customHeight="1">
      <c r="A7" s="3" t="s">
        <v>148</v>
      </c>
      <c r="B7" s="3" t="s">
        <v>149</v>
      </c>
      <c r="C7" s="6">
        <v>46266</v>
      </c>
      <c r="D7" s="3" t="s">
        <v>187</v>
      </c>
      <c r="E7" s="3" t="s">
        <v>188</v>
      </c>
      <c r="F7" s="20">
        <f>LEN(G7)</f>
        <v>78</v>
      </c>
      <c r="G7" s="3" t="s">
        <v>189</v>
      </c>
      <c r="H7" s="24"/>
      <c r="I7" s="5"/>
      <c r="J7" s="3" t="s">
        <v>154</v>
      </c>
      <c r="K7" s="3" t="s">
        <v>154</v>
      </c>
      <c r="L7" s="3" t="s">
        <v>155</v>
      </c>
      <c r="M7" s="3" t="s">
        <v>190</v>
      </c>
      <c r="N7" s="20">
        <v>151146</v>
      </c>
      <c r="O7" s="5"/>
      <c r="P7" s="3" t="s">
        <v>157</v>
      </c>
      <c r="Q7" s="3" t="s">
        <v>191</v>
      </c>
      <c r="R7" s="3" t="s">
        <v>192</v>
      </c>
      <c r="S7" s="5"/>
      <c r="T7" s="24" t="s">
        <v>193</v>
      </c>
      <c r="U7" s="3" t="b">
        <v>0</v>
      </c>
      <c r="V7" s="3" t="s">
        <v>194</v>
      </c>
      <c r="W7" s="64"/>
      <c r="X7" s="64"/>
      <c r="Y7" s="64"/>
      <c r="Z7" s="64"/>
      <c r="AA7" s="59" t="s">
        <v>195</v>
      </c>
      <c r="AB7" s="65"/>
      <c r="AC7" s="68"/>
      <c r="AD7" s="65"/>
      <c r="AE7" s="68"/>
      <c r="AF7" s="66"/>
      <c r="AG7" s="68"/>
      <c r="AH7" s="67"/>
      <c r="AI7" s="69"/>
      <c r="AJ7" s="69"/>
      <c r="AK7" s="69"/>
      <c r="AL7" s="86"/>
      <c r="AM7" s="88"/>
      <c r="AN7" s="88"/>
      <c r="AO7" s="88"/>
      <c r="AP7" s="59"/>
      <c r="AQ7" s="68"/>
      <c r="AR7" s="59"/>
      <c r="AS7" s="68"/>
      <c r="AT7" s="59"/>
      <c r="AU7" s="68"/>
    </row>
    <row r="8" spans="1:47" ht="45" customHeight="1">
      <c r="A8" s="3" t="s">
        <v>148</v>
      </c>
      <c r="B8" s="3" t="s">
        <v>149</v>
      </c>
      <c r="C8" s="6" t="s">
        <v>196</v>
      </c>
      <c r="D8" s="3" t="s">
        <v>197</v>
      </c>
      <c r="E8" s="3" t="s">
        <v>188</v>
      </c>
      <c r="F8" s="20">
        <f>LEN(G8)</f>
        <v>78</v>
      </c>
      <c r="G8" s="3" t="s">
        <v>198</v>
      </c>
      <c r="H8" s="24"/>
      <c r="I8" s="5"/>
      <c r="J8" s="3" t="s">
        <v>154</v>
      </c>
      <c r="K8" s="3" t="s">
        <v>154</v>
      </c>
      <c r="L8" s="3" t="s">
        <v>155</v>
      </c>
      <c r="M8" s="3" t="s">
        <v>190</v>
      </c>
      <c r="N8" s="20">
        <v>151146</v>
      </c>
      <c r="O8" s="5"/>
      <c r="P8" s="3" t="s">
        <v>157</v>
      </c>
      <c r="Q8" s="3" t="s">
        <v>191</v>
      </c>
      <c r="R8" s="3" t="s">
        <v>199</v>
      </c>
      <c r="S8" s="5"/>
      <c r="T8" s="24" t="s">
        <v>200</v>
      </c>
      <c r="U8" s="3" t="b">
        <v>0</v>
      </c>
      <c r="V8" s="3" t="s">
        <v>194</v>
      </c>
      <c r="W8" s="64"/>
      <c r="X8" s="64"/>
      <c r="Y8" s="64"/>
      <c r="Z8" s="64"/>
      <c r="AA8" s="59" t="s">
        <v>201</v>
      </c>
      <c r="AB8" s="65"/>
      <c r="AC8" s="68"/>
      <c r="AD8" s="65"/>
      <c r="AE8" s="68"/>
      <c r="AF8" s="66"/>
      <c r="AG8" s="68"/>
      <c r="AH8" s="67"/>
      <c r="AI8" s="69"/>
      <c r="AJ8" s="69"/>
      <c r="AK8" s="69"/>
      <c r="AL8" s="86"/>
      <c r="AM8" s="88"/>
      <c r="AN8" s="88"/>
      <c r="AO8" s="88"/>
      <c r="AP8" s="59"/>
      <c r="AQ8" s="68"/>
      <c r="AR8" s="59"/>
      <c r="AS8" s="68"/>
      <c r="AT8" s="59"/>
      <c r="AU8" s="68"/>
    </row>
    <row r="9" spans="1:47" ht="98.25" customHeight="1">
      <c r="A9" s="3" t="s">
        <v>148</v>
      </c>
      <c r="B9" s="3" t="s">
        <v>149</v>
      </c>
      <c r="C9" s="6" t="s">
        <v>196</v>
      </c>
      <c r="D9" s="3" t="s">
        <v>202</v>
      </c>
      <c r="E9" s="3" t="s">
        <v>203</v>
      </c>
      <c r="F9" s="20">
        <f>LEN(G9)</f>
        <v>53</v>
      </c>
      <c r="G9" s="3" t="s">
        <v>204</v>
      </c>
      <c r="H9" s="24" t="s">
        <v>205</v>
      </c>
      <c r="I9" s="3" t="s">
        <v>206</v>
      </c>
      <c r="J9" s="3" t="s">
        <v>154</v>
      </c>
      <c r="K9" s="3" t="s">
        <v>154</v>
      </c>
      <c r="L9" s="3" t="s">
        <v>155</v>
      </c>
      <c r="M9" s="3" t="s">
        <v>207</v>
      </c>
      <c r="N9" s="20">
        <v>150285</v>
      </c>
      <c r="O9" s="5"/>
      <c r="P9" s="3" t="s">
        <v>157</v>
      </c>
      <c r="Q9" s="3" t="s">
        <v>208</v>
      </c>
      <c r="R9" s="5"/>
      <c r="S9" s="5"/>
      <c r="T9" s="24" t="s">
        <v>209</v>
      </c>
      <c r="U9" s="3" t="b">
        <v>0</v>
      </c>
      <c r="V9" s="3" t="s">
        <v>210</v>
      </c>
      <c r="W9" s="64"/>
      <c r="X9" s="64"/>
      <c r="Y9" s="64" t="s">
        <v>211</v>
      </c>
      <c r="Z9" s="64"/>
      <c r="AA9" s="59" t="s">
        <v>212</v>
      </c>
      <c r="AB9" s="65"/>
      <c r="AC9" s="68" t="s">
        <v>213</v>
      </c>
      <c r="AD9" s="65" t="s">
        <v>214</v>
      </c>
      <c r="AE9" s="68" t="s">
        <v>215</v>
      </c>
      <c r="AF9" s="66" t="s">
        <v>216</v>
      </c>
      <c r="AG9" s="68" t="s">
        <v>217</v>
      </c>
      <c r="AH9" s="67"/>
      <c r="AI9" s="69"/>
      <c r="AJ9" s="69"/>
      <c r="AK9" s="69"/>
      <c r="AL9" s="86" t="s">
        <v>218</v>
      </c>
      <c r="AM9" s="88"/>
      <c r="AN9" s="89" t="str">
        <f>HYPERLINK("https://reo.fr/produit/aimant-vibrant-reovib-wi-421/","https://reo.fr/produit/aimant-vibrant-reovib-wi-421/")</f>
        <v>https://reo.fr/produit/aimant-vibrant-reovib-wi-421/</v>
      </c>
      <c r="AO9" s="88"/>
      <c r="AP9" s="59" t="s">
        <v>74</v>
      </c>
      <c r="AQ9" s="68" t="s">
        <v>219</v>
      </c>
      <c r="AR9" s="59" t="s">
        <v>220</v>
      </c>
      <c r="AS9" s="68" t="s">
        <v>221</v>
      </c>
      <c r="AT9" s="59" t="s">
        <v>222</v>
      </c>
      <c r="AU9" s="68" t="s">
        <v>223</v>
      </c>
    </row>
    <row r="10" spans="1:47" ht="45" customHeight="1">
      <c r="A10" s="3" t="s">
        <v>148</v>
      </c>
      <c r="B10" s="3" t="s">
        <v>149</v>
      </c>
      <c r="C10" s="6" t="s">
        <v>196</v>
      </c>
      <c r="D10" s="3" t="s">
        <v>224</v>
      </c>
      <c r="E10" s="3" t="s">
        <v>203</v>
      </c>
      <c r="F10" s="20">
        <f>LEN(G10)</f>
        <v>49</v>
      </c>
      <c r="G10" s="3" t="s">
        <v>225</v>
      </c>
      <c r="H10" s="24"/>
      <c r="I10" s="24" t="s">
        <v>206</v>
      </c>
      <c r="J10" s="3" t="s">
        <v>154</v>
      </c>
      <c r="K10" s="3" t="s">
        <v>154</v>
      </c>
      <c r="L10" s="3" t="s">
        <v>155</v>
      </c>
      <c r="M10" s="3" t="s">
        <v>207</v>
      </c>
      <c r="N10" s="20">
        <v>150285</v>
      </c>
      <c r="O10" s="3"/>
      <c r="P10" s="3" t="s">
        <v>157</v>
      </c>
      <c r="Q10" s="3" t="s">
        <v>226</v>
      </c>
      <c r="R10" s="3" t="s">
        <v>227</v>
      </c>
      <c r="S10" s="6">
        <v>46268</v>
      </c>
      <c r="T10" s="24"/>
      <c r="U10" s="3" t="b">
        <v>1</v>
      </c>
      <c r="V10" s="5"/>
      <c r="W10" s="64"/>
      <c r="X10" s="64"/>
      <c r="Y10" s="64"/>
      <c r="Z10" s="64"/>
      <c r="AA10" s="59" t="s">
        <v>228</v>
      </c>
      <c r="AB10" s="65"/>
      <c r="AC10" s="68"/>
      <c r="AD10" s="65"/>
      <c r="AE10" s="68"/>
      <c r="AF10" s="66"/>
      <c r="AG10" s="68"/>
      <c r="AH10" s="67"/>
      <c r="AI10" s="69"/>
      <c r="AJ10" s="69"/>
      <c r="AK10" s="69"/>
      <c r="AL10" s="86"/>
      <c r="AM10" s="88"/>
      <c r="AN10" s="88"/>
      <c r="AO10" s="88"/>
      <c r="AP10" s="59"/>
      <c r="AQ10" s="68"/>
      <c r="AR10" s="59"/>
      <c r="AS10" s="68"/>
      <c r="AT10" s="59"/>
      <c r="AU10" s="68"/>
    </row>
    <row r="11" spans="1:47" ht="45" customHeight="1">
      <c r="A11" s="3" t="s">
        <v>148</v>
      </c>
      <c r="B11" s="3" t="s">
        <v>149</v>
      </c>
      <c r="C11" s="6" t="s">
        <v>196</v>
      </c>
      <c r="D11" s="3" t="s">
        <v>229</v>
      </c>
      <c r="E11" s="3" t="s">
        <v>230</v>
      </c>
      <c r="F11" s="20">
        <f>LEN(G11)</f>
        <v>48</v>
      </c>
      <c r="G11" s="3" t="s">
        <v>231</v>
      </c>
      <c r="H11" s="24" t="s">
        <v>232</v>
      </c>
      <c r="I11" s="3" t="s">
        <v>233</v>
      </c>
      <c r="J11" s="3" t="s">
        <v>154</v>
      </c>
      <c r="K11" s="3" t="s">
        <v>154</v>
      </c>
      <c r="L11" s="3" t="s">
        <v>155</v>
      </c>
      <c r="M11" s="3" t="s">
        <v>234</v>
      </c>
      <c r="N11" s="20">
        <v>6248</v>
      </c>
      <c r="O11" s="5"/>
      <c r="P11" s="3" t="s">
        <v>157</v>
      </c>
      <c r="Q11" s="5"/>
      <c r="R11" s="3" t="s">
        <v>235</v>
      </c>
      <c r="S11" s="3">
        <v>46273</v>
      </c>
      <c r="T11" s="24"/>
      <c r="U11" s="3" t="b">
        <v>0</v>
      </c>
      <c r="V11" s="5"/>
      <c r="W11" s="64"/>
      <c r="X11" s="64"/>
      <c r="Y11" s="64"/>
      <c r="Z11" s="64"/>
      <c r="AA11" s="59" t="s">
        <v>236</v>
      </c>
      <c r="AB11" s="65"/>
      <c r="AC11" s="68"/>
      <c r="AD11" s="65"/>
      <c r="AE11" s="68"/>
      <c r="AF11" s="66"/>
      <c r="AG11" s="68"/>
      <c r="AH11" s="67"/>
      <c r="AI11" s="69"/>
      <c r="AJ11" s="69"/>
      <c r="AK11" s="69"/>
      <c r="AL11" s="86"/>
      <c r="AM11" s="88"/>
      <c r="AN11" s="88"/>
      <c r="AO11" s="88"/>
      <c r="AP11" s="59"/>
      <c r="AQ11" s="68"/>
      <c r="AR11" s="59"/>
      <c r="AS11" s="68"/>
      <c r="AT11" s="59"/>
      <c r="AU11" s="68"/>
    </row>
    <row r="12" spans="1:47" ht="45" customHeight="1">
      <c r="A12" s="3" t="s">
        <v>148</v>
      </c>
      <c r="B12" s="3" t="s">
        <v>149</v>
      </c>
      <c r="C12" s="6" t="s">
        <v>196</v>
      </c>
      <c r="D12" s="3" t="s">
        <v>237</v>
      </c>
      <c r="E12" s="3" t="s">
        <v>238</v>
      </c>
      <c r="F12" s="20">
        <f>LEN(G12)</f>
        <v>87</v>
      </c>
      <c r="G12" s="3" t="s">
        <v>239</v>
      </c>
      <c r="H12" s="24" t="s">
        <v>240</v>
      </c>
      <c r="I12" s="24" t="s">
        <v>233</v>
      </c>
      <c r="J12" s="3" t="s">
        <v>154</v>
      </c>
      <c r="K12" s="3" t="s">
        <v>154</v>
      </c>
      <c r="L12" s="3" t="s">
        <v>155</v>
      </c>
      <c r="M12" s="3" t="s">
        <v>241</v>
      </c>
      <c r="N12" s="20">
        <v>113787</v>
      </c>
      <c r="O12" s="3"/>
      <c r="P12" s="3" t="s">
        <v>157</v>
      </c>
      <c r="Q12" s="5"/>
      <c r="R12" s="3" t="s">
        <v>242</v>
      </c>
      <c r="S12" s="6">
        <v>46268</v>
      </c>
      <c r="T12" s="24"/>
      <c r="U12" s="3" t="b">
        <v>1</v>
      </c>
      <c r="V12" s="5"/>
      <c r="W12" s="64"/>
      <c r="X12" s="64"/>
      <c r="Y12" s="64"/>
      <c r="Z12" s="64"/>
      <c r="AA12" s="59" t="s">
        <v>243</v>
      </c>
      <c r="AB12" s="65"/>
      <c r="AC12" s="68"/>
      <c r="AD12" s="65"/>
      <c r="AE12" s="68"/>
      <c r="AF12" s="66"/>
      <c r="AG12" s="68"/>
      <c r="AH12" s="67"/>
      <c r="AI12" s="69"/>
      <c r="AJ12" s="69"/>
      <c r="AK12" s="69"/>
      <c r="AL12" s="86"/>
      <c r="AM12" s="88"/>
      <c r="AN12" s="88"/>
      <c r="AO12" s="88"/>
      <c r="AP12" s="59"/>
      <c r="AQ12" s="68"/>
      <c r="AR12" s="59"/>
      <c r="AS12" s="68"/>
      <c r="AT12" s="59"/>
      <c r="AU12" s="68"/>
    </row>
    <row r="13" spans="1:47" ht="45" customHeight="1">
      <c r="A13" s="3" t="s">
        <v>148</v>
      </c>
      <c r="B13" s="3" t="s">
        <v>149</v>
      </c>
      <c r="C13" s="6" t="s">
        <v>196</v>
      </c>
      <c r="D13" s="3" t="s">
        <v>244</v>
      </c>
      <c r="E13" s="3" t="s">
        <v>245</v>
      </c>
      <c r="F13" s="20">
        <f>LEN(G13)</f>
        <v>99</v>
      </c>
      <c r="G13" s="3" t="s">
        <v>246</v>
      </c>
      <c r="H13" s="24" t="s">
        <v>247</v>
      </c>
      <c r="I13" s="24" t="s">
        <v>248</v>
      </c>
      <c r="J13" s="3" t="s">
        <v>154</v>
      </c>
      <c r="K13" s="3" t="s">
        <v>154</v>
      </c>
      <c r="L13" s="3" t="s">
        <v>155</v>
      </c>
      <c r="M13" s="3" t="s">
        <v>249</v>
      </c>
      <c r="N13" s="20">
        <v>5966</v>
      </c>
      <c r="O13" s="3"/>
      <c r="P13" s="3" t="s">
        <v>157</v>
      </c>
      <c r="Q13" s="5"/>
      <c r="R13" s="3" t="s">
        <v>250</v>
      </c>
      <c r="S13" s="6">
        <v>46266</v>
      </c>
      <c r="T13" s="24"/>
      <c r="U13" s="3" t="b">
        <v>1</v>
      </c>
      <c r="V13" s="5"/>
      <c r="W13" s="64"/>
      <c r="X13" s="64"/>
      <c r="Y13" s="64"/>
      <c r="Z13" s="64"/>
      <c r="AA13" s="59" t="s">
        <v>251</v>
      </c>
      <c r="AB13" s="65"/>
      <c r="AC13" s="68"/>
      <c r="AD13" s="65"/>
      <c r="AE13" s="68"/>
      <c r="AF13" s="66"/>
      <c r="AG13" s="68"/>
      <c r="AH13" s="67"/>
      <c r="AI13" s="69"/>
      <c r="AJ13" s="69"/>
      <c r="AK13" s="69"/>
      <c r="AL13" s="86"/>
      <c r="AM13" s="88"/>
      <c r="AN13" s="88"/>
      <c r="AO13" s="88"/>
      <c r="AP13" s="59"/>
      <c r="AQ13" s="68"/>
      <c r="AR13" s="59"/>
      <c r="AS13" s="68"/>
      <c r="AT13" s="59"/>
      <c r="AU13" s="68"/>
    </row>
    <row r="14" spans="1:47" ht="45" customHeight="1">
      <c r="A14" s="3" t="s">
        <v>148</v>
      </c>
      <c r="B14" s="3" t="s">
        <v>149</v>
      </c>
      <c r="C14" s="6" t="s">
        <v>196</v>
      </c>
      <c r="D14" s="3" t="s">
        <v>252</v>
      </c>
      <c r="E14" s="3" t="s">
        <v>253</v>
      </c>
      <c r="F14" s="20">
        <f>LEN(G14)</f>
        <v>100</v>
      </c>
      <c r="G14" s="3" t="s">
        <v>254</v>
      </c>
      <c r="H14" s="24" t="s">
        <v>255</v>
      </c>
      <c r="I14" s="24" t="s">
        <v>256</v>
      </c>
      <c r="J14" s="3" t="s">
        <v>154</v>
      </c>
      <c r="K14" s="3" t="s">
        <v>154</v>
      </c>
      <c r="L14" s="3" t="s">
        <v>155</v>
      </c>
      <c r="M14" s="3" t="s">
        <v>241</v>
      </c>
      <c r="N14" s="20">
        <v>113787</v>
      </c>
      <c r="O14" s="3"/>
      <c r="P14" s="3" t="s">
        <v>157</v>
      </c>
      <c r="Q14" s="5"/>
      <c r="R14" s="3" t="s">
        <v>257</v>
      </c>
      <c r="S14" s="6">
        <v>46272</v>
      </c>
      <c r="T14" s="24"/>
      <c r="U14" s="3" t="b">
        <v>1</v>
      </c>
      <c r="V14" s="5"/>
      <c r="W14" s="64"/>
      <c r="X14" s="64"/>
      <c r="Y14" s="64"/>
      <c r="Z14" s="64"/>
      <c r="AA14" s="59" t="s">
        <v>258</v>
      </c>
      <c r="AB14" s="65"/>
      <c r="AC14" s="68"/>
      <c r="AD14" s="65"/>
      <c r="AE14" s="68"/>
      <c r="AF14" s="66"/>
      <c r="AG14" s="68"/>
      <c r="AH14" s="67"/>
      <c r="AI14" s="69"/>
      <c r="AJ14" s="69"/>
      <c r="AK14" s="69"/>
      <c r="AL14" s="86"/>
      <c r="AM14" s="88"/>
      <c r="AN14" s="88"/>
      <c r="AO14" s="88"/>
      <c r="AP14" s="59"/>
      <c r="AQ14" s="68"/>
      <c r="AR14" s="59"/>
      <c r="AS14" s="68"/>
      <c r="AT14" s="59"/>
      <c r="AU14" s="68"/>
    </row>
    <row r="15" spans="1:47" ht="45" customHeight="1">
      <c r="A15" s="3" t="s">
        <v>148</v>
      </c>
      <c r="B15" s="3" t="s">
        <v>149</v>
      </c>
      <c r="C15" s="6" t="s">
        <v>196</v>
      </c>
      <c r="D15" s="3" t="s">
        <v>259</v>
      </c>
      <c r="E15" s="3" t="s">
        <v>260</v>
      </c>
      <c r="F15" s="20">
        <f>LEN(G15)</f>
        <v>98</v>
      </c>
      <c r="G15" s="3" t="s">
        <v>261</v>
      </c>
      <c r="H15" s="24" t="s">
        <v>262</v>
      </c>
      <c r="I15" s="24" t="s">
        <v>248</v>
      </c>
      <c r="J15" s="3" t="s">
        <v>154</v>
      </c>
      <c r="K15" s="3" t="s">
        <v>154</v>
      </c>
      <c r="L15" s="3" t="s">
        <v>155</v>
      </c>
      <c r="M15" s="3" t="s">
        <v>263</v>
      </c>
      <c r="N15" s="20">
        <v>74628</v>
      </c>
      <c r="O15" s="3"/>
      <c r="P15" s="3" t="s">
        <v>157</v>
      </c>
      <c r="Q15" s="5"/>
      <c r="R15" s="3" t="s">
        <v>264</v>
      </c>
      <c r="S15" s="6">
        <v>46272</v>
      </c>
      <c r="T15" s="24"/>
      <c r="U15" s="3" t="b">
        <v>1</v>
      </c>
      <c r="V15" s="3" t="s">
        <v>265</v>
      </c>
      <c r="W15" s="64"/>
      <c r="X15" s="64"/>
      <c r="Y15" s="64"/>
      <c r="Z15" s="64"/>
      <c r="AA15" s="59" t="s">
        <v>266</v>
      </c>
      <c r="AB15" s="65"/>
      <c r="AC15" s="68"/>
      <c r="AD15" s="65"/>
      <c r="AE15" s="68"/>
      <c r="AF15" s="66"/>
      <c r="AG15" s="68"/>
      <c r="AH15" s="67"/>
      <c r="AI15" s="69"/>
      <c r="AJ15" s="69"/>
      <c r="AK15" s="69"/>
      <c r="AL15" s="86"/>
      <c r="AM15" s="88"/>
      <c r="AN15" s="88"/>
      <c r="AO15" s="88"/>
      <c r="AP15" s="59"/>
      <c r="AQ15" s="68"/>
      <c r="AR15" s="59"/>
      <c r="AS15" s="68"/>
      <c r="AT15" s="59"/>
      <c r="AU15" s="68"/>
    </row>
    <row r="16" spans="1:47" ht="45" customHeight="1">
      <c r="A16" s="3" t="s">
        <v>148</v>
      </c>
      <c r="B16" s="3" t="s">
        <v>149</v>
      </c>
      <c r="C16" s="6" t="s">
        <v>196</v>
      </c>
      <c r="D16" s="3" t="s">
        <v>267</v>
      </c>
      <c r="E16" s="3" t="s">
        <v>245</v>
      </c>
      <c r="F16" s="20">
        <f>LEN(G16)</f>
        <v>87</v>
      </c>
      <c r="G16" s="3" t="s">
        <v>268</v>
      </c>
      <c r="H16" s="24" t="s">
        <v>269</v>
      </c>
      <c r="I16" s="24" t="s">
        <v>270</v>
      </c>
      <c r="J16" s="3" t="s">
        <v>154</v>
      </c>
      <c r="K16" s="3" t="s">
        <v>154</v>
      </c>
      <c r="L16" s="3" t="s">
        <v>155</v>
      </c>
      <c r="M16" s="3" t="s">
        <v>249</v>
      </c>
      <c r="N16" s="20">
        <v>5966</v>
      </c>
      <c r="O16" s="3"/>
      <c r="P16" s="3" t="s">
        <v>157</v>
      </c>
      <c r="Q16" s="5"/>
      <c r="R16" s="3" t="s">
        <v>271</v>
      </c>
      <c r="S16" s="6">
        <v>46269</v>
      </c>
      <c r="T16" s="24"/>
      <c r="U16" s="3" t="b">
        <v>1</v>
      </c>
      <c r="V16" s="5"/>
      <c r="W16" s="64"/>
      <c r="X16" s="64"/>
      <c r="Y16" s="64"/>
      <c r="Z16" s="64"/>
      <c r="AA16" s="59" t="s">
        <v>272</v>
      </c>
      <c r="AB16" s="65"/>
      <c r="AC16" s="68"/>
      <c r="AD16" s="65"/>
      <c r="AE16" s="68"/>
      <c r="AF16" s="66"/>
      <c r="AG16" s="68"/>
      <c r="AH16" s="67"/>
      <c r="AI16" s="69"/>
      <c r="AJ16" s="69"/>
      <c r="AK16" s="69"/>
      <c r="AL16" s="86"/>
      <c r="AM16" s="88"/>
      <c r="AN16" s="88"/>
      <c r="AO16" s="88"/>
      <c r="AP16" s="59"/>
      <c r="AQ16" s="68"/>
      <c r="AR16" s="59"/>
      <c r="AS16" s="68"/>
      <c r="AT16" s="59"/>
      <c r="AU16" s="68"/>
    </row>
    <row r="17" spans="1:47" ht="45" customHeight="1">
      <c r="A17" s="3" t="s">
        <v>148</v>
      </c>
      <c r="B17" s="3" t="s">
        <v>149</v>
      </c>
      <c r="C17" s="6" t="s">
        <v>196</v>
      </c>
      <c r="D17" s="3" t="s">
        <v>273</v>
      </c>
      <c r="E17" s="3" t="s">
        <v>203</v>
      </c>
      <c r="F17" s="20">
        <f>LEN(G17)</f>
        <v>81</v>
      </c>
      <c r="G17" s="3" t="s">
        <v>274</v>
      </c>
      <c r="H17" s="24" t="s">
        <v>275</v>
      </c>
      <c r="I17" s="3" t="s">
        <v>206</v>
      </c>
      <c r="J17" s="3" t="s">
        <v>154</v>
      </c>
      <c r="K17" s="3" t="s">
        <v>154</v>
      </c>
      <c r="L17" s="3" t="s">
        <v>155</v>
      </c>
      <c r="M17" s="3" t="s">
        <v>207</v>
      </c>
      <c r="N17" s="20">
        <v>150285</v>
      </c>
      <c r="O17" s="5"/>
      <c r="P17" s="3" t="s">
        <v>157</v>
      </c>
      <c r="Q17" s="5"/>
      <c r="R17" s="3" t="s">
        <v>276</v>
      </c>
      <c r="S17" s="3">
        <v>46273</v>
      </c>
      <c r="T17" s="24"/>
      <c r="U17" s="3" t="b">
        <v>0</v>
      </c>
      <c r="V17" s="5"/>
      <c r="W17" s="64"/>
      <c r="X17" s="64"/>
      <c r="Y17" s="64"/>
      <c r="Z17" s="64"/>
      <c r="AA17" s="59" t="s">
        <v>277</v>
      </c>
      <c r="AB17" s="65"/>
      <c r="AC17" s="68"/>
      <c r="AD17" s="65"/>
      <c r="AE17" s="68"/>
      <c r="AF17" s="66"/>
      <c r="AG17" s="68"/>
      <c r="AH17" s="67"/>
      <c r="AI17" s="69"/>
      <c r="AJ17" s="69"/>
      <c r="AK17" s="69"/>
      <c r="AL17" s="86"/>
      <c r="AM17" s="88"/>
      <c r="AN17" s="88"/>
      <c r="AO17" s="88"/>
      <c r="AP17" s="59"/>
      <c r="AQ17" s="68"/>
      <c r="AR17" s="59"/>
      <c r="AS17" s="68"/>
      <c r="AT17" s="59"/>
      <c r="AU17" s="68"/>
    </row>
    <row r="18" spans="1:47" ht="45" customHeight="1">
      <c r="A18" s="3" t="s">
        <v>148</v>
      </c>
      <c r="B18" s="3" t="s">
        <v>149</v>
      </c>
      <c r="C18" s="6" t="s">
        <v>196</v>
      </c>
      <c r="D18" s="3" t="s">
        <v>278</v>
      </c>
      <c r="E18" s="3" t="s">
        <v>279</v>
      </c>
      <c r="F18" s="20">
        <f>LEN(G18)</f>
        <v>60</v>
      </c>
      <c r="G18" s="3" t="s">
        <v>280</v>
      </c>
      <c r="H18" s="24" t="s">
        <v>281</v>
      </c>
      <c r="I18" s="24" t="s">
        <v>282</v>
      </c>
      <c r="J18" s="3" t="s">
        <v>154</v>
      </c>
      <c r="K18" s="3" t="s">
        <v>154</v>
      </c>
      <c r="L18" s="3" t="s">
        <v>155</v>
      </c>
      <c r="M18" s="3" t="s">
        <v>190</v>
      </c>
      <c r="N18" s="20">
        <v>151146</v>
      </c>
      <c r="O18" s="3"/>
      <c r="P18" s="3" t="s">
        <v>157</v>
      </c>
      <c r="Q18" s="5"/>
      <c r="R18" s="3" t="s">
        <v>283</v>
      </c>
      <c r="S18" s="6">
        <v>46272</v>
      </c>
      <c r="T18" s="24"/>
      <c r="U18" s="3" t="b">
        <v>1</v>
      </c>
      <c r="V18" s="5"/>
      <c r="W18" s="64"/>
      <c r="X18" s="64"/>
      <c r="Y18" s="64"/>
      <c r="Z18" s="64"/>
      <c r="AA18" s="59" t="s">
        <v>284</v>
      </c>
      <c r="AB18" s="65"/>
      <c r="AC18" s="68"/>
      <c r="AD18" s="65"/>
      <c r="AE18" s="68"/>
      <c r="AF18" s="66"/>
      <c r="AG18" s="68"/>
      <c r="AH18" s="67"/>
      <c r="AI18" s="69"/>
      <c r="AJ18" s="69"/>
      <c r="AK18" s="69"/>
      <c r="AL18" s="86"/>
      <c r="AM18" s="88"/>
      <c r="AN18" s="88"/>
      <c r="AO18" s="88"/>
      <c r="AP18" s="59"/>
      <c r="AQ18" s="68"/>
      <c r="AR18" s="59"/>
      <c r="AS18" s="68"/>
      <c r="AT18" s="59"/>
      <c r="AU18" s="68"/>
    </row>
    <row r="19" spans="1:47" ht="45" customHeight="1">
      <c r="A19" s="3" t="s">
        <v>148</v>
      </c>
      <c r="B19" s="3" t="s">
        <v>149</v>
      </c>
      <c r="C19" s="6" t="s">
        <v>196</v>
      </c>
      <c r="D19" s="3" t="s">
        <v>285</v>
      </c>
      <c r="E19" s="3" t="s">
        <v>286</v>
      </c>
      <c r="F19" s="20">
        <f>LEN(G19)</f>
        <v>99</v>
      </c>
      <c r="G19" s="3" t="s">
        <v>287</v>
      </c>
      <c r="H19" s="24" t="s">
        <v>288</v>
      </c>
      <c r="I19" s="24" t="s">
        <v>282</v>
      </c>
      <c r="J19" s="3" t="s">
        <v>154</v>
      </c>
      <c r="K19" s="3" t="s">
        <v>154</v>
      </c>
      <c r="L19" s="3" t="s">
        <v>155</v>
      </c>
      <c r="M19" s="3" t="s">
        <v>241</v>
      </c>
      <c r="N19" s="20">
        <v>113787</v>
      </c>
      <c r="O19" s="3"/>
      <c r="P19" s="3" t="s">
        <v>157</v>
      </c>
      <c r="Q19" s="5"/>
      <c r="R19" s="3" t="s">
        <v>289</v>
      </c>
      <c r="S19" s="6">
        <v>46272</v>
      </c>
      <c r="T19" s="24"/>
      <c r="U19" s="3" t="b">
        <v>1</v>
      </c>
      <c r="V19" s="5"/>
      <c r="W19" s="64"/>
      <c r="X19" s="64"/>
      <c r="Y19" s="64"/>
      <c r="Z19" s="64"/>
      <c r="AA19" s="59" t="s">
        <v>290</v>
      </c>
      <c r="AB19" s="65"/>
      <c r="AC19" s="68"/>
      <c r="AD19" s="65"/>
      <c r="AE19" s="68"/>
      <c r="AF19" s="66"/>
      <c r="AG19" s="68"/>
      <c r="AH19" s="67"/>
      <c r="AI19" s="69"/>
      <c r="AJ19" s="69"/>
      <c r="AK19" s="69"/>
      <c r="AL19" s="86"/>
      <c r="AM19" s="88"/>
      <c r="AN19" s="88"/>
      <c r="AO19" s="88"/>
      <c r="AP19" s="59"/>
      <c r="AQ19" s="68"/>
      <c r="AR19" s="59"/>
      <c r="AS19" s="68"/>
      <c r="AT19" s="59"/>
      <c r="AU19" s="68"/>
    </row>
    <row r="20" spans="1:47" ht="45" customHeight="1">
      <c r="A20" s="3" t="s">
        <v>148</v>
      </c>
      <c r="B20" s="3" t="s">
        <v>149</v>
      </c>
      <c r="C20" s="6" t="s">
        <v>196</v>
      </c>
      <c r="D20" s="3" t="s">
        <v>291</v>
      </c>
      <c r="E20" s="3" t="s">
        <v>286</v>
      </c>
      <c r="F20" s="20">
        <f>LEN(G20)</f>
        <v>96</v>
      </c>
      <c r="G20" s="3" t="s">
        <v>292</v>
      </c>
      <c r="H20" s="24" t="s">
        <v>288</v>
      </c>
      <c r="I20" s="3" t="s">
        <v>282</v>
      </c>
      <c r="J20" s="3" t="s">
        <v>154</v>
      </c>
      <c r="K20" s="3" t="s">
        <v>154</v>
      </c>
      <c r="L20" s="3" t="s">
        <v>155</v>
      </c>
      <c r="M20" s="3" t="s">
        <v>241</v>
      </c>
      <c r="N20" s="20">
        <v>113787</v>
      </c>
      <c r="O20" s="5"/>
      <c r="P20" s="3" t="s">
        <v>157</v>
      </c>
      <c r="Q20" s="5"/>
      <c r="R20" s="3" t="s">
        <v>293</v>
      </c>
      <c r="S20" s="3">
        <v>46272</v>
      </c>
      <c r="T20" s="24"/>
      <c r="U20" s="3" t="b">
        <v>0</v>
      </c>
      <c r="V20" s="5"/>
      <c r="W20" s="64"/>
      <c r="X20" s="64"/>
      <c r="Y20" s="64"/>
      <c r="Z20" s="64"/>
      <c r="AA20" s="59" t="s">
        <v>294</v>
      </c>
      <c r="AB20" s="65"/>
      <c r="AC20" s="68"/>
      <c r="AD20" s="65"/>
      <c r="AE20" s="68"/>
      <c r="AF20" s="66"/>
      <c r="AG20" s="68"/>
      <c r="AH20" s="67"/>
      <c r="AI20" s="69"/>
      <c r="AJ20" s="69"/>
      <c r="AK20" s="69"/>
      <c r="AL20" s="86"/>
      <c r="AM20" s="88"/>
      <c r="AN20" s="88"/>
      <c r="AO20" s="88"/>
      <c r="AP20" s="59"/>
      <c r="AQ20" s="68"/>
      <c r="AR20" s="59"/>
      <c r="AS20" s="68"/>
      <c r="AT20" s="59"/>
      <c r="AU20" s="68"/>
    </row>
    <row r="21" spans="1:47" ht="45" customHeight="1">
      <c r="A21" s="3" t="s">
        <v>148</v>
      </c>
      <c r="B21" s="3" t="s">
        <v>149</v>
      </c>
      <c r="C21" s="6" t="s">
        <v>196</v>
      </c>
      <c r="D21" s="3" t="s">
        <v>295</v>
      </c>
      <c r="E21" s="3" t="s">
        <v>245</v>
      </c>
      <c r="F21" s="20">
        <f>LEN(G21)</f>
        <v>100</v>
      </c>
      <c r="G21" s="3" t="s">
        <v>296</v>
      </c>
      <c r="H21" s="24" t="s">
        <v>262</v>
      </c>
      <c r="I21" s="3" t="s">
        <v>248</v>
      </c>
      <c r="J21" s="3" t="s">
        <v>154</v>
      </c>
      <c r="K21" s="3" t="s">
        <v>154</v>
      </c>
      <c r="L21" s="3" t="s">
        <v>155</v>
      </c>
      <c r="M21" s="3" t="s">
        <v>249</v>
      </c>
      <c r="N21" s="20">
        <v>5966</v>
      </c>
      <c r="O21" s="5"/>
      <c r="P21" s="3" t="s">
        <v>157</v>
      </c>
      <c r="Q21" s="5"/>
      <c r="R21" s="3" t="s">
        <v>297</v>
      </c>
      <c r="S21" s="3">
        <v>46269</v>
      </c>
      <c r="T21" s="24"/>
      <c r="U21" s="3" t="b">
        <v>0</v>
      </c>
      <c r="V21" s="5"/>
      <c r="W21" s="64"/>
      <c r="X21" s="64"/>
      <c r="Y21" s="64"/>
      <c r="Z21" s="64"/>
      <c r="AA21" s="59" t="s">
        <v>298</v>
      </c>
      <c r="AB21" s="65"/>
      <c r="AC21" s="68"/>
      <c r="AD21" s="65"/>
      <c r="AE21" s="68"/>
      <c r="AF21" s="66"/>
      <c r="AG21" s="68"/>
      <c r="AH21" s="67"/>
      <c r="AI21" s="69"/>
      <c r="AJ21" s="69"/>
      <c r="AK21" s="69"/>
      <c r="AL21" s="86"/>
      <c r="AM21" s="88"/>
      <c r="AN21" s="88"/>
      <c r="AO21" s="88"/>
      <c r="AP21" s="59"/>
      <c r="AQ21" s="68"/>
      <c r="AR21" s="59"/>
      <c r="AS21" s="68"/>
      <c r="AT21" s="59"/>
      <c r="AU21" s="68"/>
    </row>
    <row r="22" spans="1:47" ht="45" customHeight="1">
      <c r="A22" s="3" t="s">
        <v>148</v>
      </c>
      <c r="B22" s="3" t="s">
        <v>149</v>
      </c>
      <c r="C22" s="6" t="s">
        <v>196</v>
      </c>
      <c r="D22" s="3" t="s">
        <v>299</v>
      </c>
      <c r="E22" s="3" t="s">
        <v>300</v>
      </c>
      <c r="F22" s="20">
        <f>LEN(G22)</f>
        <v>86</v>
      </c>
      <c r="G22" s="3" t="s">
        <v>301</v>
      </c>
      <c r="H22" s="24" t="s">
        <v>302</v>
      </c>
      <c r="I22" s="24" t="s">
        <v>248</v>
      </c>
      <c r="J22" s="3" t="s">
        <v>154</v>
      </c>
      <c r="K22" s="3" t="s">
        <v>154</v>
      </c>
      <c r="L22" s="3" t="s">
        <v>155</v>
      </c>
      <c r="M22" s="3" t="s">
        <v>241</v>
      </c>
      <c r="N22" s="20">
        <v>113787</v>
      </c>
      <c r="O22" s="3"/>
      <c r="P22" s="3" t="s">
        <v>157</v>
      </c>
      <c r="Q22" s="5"/>
      <c r="R22" s="3" t="s">
        <v>303</v>
      </c>
      <c r="S22" s="6">
        <v>46273</v>
      </c>
      <c r="T22" s="24"/>
      <c r="U22" s="3" t="b">
        <v>1</v>
      </c>
      <c r="V22" s="5"/>
      <c r="W22" s="64"/>
      <c r="X22" s="64"/>
      <c r="Y22" s="64"/>
      <c r="Z22" s="64"/>
      <c r="AA22" s="59" t="s">
        <v>304</v>
      </c>
      <c r="AB22" s="65"/>
      <c r="AC22" s="68"/>
      <c r="AD22" s="65"/>
      <c r="AE22" s="68"/>
      <c r="AF22" s="66"/>
      <c r="AG22" s="68"/>
      <c r="AH22" s="67"/>
      <c r="AI22" s="69"/>
      <c r="AJ22" s="69"/>
      <c r="AK22" s="69"/>
      <c r="AL22" s="86"/>
      <c r="AM22" s="88"/>
      <c r="AN22" s="88"/>
      <c r="AO22" s="88"/>
      <c r="AP22" s="59"/>
      <c r="AQ22" s="68"/>
      <c r="AR22" s="59"/>
      <c r="AS22" s="68"/>
      <c r="AT22" s="59"/>
      <c r="AU22" s="68"/>
    </row>
    <row r="23" spans="1:47" ht="45" customHeight="1">
      <c r="A23" s="3" t="s">
        <v>148</v>
      </c>
      <c r="B23" s="3" t="s">
        <v>149</v>
      </c>
      <c r="C23" s="6" t="s">
        <v>196</v>
      </c>
      <c r="D23" s="3" t="s">
        <v>305</v>
      </c>
      <c r="E23" s="3" t="s">
        <v>245</v>
      </c>
      <c r="F23" s="20">
        <f>LEN(G23)</f>
        <v>75</v>
      </c>
      <c r="G23" s="3" t="s">
        <v>306</v>
      </c>
      <c r="H23" s="24"/>
      <c r="I23" s="24" t="s">
        <v>282</v>
      </c>
      <c r="J23" s="3" t="s">
        <v>154</v>
      </c>
      <c r="K23" s="3" t="s">
        <v>154</v>
      </c>
      <c r="L23" s="3" t="s">
        <v>155</v>
      </c>
      <c r="M23" s="3" t="s">
        <v>249</v>
      </c>
      <c r="N23" s="20">
        <v>5966</v>
      </c>
      <c r="O23" s="3"/>
      <c r="P23" s="3" t="s">
        <v>157</v>
      </c>
      <c r="Q23" s="3" t="s">
        <v>307</v>
      </c>
      <c r="R23" s="3" t="s">
        <v>308</v>
      </c>
      <c r="S23" s="6">
        <v>46269</v>
      </c>
      <c r="T23" s="24"/>
      <c r="U23" s="3" t="b">
        <v>1</v>
      </c>
      <c r="V23" s="5"/>
      <c r="W23" s="64"/>
      <c r="X23" s="64"/>
      <c r="Y23" s="64"/>
      <c r="Z23" s="64"/>
      <c r="AA23" s="59" t="s">
        <v>309</v>
      </c>
      <c r="AB23" s="65"/>
      <c r="AC23" s="68"/>
      <c r="AD23" s="65"/>
      <c r="AE23" s="68"/>
      <c r="AF23" s="66"/>
      <c r="AG23" s="68"/>
      <c r="AH23" s="67"/>
      <c r="AI23" s="69"/>
      <c r="AJ23" s="69"/>
      <c r="AK23" s="69"/>
      <c r="AL23" s="86"/>
      <c r="AM23" s="88"/>
      <c r="AN23" s="88"/>
      <c r="AO23" s="88"/>
      <c r="AP23" s="59"/>
      <c r="AQ23" s="68"/>
      <c r="AR23" s="59"/>
      <c r="AS23" s="68"/>
      <c r="AT23" s="59"/>
      <c r="AU23" s="68"/>
    </row>
    <row r="24" spans="1:47" ht="45" customHeight="1">
      <c r="A24" s="3" t="s">
        <v>148</v>
      </c>
      <c r="B24" s="3" t="s">
        <v>149</v>
      </c>
      <c r="C24" s="6" t="s">
        <v>196</v>
      </c>
      <c r="D24" s="3" t="s">
        <v>310</v>
      </c>
      <c r="E24" s="3" t="s">
        <v>311</v>
      </c>
      <c r="F24" s="20">
        <f>LEN(G24)</f>
        <v>74</v>
      </c>
      <c r="G24" s="3" t="s">
        <v>312</v>
      </c>
      <c r="H24" s="24" t="s">
        <v>313</v>
      </c>
      <c r="I24" s="3" t="s">
        <v>282</v>
      </c>
      <c r="J24" s="3" t="s">
        <v>154</v>
      </c>
      <c r="K24" s="3" t="s">
        <v>154</v>
      </c>
      <c r="L24" s="3" t="s">
        <v>155</v>
      </c>
      <c r="M24" s="5"/>
      <c r="N24" s="4"/>
      <c r="O24" s="5"/>
      <c r="P24" s="3" t="s">
        <v>157</v>
      </c>
      <c r="Q24" s="5"/>
      <c r="R24" s="3" t="s">
        <v>314</v>
      </c>
      <c r="S24" s="3">
        <v>46273</v>
      </c>
      <c r="T24" s="24"/>
      <c r="U24" s="3" t="b">
        <v>0</v>
      </c>
      <c r="V24" s="5"/>
      <c r="W24" s="64"/>
      <c r="X24" s="64"/>
      <c r="Y24" s="64"/>
      <c r="Z24" s="64"/>
      <c r="AA24" s="59" t="s">
        <v>315</v>
      </c>
      <c r="AB24" s="65"/>
      <c r="AC24" s="68"/>
      <c r="AD24" s="65"/>
      <c r="AE24" s="68"/>
      <c r="AF24" s="66"/>
      <c r="AG24" s="68"/>
      <c r="AH24" s="67"/>
      <c r="AI24" s="69"/>
      <c r="AJ24" s="69"/>
      <c r="AK24" s="69"/>
      <c r="AL24" s="86"/>
      <c r="AM24" s="88"/>
      <c r="AN24" s="88"/>
      <c r="AO24" s="88"/>
      <c r="AP24" s="59"/>
      <c r="AQ24" s="68"/>
      <c r="AR24" s="59"/>
      <c r="AS24" s="68"/>
      <c r="AT24" s="59"/>
      <c r="AU24" s="68"/>
    </row>
    <row r="25" spans="1:47" ht="45" customHeight="1">
      <c r="A25" s="3" t="s">
        <v>148</v>
      </c>
      <c r="B25" s="3" t="s">
        <v>149</v>
      </c>
      <c r="C25" s="6" t="s">
        <v>196</v>
      </c>
      <c r="D25" s="3" t="s">
        <v>316</v>
      </c>
      <c r="E25" s="3" t="s">
        <v>317</v>
      </c>
      <c r="F25" s="20">
        <f>LEN(G25)</f>
        <v>96</v>
      </c>
      <c r="G25" s="3" t="s">
        <v>318</v>
      </c>
      <c r="H25" s="24" t="s">
        <v>319</v>
      </c>
      <c r="I25" s="3" t="s">
        <v>282</v>
      </c>
      <c r="J25" s="3" t="s">
        <v>154</v>
      </c>
      <c r="K25" s="3" t="s">
        <v>154</v>
      </c>
      <c r="L25" s="3" t="s">
        <v>155</v>
      </c>
      <c r="M25" s="5"/>
      <c r="N25" s="4"/>
      <c r="O25" s="5"/>
      <c r="P25" s="3" t="s">
        <v>157</v>
      </c>
      <c r="Q25" s="5"/>
      <c r="R25" s="3" t="s">
        <v>320</v>
      </c>
      <c r="S25" s="3">
        <v>46279</v>
      </c>
      <c r="T25" s="24"/>
      <c r="U25" s="3" t="b">
        <v>0</v>
      </c>
      <c r="V25" s="5"/>
      <c r="W25" s="64"/>
      <c r="X25" s="64"/>
      <c r="Y25" s="64"/>
      <c r="Z25" s="64"/>
      <c r="AA25" s="59" t="s">
        <v>321</v>
      </c>
      <c r="AB25" s="65"/>
      <c r="AC25" s="68"/>
      <c r="AD25" s="65"/>
      <c r="AE25" s="68"/>
      <c r="AF25" s="66"/>
      <c r="AG25" s="68"/>
      <c r="AH25" s="67"/>
      <c r="AI25" s="69"/>
      <c r="AJ25" s="69"/>
      <c r="AK25" s="69"/>
      <c r="AL25" s="86"/>
      <c r="AM25" s="88"/>
      <c r="AN25" s="88"/>
      <c r="AO25" s="88"/>
      <c r="AP25" s="59"/>
      <c r="AQ25" s="68"/>
      <c r="AR25" s="59"/>
      <c r="AS25" s="68"/>
      <c r="AT25" s="59"/>
      <c r="AU25" s="68"/>
    </row>
    <row r="26" spans="1:47" ht="45" customHeight="1">
      <c r="A26" s="3" t="s">
        <v>148</v>
      </c>
      <c r="B26" s="3" t="s">
        <v>149</v>
      </c>
      <c r="C26" s="6" t="s">
        <v>196</v>
      </c>
      <c r="D26" s="3" t="s">
        <v>322</v>
      </c>
      <c r="E26" s="3" t="s">
        <v>323</v>
      </c>
      <c r="F26" s="20">
        <f>LEN(G26)</f>
        <v>88</v>
      </c>
      <c r="G26" s="3" t="s">
        <v>324</v>
      </c>
      <c r="H26" s="24" t="s">
        <v>325</v>
      </c>
      <c r="I26" s="3" t="s">
        <v>282</v>
      </c>
      <c r="J26" s="3" t="s">
        <v>154</v>
      </c>
      <c r="K26" s="3" t="s">
        <v>154</v>
      </c>
      <c r="L26" s="3" t="s">
        <v>155</v>
      </c>
      <c r="M26" s="5"/>
      <c r="N26" s="4"/>
      <c r="O26" s="5"/>
      <c r="P26" s="3" t="s">
        <v>157</v>
      </c>
      <c r="Q26" s="5"/>
      <c r="R26" s="3" t="s">
        <v>326</v>
      </c>
      <c r="S26" s="3">
        <v>46279</v>
      </c>
      <c r="T26" s="24"/>
      <c r="U26" s="3" t="b">
        <v>0</v>
      </c>
      <c r="V26" s="5"/>
      <c r="W26" s="64"/>
      <c r="X26" s="64"/>
      <c r="Y26" s="64"/>
      <c r="Z26" s="64"/>
      <c r="AA26" s="59" t="s">
        <v>327</v>
      </c>
      <c r="AB26" s="65"/>
      <c r="AC26" s="68"/>
      <c r="AD26" s="65"/>
      <c r="AE26" s="68"/>
      <c r="AF26" s="66"/>
      <c r="AG26" s="68"/>
      <c r="AH26" s="67"/>
      <c r="AI26" s="69"/>
      <c r="AJ26" s="69"/>
      <c r="AK26" s="69"/>
      <c r="AL26" s="86"/>
      <c r="AM26" s="88"/>
      <c r="AN26" s="88"/>
      <c r="AO26" s="88"/>
      <c r="AP26" s="59"/>
      <c r="AQ26" s="68"/>
      <c r="AR26" s="59"/>
      <c r="AS26" s="68"/>
      <c r="AT26" s="59"/>
      <c r="AU26" s="68"/>
    </row>
    <row r="27" spans="1:47" ht="45" customHeight="1">
      <c r="A27" s="3" t="s">
        <v>148</v>
      </c>
      <c r="B27" s="3" t="s">
        <v>149</v>
      </c>
      <c r="C27" s="6" t="s">
        <v>196</v>
      </c>
      <c r="D27" s="3" t="s">
        <v>328</v>
      </c>
      <c r="E27" s="3" t="s">
        <v>323</v>
      </c>
      <c r="F27" s="20">
        <f>LEN(G27)</f>
        <v>89</v>
      </c>
      <c r="G27" s="3" t="s">
        <v>329</v>
      </c>
      <c r="H27" s="24" t="s">
        <v>325</v>
      </c>
      <c r="I27" s="3" t="s">
        <v>330</v>
      </c>
      <c r="J27" s="3" t="s">
        <v>154</v>
      </c>
      <c r="K27" s="3" t="s">
        <v>154</v>
      </c>
      <c r="L27" s="3" t="s">
        <v>155</v>
      </c>
      <c r="M27" s="3" t="s">
        <v>241</v>
      </c>
      <c r="N27" s="20">
        <v>113787</v>
      </c>
      <c r="O27" s="5"/>
      <c r="P27" s="3" t="s">
        <v>157</v>
      </c>
      <c r="Q27" s="5"/>
      <c r="R27" s="3" t="s">
        <v>331</v>
      </c>
      <c r="S27" s="3">
        <v>46279</v>
      </c>
      <c r="T27" s="24"/>
      <c r="U27" s="3" t="b">
        <v>0</v>
      </c>
      <c r="V27" s="5"/>
      <c r="W27" s="64"/>
      <c r="X27" s="64"/>
      <c r="Y27" s="64"/>
      <c r="Z27" s="64"/>
      <c r="AA27" s="59" t="s">
        <v>332</v>
      </c>
      <c r="AB27" s="65"/>
      <c r="AC27" s="68"/>
      <c r="AD27" s="65"/>
      <c r="AE27" s="68"/>
      <c r="AF27" s="66"/>
      <c r="AG27" s="68"/>
      <c r="AH27" s="67"/>
      <c r="AI27" s="69"/>
      <c r="AJ27" s="69"/>
      <c r="AK27" s="69"/>
      <c r="AL27" s="86"/>
      <c r="AM27" s="88"/>
      <c r="AN27" s="88"/>
      <c r="AO27" s="88"/>
      <c r="AP27" s="59"/>
      <c r="AQ27" s="68"/>
      <c r="AR27" s="59"/>
      <c r="AS27" s="68"/>
      <c r="AT27" s="59"/>
      <c r="AU27" s="68"/>
    </row>
    <row r="28" spans="1:47" ht="45" customHeight="1">
      <c r="A28" s="3" t="s">
        <v>148</v>
      </c>
      <c r="B28" s="3" t="s">
        <v>149</v>
      </c>
      <c r="C28" s="6" t="s">
        <v>196</v>
      </c>
      <c r="D28" s="3" t="s">
        <v>333</v>
      </c>
      <c r="E28" s="3" t="s">
        <v>334</v>
      </c>
      <c r="F28" s="20">
        <f>LEN(G28)</f>
        <v>90</v>
      </c>
      <c r="G28" s="3" t="s">
        <v>335</v>
      </c>
      <c r="H28" s="24" t="s">
        <v>336</v>
      </c>
      <c r="I28" s="24" t="s">
        <v>337</v>
      </c>
      <c r="J28" s="3" t="s">
        <v>154</v>
      </c>
      <c r="K28" s="3" t="s">
        <v>154</v>
      </c>
      <c r="L28" s="3" t="s">
        <v>155</v>
      </c>
      <c r="M28" s="3" t="s">
        <v>338</v>
      </c>
      <c r="N28" s="20">
        <v>6906</v>
      </c>
      <c r="O28" s="3"/>
      <c r="P28" s="3" t="s">
        <v>157</v>
      </c>
      <c r="Q28" s="5"/>
      <c r="R28" s="3" t="s">
        <v>339</v>
      </c>
      <c r="S28" s="6">
        <v>46281</v>
      </c>
      <c r="T28" s="24"/>
      <c r="U28" s="3" t="b">
        <v>1</v>
      </c>
      <c r="V28" s="5"/>
      <c r="W28" s="64"/>
      <c r="X28" s="64"/>
      <c r="Y28" s="64"/>
      <c r="Z28" s="64"/>
      <c r="AA28" s="59" t="s">
        <v>340</v>
      </c>
      <c r="AB28" s="65"/>
      <c r="AC28" s="68"/>
      <c r="AD28" s="65"/>
      <c r="AE28" s="68"/>
      <c r="AF28" s="66"/>
      <c r="AG28" s="68"/>
      <c r="AH28" s="67"/>
      <c r="AI28" s="69"/>
      <c r="AJ28" s="69"/>
      <c r="AK28" s="69"/>
      <c r="AL28" s="86"/>
      <c r="AM28" s="88"/>
      <c r="AN28" s="88"/>
      <c r="AO28" s="88"/>
      <c r="AP28" s="59"/>
      <c r="AQ28" s="68"/>
      <c r="AR28" s="59"/>
      <c r="AS28" s="68"/>
      <c r="AT28" s="59"/>
      <c r="AU28" s="68"/>
    </row>
    <row r="29" spans="1:47" ht="45" customHeight="1">
      <c r="A29" s="3" t="s">
        <v>148</v>
      </c>
      <c r="B29" s="3" t="s">
        <v>149</v>
      </c>
      <c r="C29" s="6" t="s">
        <v>196</v>
      </c>
      <c r="D29" s="3" t="s">
        <v>341</v>
      </c>
      <c r="E29" s="3" t="s">
        <v>279</v>
      </c>
      <c r="F29" s="20">
        <f>LEN(G29)</f>
        <v>57</v>
      </c>
      <c r="G29" s="3" t="s">
        <v>342</v>
      </c>
      <c r="H29" s="24" t="s">
        <v>343</v>
      </c>
      <c r="I29" s="24" t="s">
        <v>344</v>
      </c>
      <c r="J29" s="3" t="s">
        <v>154</v>
      </c>
      <c r="K29" s="3" t="s">
        <v>154</v>
      </c>
      <c r="L29" s="3" t="s">
        <v>155</v>
      </c>
      <c r="M29" s="5"/>
      <c r="N29" s="4"/>
      <c r="O29" s="3"/>
      <c r="P29" s="3" t="s">
        <v>157</v>
      </c>
      <c r="Q29" s="5"/>
      <c r="R29" s="3" t="s">
        <v>345</v>
      </c>
      <c r="S29" s="6">
        <v>46272</v>
      </c>
      <c r="T29" s="24"/>
      <c r="U29" s="3" t="b">
        <v>1</v>
      </c>
      <c r="V29" s="5"/>
      <c r="W29" s="64"/>
      <c r="X29" s="64"/>
      <c r="Y29" s="64"/>
      <c r="Z29" s="64"/>
      <c r="AA29" s="59" t="s">
        <v>346</v>
      </c>
      <c r="AB29" s="65"/>
      <c r="AC29" s="68"/>
      <c r="AD29" s="65"/>
      <c r="AE29" s="68"/>
      <c r="AF29" s="66"/>
      <c r="AG29" s="68"/>
      <c r="AH29" s="67"/>
      <c r="AI29" s="69"/>
      <c r="AJ29" s="69"/>
      <c r="AK29" s="69"/>
      <c r="AL29" s="86"/>
      <c r="AM29" s="88"/>
      <c r="AN29" s="88"/>
      <c r="AO29" s="88"/>
      <c r="AP29" s="59"/>
      <c r="AQ29" s="68"/>
      <c r="AR29" s="59"/>
      <c r="AS29" s="68"/>
      <c r="AT29" s="59"/>
      <c r="AU29" s="68"/>
    </row>
    <row r="30" spans="1:47" ht="45" customHeight="1">
      <c r="A30" s="3" t="s">
        <v>148</v>
      </c>
      <c r="B30" s="3" t="s">
        <v>149</v>
      </c>
      <c r="C30" s="6" t="s">
        <v>196</v>
      </c>
      <c r="D30" s="3" t="s">
        <v>347</v>
      </c>
      <c r="E30" s="3" t="s">
        <v>245</v>
      </c>
      <c r="F30" s="20">
        <f>LEN(G30)</f>
        <v>71</v>
      </c>
      <c r="G30" s="3" t="s">
        <v>348</v>
      </c>
      <c r="H30" s="24" t="s">
        <v>349</v>
      </c>
      <c r="I30" s="24" t="s">
        <v>350</v>
      </c>
      <c r="J30" s="3" t="s">
        <v>154</v>
      </c>
      <c r="K30" s="3" t="s">
        <v>154</v>
      </c>
      <c r="L30" s="3" t="s">
        <v>155</v>
      </c>
      <c r="M30" s="3" t="s">
        <v>249</v>
      </c>
      <c r="N30" s="20">
        <v>5966</v>
      </c>
      <c r="O30" s="3"/>
      <c r="P30" s="3" t="s">
        <v>157</v>
      </c>
      <c r="Q30" s="5"/>
      <c r="R30" s="3" t="s">
        <v>351</v>
      </c>
      <c r="S30" s="6">
        <v>46269</v>
      </c>
      <c r="T30" s="24"/>
      <c r="U30" s="3" t="b">
        <v>1</v>
      </c>
      <c r="V30" s="5"/>
      <c r="W30" s="64"/>
      <c r="X30" s="64"/>
      <c r="Y30" s="64"/>
      <c r="Z30" s="64"/>
      <c r="AA30" s="59" t="s">
        <v>352</v>
      </c>
      <c r="AB30" s="65"/>
      <c r="AC30" s="68"/>
      <c r="AD30" s="65"/>
      <c r="AE30" s="68"/>
      <c r="AF30" s="66"/>
      <c r="AG30" s="68"/>
      <c r="AH30" s="67"/>
      <c r="AI30" s="69"/>
      <c r="AJ30" s="69"/>
      <c r="AK30" s="69"/>
      <c r="AL30" s="86"/>
      <c r="AM30" s="88"/>
      <c r="AN30" s="88"/>
      <c r="AO30" s="88"/>
      <c r="AP30" s="59"/>
      <c r="AQ30" s="68"/>
      <c r="AR30" s="59"/>
      <c r="AS30" s="68"/>
      <c r="AT30" s="59"/>
      <c r="AU30" s="68"/>
    </row>
    <row r="31" spans="1:47" ht="45" customHeight="1">
      <c r="A31" s="3" t="s">
        <v>148</v>
      </c>
      <c r="B31" s="3" t="s">
        <v>149</v>
      </c>
      <c r="C31" s="6" t="s">
        <v>196</v>
      </c>
      <c r="D31" s="3" t="s">
        <v>353</v>
      </c>
      <c r="E31" s="3" t="s">
        <v>245</v>
      </c>
      <c r="F31" s="20">
        <f>LEN(G31)</f>
        <v>62</v>
      </c>
      <c r="G31" s="3" t="s">
        <v>354</v>
      </c>
      <c r="H31" s="24" t="s">
        <v>349</v>
      </c>
      <c r="I31" s="24" t="s">
        <v>350</v>
      </c>
      <c r="J31" s="3" t="s">
        <v>154</v>
      </c>
      <c r="K31" s="3" t="s">
        <v>154</v>
      </c>
      <c r="L31" s="3" t="s">
        <v>155</v>
      </c>
      <c r="M31" s="3" t="s">
        <v>249</v>
      </c>
      <c r="N31" s="20">
        <v>5966</v>
      </c>
      <c r="O31" s="3"/>
      <c r="P31" s="3" t="s">
        <v>157</v>
      </c>
      <c r="Q31" s="5"/>
      <c r="R31" s="3" t="s">
        <v>355</v>
      </c>
      <c r="S31" s="6">
        <v>46269</v>
      </c>
      <c r="T31" s="24"/>
      <c r="U31" s="3" t="b">
        <v>1</v>
      </c>
      <c r="V31" s="5"/>
      <c r="W31" s="64"/>
      <c r="X31" s="64"/>
      <c r="Y31" s="64"/>
      <c r="Z31" s="64"/>
      <c r="AA31" s="59" t="s">
        <v>356</v>
      </c>
      <c r="AB31" s="65"/>
      <c r="AC31" s="68"/>
      <c r="AD31" s="65"/>
      <c r="AE31" s="68"/>
      <c r="AF31" s="66"/>
      <c r="AG31" s="68"/>
      <c r="AH31" s="67"/>
      <c r="AI31" s="69"/>
      <c r="AJ31" s="69"/>
      <c r="AK31" s="69"/>
      <c r="AL31" s="86"/>
      <c r="AM31" s="88"/>
      <c r="AN31" s="88"/>
      <c r="AO31" s="88"/>
      <c r="AP31" s="59"/>
      <c r="AQ31" s="68"/>
      <c r="AR31" s="59"/>
      <c r="AS31" s="68"/>
      <c r="AT31" s="59"/>
      <c r="AU31" s="68"/>
    </row>
    <row r="32" spans="1:47" ht="45" customHeight="1">
      <c r="A32" s="3" t="s">
        <v>148</v>
      </c>
      <c r="B32" s="3" t="s">
        <v>149</v>
      </c>
      <c r="C32" s="6" t="s">
        <v>196</v>
      </c>
      <c r="D32" s="3" t="s">
        <v>357</v>
      </c>
      <c r="E32" s="3" t="s">
        <v>245</v>
      </c>
      <c r="F32" s="20">
        <f>LEN(G32)</f>
        <v>70</v>
      </c>
      <c r="G32" s="3" t="s">
        <v>358</v>
      </c>
      <c r="H32" s="24" t="s">
        <v>359</v>
      </c>
      <c r="I32" s="24" t="s">
        <v>350</v>
      </c>
      <c r="J32" s="3" t="s">
        <v>154</v>
      </c>
      <c r="K32" s="3" t="s">
        <v>154</v>
      </c>
      <c r="L32" s="3" t="s">
        <v>155</v>
      </c>
      <c r="M32" s="3" t="s">
        <v>249</v>
      </c>
      <c r="N32" s="20">
        <v>5966</v>
      </c>
      <c r="O32" s="3"/>
      <c r="P32" s="3" t="s">
        <v>157</v>
      </c>
      <c r="Q32" s="5"/>
      <c r="R32" s="3" t="s">
        <v>360</v>
      </c>
      <c r="S32" s="6">
        <v>46272</v>
      </c>
      <c r="T32" s="24"/>
      <c r="U32" s="3" t="b">
        <v>1</v>
      </c>
      <c r="V32" s="5"/>
      <c r="W32" s="64"/>
      <c r="X32" s="64"/>
      <c r="Y32" s="64"/>
      <c r="Z32" s="64"/>
      <c r="AA32" s="59" t="s">
        <v>361</v>
      </c>
      <c r="AB32" s="65"/>
      <c r="AC32" s="68"/>
      <c r="AD32" s="65"/>
      <c r="AE32" s="68"/>
      <c r="AF32" s="66"/>
      <c r="AG32" s="68"/>
      <c r="AH32" s="67"/>
      <c r="AI32" s="69"/>
      <c r="AJ32" s="69"/>
      <c r="AK32" s="69"/>
      <c r="AL32" s="86"/>
      <c r="AM32" s="88"/>
      <c r="AN32" s="88"/>
      <c r="AO32" s="88"/>
      <c r="AP32" s="59"/>
      <c r="AQ32" s="68"/>
      <c r="AR32" s="59"/>
      <c r="AS32" s="68"/>
      <c r="AT32" s="59"/>
      <c r="AU32" s="68"/>
    </row>
    <row r="33" spans="1:47" ht="45" customHeight="1">
      <c r="A33" s="3" t="s">
        <v>148</v>
      </c>
      <c r="B33" s="3" t="s">
        <v>149</v>
      </c>
      <c r="C33" s="6" t="s">
        <v>196</v>
      </c>
      <c r="D33" s="3" t="s">
        <v>362</v>
      </c>
      <c r="E33" s="3" t="s">
        <v>363</v>
      </c>
      <c r="F33" s="20">
        <f>LEN(G33)</f>
        <v>71</v>
      </c>
      <c r="G33" s="3" t="s">
        <v>364</v>
      </c>
      <c r="H33" s="24" t="s">
        <v>281</v>
      </c>
      <c r="I33" s="24" t="s">
        <v>350</v>
      </c>
      <c r="J33" s="3" t="s">
        <v>154</v>
      </c>
      <c r="K33" s="3" t="s">
        <v>154</v>
      </c>
      <c r="L33" s="3" t="s">
        <v>155</v>
      </c>
      <c r="M33" s="5"/>
      <c r="N33" s="4"/>
      <c r="O33" s="3"/>
      <c r="P33" s="3" t="s">
        <v>157</v>
      </c>
      <c r="Q33" s="5"/>
      <c r="R33" s="3" t="s">
        <v>365</v>
      </c>
      <c r="S33" s="6">
        <v>46272</v>
      </c>
      <c r="T33" s="24"/>
      <c r="U33" s="3" t="b">
        <v>1</v>
      </c>
      <c r="V33" s="5"/>
      <c r="W33" s="64"/>
      <c r="X33" s="64"/>
      <c r="Y33" s="64"/>
      <c r="Z33" s="64"/>
      <c r="AA33" s="59" t="s">
        <v>366</v>
      </c>
      <c r="AB33" s="65"/>
      <c r="AC33" s="68"/>
      <c r="AD33" s="65"/>
      <c r="AE33" s="68"/>
      <c r="AF33" s="66"/>
      <c r="AG33" s="68"/>
      <c r="AH33" s="67"/>
      <c r="AI33" s="69"/>
      <c r="AJ33" s="69"/>
      <c r="AK33" s="69"/>
      <c r="AL33" s="86"/>
      <c r="AM33" s="88"/>
      <c r="AN33" s="88"/>
      <c r="AO33" s="88"/>
      <c r="AP33" s="59"/>
      <c r="AQ33" s="68"/>
      <c r="AR33" s="59"/>
      <c r="AS33" s="68"/>
      <c r="AT33" s="59"/>
      <c r="AU33" s="68"/>
    </row>
    <row r="34" spans="1:47" ht="45" customHeight="1">
      <c r="A34" s="3" t="s">
        <v>148</v>
      </c>
      <c r="B34" s="3" t="s">
        <v>149</v>
      </c>
      <c r="C34" s="6" t="s">
        <v>196</v>
      </c>
      <c r="D34" s="3" t="s">
        <v>367</v>
      </c>
      <c r="E34" s="3" t="s">
        <v>368</v>
      </c>
      <c r="F34" s="20">
        <f>LEN(G34)</f>
        <v>73</v>
      </c>
      <c r="G34" s="3" t="s">
        <v>369</v>
      </c>
      <c r="H34" s="24" t="s">
        <v>370</v>
      </c>
      <c r="I34" s="5"/>
      <c r="J34" s="3" t="s">
        <v>154</v>
      </c>
      <c r="K34" s="3" t="s">
        <v>154</v>
      </c>
      <c r="L34" s="3" t="s">
        <v>155</v>
      </c>
      <c r="M34" s="3" t="s">
        <v>371</v>
      </c>
      <c r="N34" s="20">
        <v>5985</v>
      </c>
      <c r="O34" s="5"/>
      <c r="P34" s="3" t="s">
        <v>157</v>
      </c>
      <c r="Q34" s="5"/>
      <c r="R34" s="3" t="s">
        <v>372</v>
      </c>
      <c r="S34" s="3">
        <v>46279</v>
      </c>
      <c r="T34" s="24"/>
      <c r="U34" s="3" t="b">
        <v>0</v>
      </c>
      <c r="V34" s="5"/>
      <c r="W34" s="64"/>
      <c r="X34" s="64"/>
      <c r="Y34" s="64"/>
      <c r="Z34" s="64"/>
      <c r="AA34" s="59" t="s">
        <v>373</v>
      </c>
      <c r="AB34" s="65"/>
      <c r="AC34" s="68"/>
      <c r="AD34" s="65"/>
      <c r="AE34" s="68"/>
      <c r="AF34" s="66"/>
      <c r="AG34" s="68"/>
      <c r="AH34" s="67"/>
      <c r="AI34" s="69"/>
      <c r="AJ34" s="69"/>
      <c r="AK34" s="69"/>
      <c r="AL34" s="86"/>
      <c r="AM34" s="88"/>
      <c r="AN34" s="88"/>
      <c r="AO34" s="88"/>
      <c r="AP34" s="59"/>
      <c r="AQ34" s="68"/>
      <c r="AR34" s="59"/>
      <c r="AS34" s="68"/>
      <c r="AT34" s="59"/>
      <c r="AU34" s="68"/>
    </row>
    <row r="35" spans="1:47" ht="45" customHeight="1">
      <c r="A35" s="3" t="s">
        <v>148</v>
      </c>
      <c r="B35" s="3" t="s">
        <v>149</v>
      </c>
      <c r="C35" s="6" t="s">
        <v>196</v>
      </c>
      <c r="D35" s="3" t="s">
        <v>374</v>
      </c>
      <c r="E35" s="3" t="s">
        <v>375</v>
      </c>
      <c r="F35" s="20">
        <f>LEN(G35)</f>
        <v>74</v>
      </c>
      <c r="G35" s="3" t="s">
        <v>376</v>
      </c>
      <c r="H35" s="24" t="s">
        <v>377</v>
      </c>
      <c r="I35" s="5"/>
      <c r="J35" s="3" t="s">
        <v>154</v>
      </c>
      <c r="K35" s="3" t="s">
        <v>154</v>
      </c>
      <c r="L35" s="3" t="s">
        <v>155</v>
      </c>
      <c r="M35" s="3" t="s">
        <v>378</v>
      </c>
      <c r="N35" s="20">
        <v>11783</v>
      </c>
      <c r="O35" s="5"/>
      <c r="P35" s="3" t="s">
        <v>157</v>
      </c>
      <c r="Q35" s="5"/>
      <c r="R35" s="3" t="s">
        <v>379</v>
      </c>
      <c r="S35" s="3">
        <v>46279</v>
      </c>
      <c r="T35" s="24"/>
      <c r="U35" s="3" t="b">
        <v>0</v>
      </c>
      <c r="V35" s="5"/>
      <c r="W35" s="64"/>
      <c r="X35" s="64"/>
      <c r="Y35" s="64"/>
      <c r="Z35" s="64"/>
      <c r="AA35" s="59" t="s">
        <v>380</v>
      </c>
      <c r="AB35" s="65"/>
      <c r="AC35" s="68"/>
      <c r="AD35" s="65"/>
      <c r="AE35" s="68"/>
      <c r="AF35" s="66"/>
      <c r="AG35" s="68"/>
      <c r="AH35" s="67"/>
      <c r="AI35" s="69"/>
      <c r="AJ35" s="69"/>
      <c r="AK35" s="69"/>
      <c r="AL35" s="86"/>
      <c r="AM35" s="88"/>
      <c r="AN35" s="88"/>
      <c r="AO35" s="88"/>
      <c r="AP35" s="59"/>
      <c r="AQ35" s="68"/>
      <c r="AR35" s="59"/>
      <c r="AS35" s="68"/>
      <c r="AT35" s="59"/>
      <c r="AU35" s="68"/>
    </row>
    <row r="36" spans="1:47" ht="45" customHeight="1">
      <c r="A36" s="3" t="s">
        <v>148</v>
      </c>
      <c r="B36" s="3" t="s">
        <v>149</v>
      </c>
      <c r="C36" s="6" t="s">
        <v>196</v>
      </c>
      <c r="D36" s="3" t="s">
        <v>381</v>
      </c>
      <c r="E36" s="3" t="s">
        <v>375</v>
      </c>
      <c r="F36" s="20">
        <f>LEN(G36)</f>
        <v>61</v>
      </c>
      <c r="G36" s="3" t="s">
        <v>382</v>
      </c>
      <c r="H36" s="24" t="s">
        <v>383</v>
      </c>
      <c r="I36" s="5"/>
      <c r="J36" s="3" t="s">
        <v>154</v>
      </c>
      <c r="K36" s="3" t="s">
        <v>154</v>
      </c>
      <c r="L36" s="3" t="s">
        <v>155</v>
      </c>
      <c r="M36" s="3" t="s">
        <v>378</v>
      </c>
      <c r="N36" s="20">
        <v>11783</v>
      </c>
      <c r="O36" s="5"/>
      <c r="P36" s="3" t="s">
        <v>157</v>
      </c>
      <c r="Q36" s="5"/>
      <c r="R36" s="3" t="s">
        <v>384</v>
      </c>
      <c r="S36" s="3">
        <v>46279</v>
      </c>
      <c r="T36" s="24"/>
      <c r="U36" s="3" t="b">
        <v>0</v>
      </c>
      <c r="V36" s="5"/>
      <c r="W36" s="64"/>
      <c r="X36" s="64"/>
      <c r="Y36" s="64"/>
      <c r="Z36" s="64"/>
      <c r="AA36" s="59" t="s">
        <v>385</v>
      </c>
      <c r="AB36" s="65"/>
      <c r="AC36" s="68"/>
      <c r="AD36" s="65"/>
      <c r="AE36" s="68"/>
      <c r="AF36" s="66"/>
      <c r="AG36" s="68"/>
      <c r="AH36" s="67"/>
      <c r="AI36" s="69"/>
      <c r="AJ36" s="69"/>
      <c r="AK36" s="69"/>
      <c r="AL36" s="86"/>
      <c r="AM36" s="88"/>
      <c r="AN36" s="88"/>
      <c r="AO36" s="88"/>
      <c r="AP36" s="59"/>
      <c r="AQ36" s="68"/>
      <c r="AR36" s="59"/>
      <c r="AS36" s="68"/>
      <c r="AT36" s="59"/>
      <c r="AU36" s="68"/>
    </row>
    <row r="37" spans="1:47" ht="45" customHeight="1">
      <c r="A37" s="3" t="s">
        <v>148</v>
      </c>
      <c r="B37" s="3" t="s">
        <v>149</v>
      </c>
      <c r="C37" s="6" t="s">
        <v>196</v>
      </c>
      <c r="D37" s="3" t="s">
        <v>386</v>
      </c>
      <c r="E37" s="3" t="s">
        <v>387</v>
      </c>
      <c r="F37" s="20">
        <f>LEN(G37)</f>
        <v>76</v>
      </c>
      <c r="G37" s="3" t="s">
        <v>388</v>
      </c>
      <c r="H37" s="24" t="s">
        <v>389</v>
      </c>
      <c r="I37" s="5"/>
      <c r="J37" s="3" t="s">
        <v>154</v>
      </c>
      <c r="K37" s="3" t="s">
        <v>154</v>
      </c>
      <c r="L37" s="3" t="s">
        <v>155</v>
      </c>
      <c r="M37" s="3" t="s">
        <v>241</v>
      </c>
      <c r="N37" s="20">
        <v>113787</v>
      </c>
      <c r="O37" s="5"/>
      <c r="P37" s="3" t="s">
        <v>157</v>
      </c>
      <c r="Q37" s="5"/>
      <c r="R37" s="3" t="s">
        <v>390</v>
      </c>
      <c r="S37" s="5"/>
      <c r="T37" s="24" t="s">
        <v>391</v>
      </c>
      <c r="U37" s="3" t="b">
        <v>0</v>
      </c>
      <c r="V37" s="5"/>
      <c r="W37" s="64"/>
      <c r="X37" s="64"/>
      <c r="Y37" s="64"/>
      <c r="Z37" s="64"/>
      <c r="AA37" s="59" t="s">
        <v>392</v>
      </c>
      <c r="AB37" s="65"/>
      <c r="AC37" s="68"/>
      <c r="AD37" s="65"/>
      <c r="AE37" s="68"/>
      <c r="AF37" s="66"/>
      <c r="AG37" s="68"/>
      <c r="AH37" s="67"/>
      <c r="AI37" s="69"/>
      <c r="AJ37" s="69"/>
      <c r="AK37" s="69"/>
      <c r="AL37" s="86"/>
      <c r="AM37" s="88"/>
      <c r="AN37" s="88"/>
      <c r="AO37" s="88"/>
      <c r="AP37" s="59"/>
      <c r="AQ37" s="68"/>
      <c r="AR37" s="59"/>
      <c r="AS37" s="68"/>
      <c r="AT37" s="59"/>
      <c r="AU37" s="68"/>
    </row>
    <row r="38" spans="1:47" ht="45" customHeight="1">
      <c r="A38" s="3" t="s">
        <v>148</v>
      </c>
      <c r="B38" s="3" t="s">
        <v>149</v>
      </c>
      <c r="C38" s="6" t="s">
        <v>196</v>
      </c>
      <c r="D38" s="3" t="s">
        <v>393</v>
      </c>
      <c r="E38" s="3" t="s">
        <v>387</v>
      </c>
      <c r="F38" s="20">
        <f>LEN(G38)</f>
        <v>79</v>
      </c>
      <c r="G38" s="3" t="s">
        <v>394</v>
      </c>
      <c r="H38" s="24" t="s">
        <v>389</v>
      </c>
      <c r="I38" s="5"/>
      <c r="J38" s="3" t="s">
        <v>154</v>
      </c>
      <c r="K38" s="3" t="s">
        <v>154</v>
      </c>
      <c r="L38" s="3" t="s">
        <v>155</v>
      </c>
      <c r="M38" s="3" t="s">
        <v>241</v>
      </c>
      <c r="N38" s="20">
        <v>113787</v>
      </c>
      <c r="O38" s="5"/>
      <c r="P38" s="3" t="s">
        <v>157</v>
      </c>
      <c r="Q38" s="5"/>
      <c r="R38" s="3" t="s">
        <v>395</v>
      </c>
      <c r="S38" s="5"/>
      <c r="T38" s="24" t="s">
        <v>396</v>
      </c>
      <c r="U38" s="3" t="b">
        <v>0</v>
      </c>
      <c r="V38" s="5"/>
      <c r="W38" s="64"/>
      <c r="X38" s="64"/>
      <c r="Y38" s="64"/>
      <c r="Z38" s="64"/>
      <c r="AA38" s="59" t="s">
        <v>397</v>
      </c>
      <c r="AB38" s="65"/>
      <c r="AC38" s="68"/>
      <c r="AD38" s="65"/>
      <c r="AE38" s="68"/>
      <c r="AF38" s="66"/>
      <c r="AG38" s="68"/>
      <c r="AH38" s="67"/>
      <c r="AI38" s="69"/>
      <c r="AJ38" s="69"/>
      <c r="AK38" s="69"/>
      <c r="AL38" s="86"/>
      <c r="AM38" s="88"/>
      <c r="AN38" s="88"/>
      <c r="AO38" s="88"/>
      <c r="AP38" s="59"/>
      <c r="AQ38" s="68"/>
      <c r="AR38" s="59"/>
      <c r="AS38" s="68"/>
      <c r="AT38" s="59"/>
      <c r="AU38" s="68"/>
    </row>
    <row r="39" spans="1:47" ht="45" customHeight="1">
      <c r="A39" s="3" t="s">
        <v>148</v>
      </c>
      <c r="B39" s="3" t="s">
        <v>149</v>
      </c>
      <c r="C39" s="6" t="s">
        <v>196</v>
      </c>
      <c r="D39" s="3" t="s">
        <v>398</v>
      </c>
      <c r="E39" s="3" t="s">
        <v>399</v>
      </c>
      <c r="F39" s="20">
        <f>LEN(G39)</f>
        <v>49</v>
      </c>
      <c r="G39" s="3" t="s">
        <v>400</v>
      </c>
      <c r="H39" s="24" t="s">
        <v>401</v>
      </c>
      <c r="I39" s="24"/>
      <c r="J39" s="3" t="s">
        <v>154</v>
      </c>
      <c r="K39" s="3" t="s">
        <v>154</v>
      </c>
      <c r="L39" s="3" t="s">
        <v>155</v>
      </c>
      <c r="M39" s="5"/>
      <c r="N39" s="4"/>
      <c r="O39" s="3"/>
      <c r="P39" s="3" t="s">
        <v>157</v>
      </c>
      <c r="Q39" s="5"/>
      <c r="R39" s="3" t="s">
        <v>402</v>
      </c>
      <c r="S39" s="6">
        <v>46273</v>
      </c>
      <c r="T39" s="24"/>
      <c r="U39" s="3" t="b">
        <v>1</v>
      </c>
      <c r="V39" s="5"/>
      <c r="W39" s="64"/>
      <c r="X39" s="64"/>
      <c r="Y39" s="64"/>
      <c r="Z39" s="64"/>
      <c r="AA39" s="59" t="s">
        <v>403</v>
      </c>
      <c r="AB39" s="65"/>
      <c r="AC39" s="68"/>
      <c r="AD39" s="65"/>
      <c r="AE39" s="68"/>
      <c r="AF39" s="66"/>
      <c r="AG39" s="68"/>
      <c r="AH39" s="67"/>
      <c r="AI39" s="69"/>
      <c r="AJ39" s="69"/>
      <c r="AK39" s="69"/>
      <c r="AL39" s="86"/>
      <c r="AM39" s="88"/>
      <c r="AN39" s="88"/>
      <c r="AO39" s="88"/>
      <c r="AP39" s="59"/>
      <c r="AQ39" s="68"/>
      <c r="AR39" s="59"/>
      <c r="AS39" s="68"/>
      <c r="AT39" s="59"/>
      <c r="AU39" s="68"/>
    </row>
    <row r="40" spans="1:47" ht="45" customHeight="1">
      <c r="A40" s="3" t="s">
        <v>148</v>
      </c>
      <c r="B40" s="3" t="s">
        <v>149</v>
      </c>
      <c r="C40" s="6" t="s">
        <v>196</v>
      </c>
      <c r="D40" s="3" t="s">
        <v>404</v>
      </c>
      <c r="E40" s="3" t="s">
        <v>399</v>
      </c>
      <c r="F40" s="20">
        <f>LEN(G40)</f>
        <v>50</v>
      </c>
      <c r="G40" s="3" t="s">
        <v>405</v>
      </c>
      <c r="H40" s="24" t="s">
        <v>401</v>
      </c>
      <c r="I40" s="24"/>
      <c r="J40" s="3" t="s">
        <v>154</v>
      </c>
      <c r="K40" s="3" t="s">
        <v>154</v>
      </c>
      <c r="L40" s="3" t="s">
        <v>155</v>
      </c>
      <c r="M40" s="5"/>
      <c r="N40" s="4"/>
      <c r="O40" s="3"/>
      <c r="P40" s="3" t="s">
        <v>157</v>
      </c>
      <c r="Q40" s="5"/>
      <c r="R40" s="3" t="s">
        <v>406</v>
      </c>
      <c r="S40" s="6">
        <v>46274</v>
      </c>
      <c r="T40" s="24"/>
      <c r="U40" s="3" t="b">
        <v>1</v>
      </c>
      <c r="V40" s="5"/>
      <c r="W40" s="64"/>
      <c r="X40" s="64"/>
      <c r="Y40" s="64"/>
      <c r="Z40" s="64"/>
      <c r="AA40" s="59" t="s">
        <v>407</v>
      </c>
      <c r="AB40" s="65"/>
      <c r="AC40" s="68"/>
      <c r="AD40" s="65"/>
      <c r="AE40" s="68"/>
      <c r="AF40" s="66"/>
      <c r="AG40" s="68"/>
      <c r="AH40" s="67"/>
      <c r="AI40" s="69"/>
      <c r="AJ40" s="69"/>
      <c r="AK40" s="69"/>
      <c r="AL40" s="86"/>
      <c r="AM40" s="88"/>
      <c r="AN40" s="88"/>
      <c r="AO40" s="88"/>
      <c r="AP40" s="59"/>
      <c r="AQ40" s="68"/>
      <c r="AR40" s="59"/>
      <c r="AS40" s="68"/>
      <c r="AT40" s="59"/>
      <c r="AU40" s="68"/>
    </row>
    <row r="41" spans="1:47" ht="45" customHeight="1">
      <c r="A41" s="3" t="s">
        <v>148</v>
      </c>
      <c r="B41" s="3" t="s">
        <v>149</v>
      </c>
      <c r="C41" s="6" t="s">
        <v>196</v>
      </c>
      <c r="D41" s="3" t="s">
        <v>408</v>
      </c>
      <c r="E41" s="3" t="s">
        <v>279</v>
      </c>
      <c r="F41" s="20">
        <f>LEN(G41)</f>
        <v>82</v>
      </c>
      <c r="G41" s="3" t="s">
        <v>409</v>
      </c>
      <c r="H41" s="24" t="s">
        <v>275</v>
      </c>
      <c r="I41" s="24"/>
      <c r="J41" s="3" t="s">
        <v>154</v>
      </c>
      <c r="K41" s="3" t="s">
        <v>154</v>
      </c>
      <c r="L41" s="3" t="s">
        <v>155</v>
      </c>
      <c r="M41" s="3" t="s">
        <v>410</v>
      </c>
      <c r="N41" s="4"/>
      <c r="O41" s="3"/>
      <c r="P41" s="3" t="s">
        <v>157</v>
      </c>
      <c r="Q41" s="5"/>
      <c r="R41" s="3" t="s">
        <v>411</v>
      </c>
      <c r="S41" s="6">
        <v>46272</v>
      </c>
      <c r="T41" s="24"/>
      <c r="U41" s="3" t="b">
        <v>1</v>
      </c>
      <c r="V41" s="5"/>
      <c r="W41" s="64"/>
      <c r="X41" s="64"/>
      <c r="Y41" s="64"/>
      <c r="Z41" s="64"/>
      <c r="AA41" s="59" t="s">
        <v>412</v>
      </c>
      <c r="AB41" s="65"/>
      <c r="AC41" s="68"/>
      <c r="AD41" s="65"/>
      <c r="AE41" s="68"/>
      <c r="AF41" s="66"/>
      <c r="AG41" s="68"/>
      <c r="AH41" s="67"/>
      <c r="AI41" s="69"/>
      <c r="AJ41" s="69"/>
      <c r="AK41" s="69"/>
      <c r="AL41" s="86"/>
      <c r="AM41" s="88"/>
      <c r="AN41" s="88"/>
      <c r="AO41" s="88"/>
      <c r="AP41" s="59"/>
      <c r="AQ41" s="68"/>
      <c r="AR41" s="59"/>
      <c r="AS41" s="68"/>
      <c r="AT41" s="59"/>
      <c r="AU41" s="68"/>
    </row>
    <row r="42" spans="1:47" ht="45" customHeight="1">
      <c r="A42" s="3" t="s">
        <v>148</v>
      </c>
      <c r="B42" s="3" t="s">
        <v>149</v>
      </c>
      <c r="C42" s="6" t="s">
        <v>196</v>
      </c>
      <c r="D42" s="3" t="s">
        <v>413</v>
      </c>
      <c r="E42" s="3" t="s">
        <v>279</v>
      </c>
      <c r="F42" s="20">
        <f>LEN(G42)</f>
        <v>81</v>
      </c>
      <c r="G42" s="3" t="s">
        <v>414</v>
      </c>
      <c r="H42" s="24" t="s">
        <v>275</v>
      </c>
      <c r="I42" s="24"/>
      <c r="J42" s="3" t="s">
        <v>154</v>
      </c>
      <c r="K42" s="3" t="s">
        <v>154</v>
      </c>
      <c r="L42" s="3" t="s">
        <v>155</v>
      </c>
      <c r="M42" s="3" t="s">
        <v>415</v>
      </c>
      <c r="N42" s="20">
        <v>35623</v>
      </c>
      <c r="O42" s="3"/>
      <c r="P42" s="3" t="s">
        <v>157</v>
      </c>
      <c r="Q42" s="5"/>
      <c r="R42" s="3" t="s">
        <v>416</v>
      </c>
      <c r="S42" s="6">
        <v>46272</v>
      </c>
      <c r="T42" s="24"/>
      <c r="U42" s="3" t="b">
        <v>1</v>
      </c>
      <c r="V42" s="5"/>
      <c r="W42" s="64"/>
      <c r="X42" s="64"/>
      <c r="Y42" s="64"/>
      <c r="Z42" s="64"/>
      <c r="AA42" s="59" t="s">
        <v>417</v>
      </c>
      <c r="AB42" s="65"/>
      <c r="AC42" s="68"/>
      <c r="AD42" s="65"/>
      <c r="AE42" s="68"/>
      <c r="AF42" s="66"/>
      <c r="AG42" s="68"/>
      <c r="AH42" s="67"/>
      <c r="AI42" s="69"/>
      <c r="AJ42" s="69"/>
      <c r="AK42" s="69"/>
      <c r="AL42" s="86"/>
      <c r="AM42" s="88"/>
      <c r="AN42" s="88"/>
      <c r="AO42" s="88"/>
      <c r="AP42" s="59"/>
      <c r="AQ42" s="68"/>
      <c r="AR42" s="59"/>
      <c r="AS42" s="68"/>
      <c r="AT42" s="59"/>
      <c r="AU42" s="68"/>
    </row>
    <row r="43" spans="1:47" ht="45" customHeight="1">
      <c r="A43" s="3" t="s">
        <v>148</v>
      </c>
      <c r="B43" s="3" t="s">
        <v>149</v>
      </c>
      <c r="C43" s="6" t="s">
        <v>196</v>
      </c>
      <c r="D43" s="3" t="s">
        <v>418</v>
      </c>
      <c r="E43" s="3" t="s">
        <v>279</v>
      </c>
      <c r="F43" s="20">
        <f>LEN(G43)</f>
        <v>82</v>
      </c>
      <c r="G43" s="3" t="s">
        <v>419</v>
      </c>
      <c r="H43" s="24" t="s">
        <v>275</v>
      </c>
      <c r="I43" s="24"/>
      <c r="J43" s="3" t="s">
        <v>154</v>
      </c>
      <c r="K43" s="3" t="s">
        <v>154</v>
      </c>
      <c r="L43" s="3" t="s">
        <v>155</v>
      </c>
      <c r="M43" s="3" t="s">
        <v>420</v>
      </c>
      <c r="N43" s="4"/>
      <c r="O43" s="3"/>
      <c r="P43" s="3" t="s">
        <v>157</v>
      </c>
      <c r="Q43" s="5"/>
      <c r="R43" s="3" t="s">
        <v>421</v>
      </c>
      <c r="S43" s="6">
        <v>46272</v>
      </c>
      <c r="T43" s="24"/>
      <c r="U43" s="3" t="b">
        <v>1</v>
      </c>
      <c r="V43" s="5"/>
      <c r="W43" s="64"/>
      <c r="X43" s="64"/>
      <c r="Y43" s="64"/>
      <c r="Z43" s="64"/>
      <c r="AA43" s="59" t="s">
        <v>422</v>
      </c>
      <c r="AB43" s="65"/>
      <c r="AC43" s="68"/>
      <c r="AD43" s="65"/>
      <c r="AE43" s="68"/>
      <c r="AF43" s="66"/>
      <c r="AG43" s="68"/>
      <c r="AH43" s="67"/>
      <c r="AI43" s="69"/>
      <c r="AJ43" s="69"/>
      <c r="AK43" s="69"/>
      <c r="AL43" s="86"/>
      <c r="AM43" s="88"/>
      <c r="AN43" s="88"/>
      <c r="AO43" s="88"/>
      <c r="AP43" s="59"/>
      <c r="AQ43" s="68"/>
      <c r="AR43" s="59"/>
      <c r="AS43" s="68"/>
      <c r="AT43" s="59"/>
      <c r="AU43" s="68"/>
    </row>
    <row r="44" spans="1:47" ht="45" customHeight="1">
      <c r="A44" s="3" t="s">
        <v>148</v>
      </c>
      <c r="B44" s="3" t="s">
        <v>149</v>
      </c>
      <c r="C44" s="6" t="s">
        <v>196</v>
      </c>
      <c r="D44" s="3" t="s">
        <v>423</v>
      </c>
      <c r="E44" s="3" t="s">
        <v>279</v>
      </c>
      <c r="F44" s="20">
        <f>LEN(G44)</f>
        <v>81</v>
      </c>
      <c r="G44" s="3" t="s">
        <v>424</v>
      </c>
      <c r="H44" s="24" t="s">
        <v>275</v>
      </c>
      <c r="I44" s="24"/>
      <c r="J44" s="3" t="s">
        <v>154</v>
      </c>
      <c r="K44" s="3" t="s">
        <v>154</v>
      </c>
      <c r="L44" s="3" t="s">
        <v>155</v>
      </c>
      <c r="M44" s="3" t="s">
        <v>420</v>
      </c>
      <c r="N44" s="4"/>
      <c r="O44" s="3"/>
      <c r="P44" s="3" t="s">
        <v>157</v>
      </c>
      <c r="Q44" s="5"/>
      <c r="R44" s="3" t="s">
        <v>425</v>
      </c>
      <c r="S44" s="6">
        <v>46272</v>
      </c>
      <c r="T44" s="24"/>
      <c r="U44" s="3" t="b">
        <v>1</v>
      </c>
      <c r="V44" s="5"/>
      <c r="W44" s="64"/>
      <c r="X44" s="64"/>
      <c r="Y44" s="64"/>
      <c r="Z44" s="64"/>
      <c r="AA44" s="59" t="s">
        <v>426</v>
      </c>
      <c r="AB44" s="65"/>
      <c r="AC44" s="68"/>
      <c r="AD44" s="65"/>
      <c r="AE44" s="68"/>
      <c r="AF44" s="66"/>
      <c r="AG44" s="68"/>
      <c r="AH44" s="67"/>
      <c r="AI44" s="69"/>
      <c r="AJ44" s="69"/>
      <c r="AK44" s="69"/>
      <c r="AL44" s="86"/>
      <c r="AM44" s="88"/>
      <c r="AN44" s="88"/>
      <c r="AO44" s="88"/>
      <c r="AP44" s="59"/>
      <c r="AQ44" s="68"/>
      <c r="AR44" s="59"/>
      <c r="AS44" s="68"/>
      <c r="AT44" s="59"/>
      <c r="AU44" s="68"/>
    </row>
    <row r="45" spans="1:47" ht="45" customHeight="1">
      <c r="A45" s="3" t="s">
        <v>148</v>
      </c>
      <c r="B45" s="3" t="s">
        <v>149</v>
      </c>
      <c r="C45" s="6" t="s">
        <v>196</v>
      </c>
      <c r="D45" s="3" t="s">
        <v>427</v>
      </c>
      <c r="E45" s="3" t="s">
        <v>245</v>
      </c>
      <c r="F45" s="20">
        <f>LEN(G45)</f>
        <v>75</v>
      </c>
      <c r="G45" s="3" t="s">
        <v>428</v>
      </c>
      <c r="H45" s="24"/>
      <c r="I45" s="24"/>
      <c r="J45" s="3" t="s">
        <v>154</v>
      </c>
      <c r="K45" s="3" t="s">
        <v>154</v>
      </c>
      <c r="L45" s="3" t="s">
        <v>155</v>
      </c>
      <c r="M45" s="3" t="s">
        <v>249</v>
      </c>
      <c r="N45" s="20">
        <v>5966</v>
      </c>
      <c r="O45" s="3"/>
      <c r="P45" s="3" t="s">
        <v>157</v>
      </c>
      <c r="Q45" s="3" t="s">
        <v>191</v>
      </c>
      <c r="R45" s="3" t="s">
        <v>429</v>
      </c>
      <c r="S45" s="6">
        <v>46272</v>
      </c>
      <c r="T45" s="24"/>
      <c r="U45" s="3" t="b">
        <v>1</v>
      </c>
      <c r="V45" s="5"/>
      <c r="W45" s="64"/>
      <c r="X45" s="64"/>
      <c r="Y45" s="64"/>
      <c r="Z45" s="64"/>
      <c r="AA45" s="59" t="s">
        <v>430</v>
      </c>
      <c r="AB45" s="65"/>
      <c r="AC45" s="68"/>
      <c r="AD45" s="65"/>
      <c r="AE45" s="68"/>
      <c r="AF45" s="66"/>
      <c r="AG45" s="68"/>
      <c r="AH45" s="67"/>
      <c r="AI45" s="69"/>
      <c r="AJ45" s="69"/>
      <c r="AK45" s="69"/>
      <c r="AL45" s="86"/>
      <c r="AM45" s="88"/>
      <c r="AN45" s="88"/>
      <c r="AO45" s="88"/>
      <c r="AP45" s="59"/>
      <c r="AQ45" s="68"/>
      <c r="AR45" s="59"/>
      <c r="AS45" s="68"/>
      <c r="AT45" s="59"/>
      <c r="AU45" s="68"/>
    </row>
    <row r="46" spans="1:47" ht="45" customHeight="1">
      <c r="A46" s="3" t="s">
        <v>148</v>
      </c>
      <c r="B46" s="3" t="s">
        <v>149</v>
      </c>
      <c r="C46" s="6" t="s">
        <v>196</v>
      </c>
      <c r="D46" s="3" t="s">
        <v>431</v>
      </c>
      <c r="E46" s="3" t="s">
        <v>245</v>
      </c>
      <c r="F46" s="20">
        <f>LEN(G46)</f>
        <v>69</v>
      </c>
      <c r="G46" s="3" t="s">
        <v>432</v>
      </c>
      <c r="H46" s="24"/>
      <c r="I46" s="24"/>
      <c r="J46" s="3" t="s">
        <v>154</v>
      </c>
      <c r="K46" s="3" t="s">
        <v>154</v>
      </c>
      <c r="L46" s="3" t="s">
        <v>155</v>
      </c>
      <c r="M46" s="3" t="s">
        <v>249</v>
      </c>
      <c r="N46" s="20">
        <v>5966</v>
      </c>
      <c r="O46" s="3"/>
      <c r="P46" s="3" t="s">
        <v>157</v>
      </c>
      <c r="Q46" s="3" t="s">
        <v>191</v>
      </c>
      <c r="R46" s="3" t="s">
        <v>433</v>
      </c>
      <c r="S46" s="6">
        <v>46272</v>
      </c>
      <c r="T46" s="24"/>
      <c r="U46" s="3" t="b">
        <v>1</v>
      </c>
      <c r="V46" s="5"/>
      <c r="W46" s="64"/>
      <c r="X46" s="64"/>
      <c r="Y46" s="64"/>
      <c r="Z46" s="64"/>
      <c r="AA46" s="59" t="s">
        <v>434</v>
      </c>
      <c r="AB46" s="65"/>
      <c r="AC46" s="68"/>
      <c r="AD46" s="65"/>
      <c r="AE46" s="68"/>
      <c r="AF46" s="66"/>
      <c r="AG46" s="68"/>
      <c r="AH46" s="67"/>
      <c r="AI46" s="69"/>
      <c r="AJ46" s="69"/>
      <c r="AK46" s="69"/>
      <c r="AL46" s="86"/>
      <c r="AM46" s="88"/>
      <c r="AN46" s="88"/>
      <c r="AO46" s="88"/>
      <c r="AP46" s="59"/>
      <c r="AQ46" s="68"/>
      <c r="AR46" s="59"/>
      <c r="AS46" s="68"/>
      <c r="AT46" s="59"/>
      <c r="AU46" s="68"/>
    </row>
    <row r="47" spans="1:47" ht="45" customHeight="1">
      <c r="A47" s="3" t="s">
        <v>148</v>
      </c>
      <c r="B47" s="3" t="s">
        <v>149</v>
      </c>
      <c r="C47" s="6" t="s">
        <v>196</v>
      </c>
      <c r="D47" s="3" t="s">
        <v>435</v>
      </c>
      <c r="E47" s="3" t="s">
        <v>286</v>
      </c>
      <c r="F47" s="20">
        <f>LEN(G47)</f>
        <v>99</v>
      </c>
      <c r="G47" s="3" t="s">
        <v>436</v>
      </c>
      <c r="H47" s="24" t="s">
        <v>288</v>
      </c>
      <c r="I47" s="24"/>
      <c r="J47" s="3" t="s">
        <v>154</v>
      </c>
      <c r="K47" s="3" t="s">
        <v>154</v>
      </c>
      <c r="L47" s="3" t="s">
        <v>155</v>
      </c>
      <c r="M47" s="3" t="s">
        <v>437</v>
      </c>
      <c r="N47" s="4"/>
      <c r="O47" s="3"/>
      <c r="P47" s="3" t="s">
        <v>157</v>
      </c>
      <c r="Q47" s="5"/>
      <c r="R47" s="3" t="s">
        <v>438</v>
      </c>
      <c r="S47" s="6">
        <v>46272</v>
      </c>
      <c r="T47" s="24"/>
      <c r="U47" s="3" t="b">
        <v>1</v>
      </c>
      <c r="V47" s="5"/>
      <c r="W47" s="64"/>
      <c r="X47" s="64"/>
      <c r="Y47" s="64"/>
      <c r="Z47" s="64"/>
      <c r="AA47" s="59" t="s">
        <v>439</v>
      </c>
      <c r="AB47" s="65"/>
      <c r="AC47" s="68"/>
      <c r="AD47" s="65"/>
      <c r="AE47" s="68"/>
      <c r="AF47" s="66"/>
      <c r="AG47" s="68"/>
      <c r="AH47" s="67"/>
      <c r="AI47" s="69"/>
      <c r="AJ47" s="69"/>
      <c r="AK47" s="69"/>
      <c r="AL47" s="86"/>
      <c r="AM47" s="88"/>
      <c r="AN47" s="88"/>
      <c r="AO47" s="88"/>
      <c r="AP47" s="59"/>
      <c r="AQ47" s="68"/>
      <c r="AR47" s="59"/>
      <c r="AS47" s="68"/>
      <c r="AT47" s="59"/>
      <c r="AU47" s="68"/>
    </row>
    <row r="48" spans="1:47" ht="45" customHeight="1">
      <c r="A48" s="3" t="s">
        <v>148</v>
      </c>
      <c r="B48" s="3" t="s">
        <v>149</v>
      </c>
      <c r="C48" s="6" t="s">
        <v>196</v>
      </c>
      <c r="D48" s="3" t="s">
        <v>440</v>
      </c>
      <c r="E48" s="3" t="s">
        <v>286</v>
      </c>
      <c r="F48" s="20">
        <f>LEN(G48)</f>
        <v>49</v>
      </c>
      <c r="G48" s="3" t="s">
        <v>441</v>
      </c>
      <c r="H48" s="24" t="s">
        <v>370</v>
      </c>
      <c r="I48" s="24"/>
      <c r="J48" s="3" t="s">
        <v>154</v>
      </c>
      <c r="K48" s="3" t="s">
        <v>154</v>
      </c>
      <c r="L48" s="3" t="s">
        <v>155</v>
      </c>
      <c r="M48" s="3" t="s">
        <v>437</v>
      </c>
      <c r="N48" s="4"/>
      <c r="O48" s="3"/>
      <c r="P48" s="3" t="s">
        <v>157</v>
      </c>
      <c r="Q48" s="5"/>
      <c r="R48" s="3" t="s">
        <v>442</v>
      </c>
      <c r="S48" s="6">
        <v>46272</v>
      </c>
      <c r="T48" s="24"/>
      <c r="U48" s="3" t="b">
        <v>1</v>
      </c>
      <c r="V48" s="5"/>
      <c r="W48" s="64"/>
      <c r="X48" s="64"/>
      <c r="Y48" s="64"/>
      <c r="Z48" s="64"/>
      <c r="AA48" s="59" t="s">
        <v>443</v>
      </c>
      <c r="AB48" s="65"/>
      <c r="AC48" s="68"/>
      <c r="AD48" s="65"/>
      <c r="AE48" s="68"/>
      <c r="AF48" s="66"/>
      <c r="AG48" s="68"/>
      <c r="AH48" s="67"/>
      <c r="AI48" s="69"/>
      <c r="AJ48" s="69"/>
      <c r="AK48" s="69"/>
      <c r="AL48" s="86"/>
      <c r="AM48" s="88"/>
      <c r="AN48" s="88"/>
      <c r="AO48" s="88"/>
      <c r="AP48" s="59"/>
      <c r="AQ48" s="68"/>
      <c r="AR48" s="59"/>
      <c r="AS48" s="68"/>
      <c r="AT48" s="59"/>
      <c r="AU48" s="68"/>
    </row>
    <row r="49" spans="1:47" ht="45" customHeight="1">
      <c r="A49" s="3" t="s">
        <v>148</v>
      </c>
      <c r="B49" s="3" t="s">
        <v>149</v>
      </c>
      <c r="C49" s="6" t="s">
        <v>196</v>
      </c>
      <c r="D49" s="3" t="s">
        <v>444</v>
      </c>
      <c r="E49" s="3" t="s">
        <v>445</v>
      </c>
      <c r="F49" s="20">
        <f>LEN(G49)</f>
        <v>71</v>
      </c>
      <c r="G49" s="3" t="s">
        <v>446</v>
      </c>
      <c r="H49" s="24" t="s">
        <v>269</v>
      </c>
      <c r="I49" s="24"/>
      <c r="J49" s="3" t="s">
        <v>154</v>
      </c>
      <c r="K49" s="3" t="s">
        <v>154</v>
      </c>
      <c r="L49" s="3" t="s">
        <v>155</v>
      </c>
      <c r="M49" s="3" t="s">
        <v>371</v>
      </c>
      <c r="N49" s="20">
        <v>5985</v>
      </c>
      <c r="O49" s="3"/>
      <c r="P49" s="3" t="s">
        <v>157</v>
      </c>
      <c r="Q49" s="5"/>
      <c r="R49" s="3" t="s">
        <v>447</v>
      </c>
      <c r="S49" s="6">
        <v>46280</v>
      </c>
      <c r="T49" s="24"/>
      <c r="U49" s="3" t="b">
        <v>1</v>
      </c>
      <c r="V49" s="5"/>
      <c r="W49" s="64"/>
      <c r="X49" s="64"/>
      <c r="Y49" s="64"/>
      <c r="Z49" s="64"/>
      <c r="AA49" s="59" t="s">
        <v>448</v>
      </c>
      <c r="AB49" s="65"/>
      <c r="AC49" s="68"/>
      <c r="AD49" s="65"/>
      <c r="AE49" s="68"/>
      <c r="AF49" s="66"/>
      <c r="AG49" s="68"/>
      <c r="AH49" s="67"/>
      <c r="AI49" s="69"/>
      <c r="AJ49" s="69"/>
      <c r="AK49" s="69"/>
      <c r="AL49" s="86"/>
      <c r="AM49" s="88"/>
      <c r="AN49" s="88"/>
      <c r="AO49" s="88"/>
      <c r="AP49" s="59"/>
      <c r="AQ49" s="68"/>
      <c r="AR49" s="59"/>
      <c r="AS49" s="68"/>
      <c r="AT49" s="59"/>
      <c r="AU49" s="68"/>
    </row>
    <row r="50" spans="1:47" ht="45" customHeight="1">
      <c r="A50" s="3" t="s">
        <v>148</v>
      </c>
      <c r="B50" s="3" t="s">
        <v>149</v>
      </c>
      <c r="C50" s="6" t="s">
        <v>196</v>
      </c>
      <c r="D50" s="3" t="s">
        <v>449</v>
      </c>
      <c r="E50" s="3" t="s">
        <v>151</v>
      </c>
      <c r="F50" s="20">
        <f>LEN(G50)</f>
        <v>34</v>
      </c>
      <c r="G50" s="3" t="s">
        <v>450</v>
      </c>
      <c r="H50" s="24" t="s">
        <v>153</v>
      </c>
      <c r="I50" s="24"/>
      <c r="J50" s="3" t="s">
        <v>154</v>
      </c>
      <c r="K50" s="3" t="s">
        <v>154</v>
      </c>
      <c r="L50" s="3" t="s">
        <v>155</v>
      </c>
      <c r="M50" s="3" t="s">
        <v>156</v>
      </c>
      <c r="N50" s="20">
        <v>14922</v>
      </c>
      <c r="O50" s="3"/>
      <c r="P50" s="3" t="s">
        <v>157</v>
      </c>
      <c r="Q50" s="5"/>
      <c r="R50" s="3" t="s">
        <v>451</v>
      </c>
      <c r="S50" s="6">
        <v>46275</v>
      </c>
      <c r="T50" s="24"/>
      <c r="U50" s="3" t="b">
        <v>1</v>
      </c>
      <c r="V50" s="5"/>
      <c r="W50" s="64"/>
      <c r="X50" s="64"/>
      <c r="Y50" s="64"/>
      <c r="Z50" s="64"/>
      <c r="AA50" s="59" t="s">
        <v>452</v>
      </c>
      <c r="AB50" s="65"/>
      <c r="AC50" s="68"/>
      <c r="AD50" s="65"/>
      <c r="AE50" s="68"/>
      <c r="AF50" s="66"/>
      <c r="AG50" s="68"/>
      <c r="AH50" s="67"/>
      <c r="AI50" s="69"/>
      <c r="AJ50" s="69"/>
      <c r="AK50" s="69"/>
      <c r="AL50" s="86"/>
      <c r="AM50" s="88"/>
      <c r="AN50" s="88"/>
      <c r="AO50" s="88"/>
      <c r="AP50" s="59"/>
      <c r="AQ50" s="68"/>
      <c r="AR50" s="59"/>
      <c r="AS50" s="68"/>
      <c r="AT50" s="59"/>
      <c r="AU50" s="68"/>
    </row>
    <row r="51" spans="1:47" ht="45" customHeight="1">
      <c r="A51" s="3" t="s">
        <v>148</v>
      </c>
      <c r="B51" s="3" t="s">
        <v>149</v>
      </c>
      <c r="C51" s="6" t="s">
        <v>196</v>
      </c>
      <c r="D51" s="3" t="s">
        <v>453</v>
      </c>
      <c r="E51" s="3" t="s">
        <v>454</v>
      </c>
      <c r="F51" s="20">
        <f>LEN(G51)</f>
        <v>79</v>
      </c>
      <c r="G51" s="3" t="s">
        <v>455</v>
      </c>
      <c r="H51" s="24"/>
      <c r="I51" s="24"/>
      <c r="J51" s="3" t="s">
        <v>154</v>
      </c>
      <c r="K51" s="3" t="s">
        <v>154</v>
      </c>
      <c r="L51" s="3" t="s">
        <v>155</v>
      </c>
      <c r="M51" s="3" t="s">
        <v>241</v>
      </c>
      <c r="N51" s="20">
        <v>113787</v>
      </c>
      <c r="O51" s="3"/>
      <c r="P51" s="3" t="s">
        <v>157</v>
      </c>
      <c r="Q51" s="5"/>
      <c r="R51" s="3" t="s">
        <v>456</v>
      </c>
      <c r="S51" s="6">
        <v>46269</v>
      </c>
      <c r="T51" s="24"/>
      <c r="U51" s="3" t="b">
        <v>1</v>
      </c>
      <c r="V51" s="5"/>
      <c r="W51" s="64"/>
      <c r="X51" s="64"/>
      <c r="Y51" s="64"/>
      <c r="Z51" s="64"/>
      <c r="AA51" s="59" t="s">
        <v>457</v>
      </c>
      <c r="AB51" s="65"/>
      <c r="AC51" s="68"/>
      <c r="AD51" s="65"/>
      <c r="AE51" s="68"/>
      <c r="AF51" s="66"/>
      <c r="AG51" s="68"/>
      <c r="AH51" s="67"/>
      <c r="AI51" s="69"/>
      <c r="AJ51" s="69"/>
      <c r="AK51" s="69"/>
      <c r="AL51" s="86"/>
      <c r="AM51" s="88"/>
      <c r="AN51" s="88"/>
      <c r="AO51" s="88"/>
      <c r="AP51" s="59"/>
      <c r="AQ51" s="68"/>
      <c r="AR51" s="59"/>
      <c r="AS51" s="68"/>
      <c r="AT51" s="59"/>
      <c r="AU51" s="68"/>
    </row>
    <row r="52" spans="1:47" ht="45" customHeight="1">
      <c r="A52" s="3" t="s">
        <v>148</v>
      </c>
      <c r="B52" s="3" t="s">
        <v>149</v>
      </c>
      <c r="C52" s="6" t="s">
        <v>196</v>
      </c>
      <c r="D52" s="3" t="s">
        <v>458</v>
      </c>
      <c r="E52" s="3" t="s">
        <v>279</v>
      </c>
      <c r="F52" s="20">
        <f>LEN(G52)</f>
        <v>91</v>
      </c>
      <c r="G52" s="3" t="s">
        <v>459</v>
      </c>
      <c r="H52" s="24" t="s">
        <v>370</v>
      </c>
      <c r="I52" s="24"/>
      <c r="J52" s="3" t="s">
        <v>154</v>
      </c>
      <c r="K52" s="3" t="s">
        <v>154</v>
      </c>
      <c r="L52" s="3" t="s">
        <v>155</v>
      </c>
      <c r="M52" s="5"/>
      <c r="N52" s="4"/>
      <c r="O52" s="3"/>
      <c r="P52" s="3" t="s">
        <v>157</v>
      </c>
      <c r="Q52" s="5"/>
      <c r="R52" s="3" t="s">
        <v>460</v>
      </c>
      <c r="S52" s="6">
        <v>46272</v>
      </c>
      <c r="T52" s="24"/>
      <c r="U52" s="3" t="b">
        <v>1</v>
      </c>
      <c r="V52" s="5"/>
      <c r="W52" s="64"/>
      <c r="X52" s="64"/>
      <c r="Y52" s="64"/>
      <c r="Z52" s="64"/>
      <c r="AA52" s="59" t="s">
        <v>461</v>
      </c>
      <c r="AB52" s="65"/>
      <c r="AC52" s="68"/>
      <c r="AD52" s="65"/>
      <c r="AE52" s="68"/>
      <c r="AF52" s="66"/>
      <c r="AG52" s="68"/>
      <c r="AH52" s="67"/>
      <c r="AI52" s="69"/>
      <c r="AJ52" s="69"/>
      <c r="AK52" s="69"/>
      <c r="AL52" s="86"/>
      <c r="AM52" s="88"/>
      <c r="AN52" s="88"/>
      <c r="AO52" s="88"/>
      <c r="AP52" s="59"/>
      <c r="AQ52" s="68"/>
      <c r="AR52" s="59"/>
      <c r="AS52" s="68"/>
      <c r="AT52" s="59"/>
      <c r="AU52" s="68"/>
    </row>
    <row r="53" spans="1:47" ht="45" customHeight="1">
      <c r="A53" s="3" t="s">
        <v>148</v>
      </c>
      <c r="B53" s="3" t="s">
        <v>149</v>
      </c>
      <c r="C53" s="6" t="s">
        <v>196</v>
      </c>
      <c r="D53" s="3" t="s">
        <v>462</v>
      </c>
      <c r="E53" s="3" t="s">
        <v>279</v>
      </c>
      <c r="F53" s="20">
        <f>LEN(G53)</f>
        <v>98</v>
      </c>
      <c r="G53" s="3" t="s">
        <v>463</v>
      </c>
      <c r="H53" s="24"/>
      <c r="I53" s="24"/>
      <c r="J53" s="3" t="s">
        <v>154</v>
      </c>
      <c r="K53" s="3" t="s">
        <v>154</v>
      </c>
      <c r="L53" s="3" t="s">
        <v>155</v>
      </c>
      <c r="M53" s="5"/>
      <c r="N53" s="4"/>
      <c r="O53" s="3"/>
      <c r="P53" s="3" t="s">
        <v>157</v>
      </c>
      <c r="Q53" s="5"/>
      <c r="R53" s="3" t="s">
        <v>464</v>
      </c>
      <c r="S53" s="6">
        <v>46272</v>
      </c>
      <c r="T53" s="24"/>
      <c r="U53" s="3" t="b">
        <v>1</v>
      </c>
      <c r="V53" s="5"/>
      <c r="W53" s="64"/>
      <c r="X53" s="64"/>
      <c r="Y53" s="64"/>
      <c r="Z53" s="64"/>
      <c r="AA53" s="59" t="s">
        <v>465</v>
      </c>
      <c r="AB53" s="65"/>
      <c r="AC53" s="68"/>
      <c r="AD53" s="65"/>
      <c r="AE53" s="68"/>
      <c r="AF53" s="66"/>
      <c r="AG53" s="68"/>
      <c r="AH53" s="67"/>
      <c r="AI53" s="69"/>
      <c r="AJ53" s="69"/>
      <c r="AK53" s="69"/>
      <c r="AL53" s="86"/>
      <c r="AM53" s="88"/>
      <c r="AN53" s="88"/>
      <c r="AO53" s="88"/>
      <c r="AP53" s="59"/>
      <c r="AQ53" s="68"/>
      <c r="AR53" s="59"/>
      <c r="AS53" s="68"/>
      <c r="AT53" s="59"/>
      <c r="AU53" s="68"/>
    </row>
    <row r="54" spans="1:47" ht="45" customHeight="1">
      <c r="A54" s="3" t="s">
        <v>148</v>
      </c>
      <c r="B54" s="3" t="s">
        <v>149</v>
      </c>
      <c r="C54" s="6" t="s">
        <v>196</v>
      </c>
      <c r="D54" s="3" t="s">
        <v>466</v>
      </c>
      <c r="E54" s="3" t="s">
        <v>279</v>
      </c>
      <c r="F54" s="20">
        <f>LEN(G54)</f>
        <v>65</v>
      </c>
      <c r="G54" s="3" t="s">
        <v>467</v>
      </c>
      <c r="H54" s="24" t="s">
        <v>468</v>
      </c>
      <c r="I54" s="24"/>
      <c r="J54" s="3" t="s">
        <v>154</v>
      </c>
      <c r="K54" s="3" t="s">
        <v>154</v>
      </c>
      <c r="L54" s="3" t="s">
        <v>155</v>
      </c>
      <c r="M54" s="5"/>
      <c r="N54" s="4"/>
      <c r="O54" s="3"/>
      <c r="P54" s="3" t="s">
        <v>157</v>
      </c>
      <c r="Q54" s="5"/>
      <c r="R54" s="3" t="s">
        <v>469</v>
      </c>
      <c r="S54" s="6">
        <v>46272</v>
      </c>
      <c r="T54" s="24"/>
      <c r="U54" s="3" t="b">
        <v>1</v>
      </c>
      <c r="V54" s="5"/>
      <c r="W54" s="64"/>
      <c r="X54" s="64"/>
      <c r="Y54" s="64"/>
      <c r="Z54" s="64"/>
      <c r="AA54" s="59" t="s">
        <v>470</v>
      </c>
      <c r="AB54" s="65"/>
      <c r="AC54" s="68"/>
      <c r="AD54" s="65"/>
      <c r="AE54" s="68"/>
      <c r="AF54" s="66"/>
      <c r="AG54" s="68"/>
      <c r="AH54" s="67"/>
      <c r="AI54" s="69"/>
      <c r="AJ54" s="69"/>
      <c r="AK54" s="69"/>
      <c r="AL54" s="86"/>
      <c r="AM54" s="88"/>
      <c r="AN54" s="88"/>
      <c r="AO54" s="88"/>
      <c r="AP54" s="59"/>
      <c r="AQ54" s="68"/>
      <c r="AR54" s="59"/>
      <c r="AS54" s="68"/>
      <c r="AT54" s="59"/>
      <c r="AU54" s="68"/>
    </row>
    <row r="55" spans="1:47" ht="45" customHeight="1">
      <c r="A55" s="3" t="s">
        <v>148</v>
      </c>
      <c r="B55" s="3" t="s">
        <v>149</v>
      </c>
      <c r="C55" s="6" t="s">
        <v>196</v>
      </c>
      <c r="D55" s="3" t="s">
        <v>471</v>
      </c>
      <c r="E55" s="3" t="s">
        <v>279</v>
      </c>
      <c r="F55" s="20">
        <f>LEN(G55)</f>
        <v>87</v>
      </c>
      <c r="G55" s="3" t="s">
        <v>472</v>
      </c>
      <c r="H55" s="24" t="s">
        <v>473</v>
      </c>
      <c r="I55" s="24"/>
      <c r="J55" s="3" t="s">
        <v>154</v>
      </c>
      <c r="K55" s="3" t="s">
        <v>154</v>
      </c>
      <c r="L55" s="3" t="s">
        <v>155</v>
      </c>
      <c r="M55" s="5"/>
      <c r="N55" s="4"/>
      <c r="O55" s="3"/>
      <c r="P55" s="3" t="s">
        <v>157</v>
      </c>
      <c r="Q55" s="5"/>
      <c r="R55" s="3" t="s">
        <v>474</v>
      </c>
      <c r="S55" s="6">
        <v>46272</v>
      </c>
      <c r="T55" s="24"/>
      <c r="U55" s="3" t="b">
        <v>1</v>
      </c>
      <c r="V55" s="5"/>
      <c r="W55" s="64"/>
      <c r="X55" s="64"/>
      <c r="Y55" s="64"/>
      <c r="Z55" s="64"/>
      <c r="AA55" s="59" t="s">
        <v>475</v>
      </c>
      <c r="AB55" s="65"/>
      <c r="AC55" s="68"/>
      <c r="AD55" s="65"/>
      <c r="AE55" s="68"/>
      <c r="AF55" s="66"/>
      <c r="AG55" s="68"/>
      <c r="AH55" s="67"/>
      <c r="AI55" s="69"/>
      <c r="AJ55" s="69"/>
      <c r="AK55" s="69"/>
      <c r="AL55" s="86"/>
      <c r="AM55" s="88"/>
      <c r="AN55" s="88"/>
      <c r="AO55" s="88"/>
      <c r="AP55" s="59"/>
      <c r="AQ55" s="68"/>
      <c r="AR55" s="59"/>
      <c r="AS55" s="68"/>
      <c r="AT55" s="59"/>
      <c r="AU55" s="68"/>
    </row>
    <row r="56" spans="1:47" ht="45" customHeight="1">
      <c r="A56" s="3" t="s">
        <v>148</v>
      </c>
      <c r="B56" s="3" t="s">
        <v>149</v>
      </c>
      <c r="C56" s="6" t="s">
        <v>196</v>
      </c>
      <c r="D56" s="3" t="s">
        <v>476</v>
      </c>
      <c r="E56" s="3" t="s">
        <v>279</v>
      </c>
      <c r="F56" s="20">
        <f>LEN(G56)</f>
        <v>88</v>
      </c>
      <c r="G56" s="3" t="s">
        <v>477</v>
      </c>
      <c r="H56" s="24" t="s">
        <v>478</v>
      </c>
      <c r="I56" s="24"/>
      <c r="J56" s="3" t="s">
        <v>154</v>
      </c>
      <c r="K56" s="3" t="s">
        <v>154</v>
      </c>
      <c r="L56" s="3" t="s">
        <v>155</v>
      </c>
      <c r="M56" s="5"/>
      <c r="N56" s="4"/>
      <c r="O56" s="3"/>
      <c r="P56" s="3" t="s">
        <v>157</v>
      </c>
      <c r="Q56" s="5"/>
      <c r="R56" s="3" t="s">
        <v>479</v>
      </c>
      <c r="S56" s="6">
        <v>46272</v>
      </c>
      <c r="T56" s="24"/>
      <c r="U56" s="3" t="b">
        <v>1</v>
      </c>
      <c r="V56" s="5"/>
      <c r="W56" s="64"/>
      <c r="X56" s="64"/>
      <c r="Y56" s="64"/>
      <c r="Z56" s="64"/>
      <c r="AA56" s="59" t="s">
        <v>480</v>
      </c>
      <c r="AB56" s="65"/>
      <c r="AC56" s="68"/>
      <c r="AD56" s="65"/>
      <c r="AE56" s="68"/>
      <c r="AF56" s="66"/>
      <c r="AG56" s="68"/>
      <c r="AH56" s="67"/>
      <c r="AI56" s="69"/>
      <c r="AJ56" s="69"/>
      <c r="AK56" s="69"/>
      <c r="AL56" s="86"/>
      <c r="AM56" s="88"/>
      <c r="AN56" s="88"/>
      <c r="AO56" s="88"/>
      <c r="AP56" s="59"/>
      <c r="AQ56" s="68"/>
      <c r="AR56" s="59"/>
      <c r="AS56" s="68"/>
      <c r="AT56" s="59"/>
      <c r="AU56" s="68"/>
    </row>
    <row r="57" spans="1:47" ht="45" customHeight="1">
      <c r="A57" s="3" t="s">
        <v>148</v>
      </c>
      <c r="B57" s="3" t="s">
        <v>149</v>
      </c>
      <c r="C57" s="6" t="s">
        <v>196</v>
      </c>
      <c r="D57" s="3" t="s">
        <v>481</v>
      </c>
      <c r="E57" s="3" t="s">
        <v>279</v>
      </c>
      <c r="F57" s="20">
        <f>LEN(G57)</f>
        <v>88</v>
      </c>
      <c r="G57" s="3" t="s">
        <v>482</v>
      </c>
      <c r="H57" s="24" t="s">
        <v>478</v>
      </c>
      <c r="I57" s="5"/>
      <c r="J57" s="3" t="s">
        <v>154</v>
      </c>
      <c r="K57" s="3" t="s">
        <v>154</v>
      </c>
      <c r="L57" s="3" t="s">
        <v>155</v>
      </c>
      <c r="M57" s="5"/>
      <c r="N57" s="4"/>
      <c r="O57" s="5"/>
      <c r="P57" s="3" t="s">
        <v>157</v>
      </c>
      <c r="Q57" s="5"/>
      <c r="R57" s="3" t="s">
        <v>483</v>
      </c>
      <c r="S57" s="5"/>
      <c r="T57" s="24" t="s">
        <v>484</v>
      </c>
      <c r="U57" s="3" t="b">
        <v>0</v>
      </c>
      <c r="V57" s="5"/>
      <c r="W57" s="64"/>
      <c r="X57" s="64"/>
      <c r="Y57" s="64"/>
      <c r="Z57" s="64"/>
      <c r="AA57" s="59" t="s">
        <v>485</v>
      </c>
      <c r="AB57" s="65"/>
      <c r="AC57" s="68"/>
      <c r="AD57" s="65"/>
      <c r="AE57" s="68"/>
      <c r="AF57" s="66"/>
      <c r="AG57" s="68"/>
      <c r="AH57" s="67"/>
      <c r="AI57" s="69"/>
      <c r="AJ57" s="69"/>
      <c r="AK57" s="69"/>
      <c r="AL57" s="86"/>
      <c r="AM57" s="88"/>
      <c r="AN57" s="88"/>
      <c r="AO57" s="88"/>
      <c r="AP57" s="59"/>
      <c r="AQ57" s="68"/>
      <c r="AR57" s="59"/>
      <c r="AS57" s="68"/>
      <c r="AT57" s="59"/>
      <c r="AU57" s="68"/>
    </row>
    <row r="58" spans="1:47" ht="45" customHeight="1">
      <c r="A58" s="3" t="s">
        <v>148</v>
      </c>
      <c r="B58" s="3" t="s">
        <v>149</v>
      </c>
      <c r="C58" s="6" t="s">
        <v>196</v>
      </c>
      <c r="D58" s="3" t="s">
        <v>486</v>
      </c>
      <c r="E58" s="3" t="s">
        <v>279</v>
      </c>
      <c r="F58" s="20">
        <f>LEN(G58)</f>
        <v>100</v>
      </c>
      <c r="G58" s="3" t="s">
        <v>487</v>
      </c>
      <c r="H58" s="24" t="s">
        <v>473</v>
      </c>
      <c r="I58" s="5"/>
      <c r="J58" s="3" t="s">
        <v>154</v>
      </c>
      <c r="K58" s="3" t="s">
        <v>154</v>
      </c>
      <c r="L58" s="3" t="s">
        <v>155</v>
      </c>
      <c r="M58" s="5"/>
      <c r="N58" s="4"/>
      <c r="O58" s="5"/>
      <c r="P58" s="3" t="s">
        <v>157</v>
      </c>
      <c r="Q58" s="5"/>
      <c r="R58" s="3" t="s">
        <v>488</v>
      </c>
      <c r="S58" s="5"/>
      <c r="T58" s="24" t="s">
        <v>489</v>
      </c>
      <c r="U58" s="3" t="b">
        <v>0</v>
      </c>
      <c r="V58" s="5"/>
      <c r="W58" s="64"/>
      <c r="X58" s="64"/>
      <c r="Y58" s="64"/>
      <c r="Z58" s="64"/>
      <c r="AA58" s="59" t="s">
        <v>490</v>
      </c>
      <c r="AB58" s="65"/>
      <c r="AC58" s="68"/>
      <c r="AD58" s="65"/>
      <c r="AE58" s="68"/>
      <c r="AF58" s="66"/>
      <c r="AG58" s="68"/>
      <c r="AH58" s="67"/>
      <c r="AI58" s="69"/>
      <c r="AJ58" s="69"/>
      <c r="AK58" s="69"/>
      <c r="AL58" s="86"/>
      <c r="AM58" s="88"/>
      <c r="AN58" s="88"/>
      <c r="AO58" s="88"/>
      <c r="AP58" s="59"/>
      <c r="AQ58" s="68"/>
      <c r="AR58" s="59"/>
      <c r="AS58" s="68"/>
      <c r="AT58" s="59"/>
      <c r="AU58" s="68"/>
    </row>
    <row r="59" spans="1:47" ht="45" customHeight="1">
      <c r="A59" s="3" t="s">
        <v>148</v>
      </c>
      <c r="B59" s="3" t="s">
        <v>149</v>
      </c>
      <c r="C59" s="6" t="s">
        <v>196</v>
      </c>
      <c r="D59" s="3" t="s">
        <v>491</v>
      </c>
      <c r="E59" s="3" t="s">
        <v>492</v>
      </c>
      <c r="F59" s="20">
        <f>LEN(G59)</f>
        <v>88</v>
      </c>
      <c r="G59" s="3" t="s">
        <v>493</v>
      </c>
      <c r="H59" s="24" t="s">
        <v>494</v>
      </c>
      <c r="I59" s="24"/>
      <c r="J59" s="3" t="s">
        <v>154</v>
      </c>
      <c r="K59" s="3" t="s">
        <v>154</v>
      </c>
      <c r="L59" s="3" t="s">
        <v>155</v>
      </c>
      <c r="M59" s="5"/>
      <c r="N59" s="4"/>
      <c r="O59" s="3"/>
      <c r="P59" s="3" t="s">
        <v>157</v>
      </c>
      <c r="Q59" s="5"/>
      <c r="R59" s="3" t="s">
        <v>495</v>
      </c>
      <c r="S59" s="6">
        <v>46272</v>
      </c>
      <c r="T59" s="24"/>
      <c r="U59" s="3" t="b">
        <v>1</v>
      </c>
      <c r="V59" s="5"/>
      <c r="W59" s="64"/>
      <c r="X59" s="64"/>
      <c r="Y59" s="64"/>
      <c r="Z59" s="64"/>
      <c r="AA59" s="59" t="s">
        <v>496</v>
      </c>
      <c r="AB59" s="65"/>
      <c r="AC59" s="68"/>
      <c r="AD59" s="65"/>
      <c r="AE59" s="68"/>
      <c r="AF59" s="66"/>
      <c r="AG59" s="68"/>
      <c r="AH59" s="67"/>
      <c r="AI59" s="69"/>
      <c r="AJ59" s="69"/>
      <c r="AK59" s="69"/>
      <c r="AL59" s="86"/>
      <c r="AM59" s="88"/>
      <c r="AN59" s="88"/>
      <c r="AO59" s="88"/>
      <c r="AP59" s="59"/>
      <c r="AQ59" s="68"/>
      <c r="AR59" s="59"/>
      <c r="AS59" s="68"/>
      <c r="AT59" s="59"/>
      <c r="AU59" s="68"/>
    </row>
    <row r="60" spans="1:47" ht="45" customHeight="1">
      <c r="A60" s="3" t="s">
        <v>148</v>
      </c>
      <c r="B60" s="3" t="s">
        <v>149</v>
      </c>
      <c r="C60" s="6" t="s">
        <v>196</v>
      </c>
      <c r="D60" s="3" t="s">
        <v>497</v>
      </c>
      <c r="E60" s="3" t="s">
        <v>498</v>
      </c>
      <c r="F60" s="20">
        <f>LEN(G60)</f>
        <v>55</v>
      </c>
      <c r="G60" s="3" t="s">
        <v>499</v>
      </c>
      <c r="H60" s="24" t="s">
        <v>500</v>
      </c>
      <c r="I60" s="24"/>
      <c r="J60" s="3" t="s">
        <v>154</v>
      </c>
      <c r="K60" s="3" t="s">
        <v>154</v>
      </c>
      <c r="L60" s="3" t="s">
        <v>155</v>
      </c>
      <c r="M60" s="5"/>
      <c r="N60" s="4"/>
      <c r="O60" s="3"/>
      <c r="P60" s="3" t="s">
        <v>157</v>
      </c>
      <c r="Q60" s="5"/>
      <c r="R60" s="3" t="s">
        <v>501</v>
      </c>
      <c r="S60" s="6">
        <v>46272</v>
      </c>
      <c r="T60" s="24"/>
      <c r="U60" s="3" t="b">
        <v>1</v>
      </c>
      <c r="V60" s="5"/>
      <c r="W60" s="64"/>
      <c r="X60" s="64"/>
      <c r="Y60" s="64"/>
      <c r="Z60" s="64"/>
      <c r="AA60" s="59" t="s">
        <v>502</v>
      </c>
      <c r="AB60" s="65"/>
      <c r="AC60" s="68"/>
      <c r="AD60" s="65"/>
      <c r="AE60" s="68"/>
      <c r="AF60" s="66"/>
      <c r="AG60" s="68"/>
      <c r="AH60" s="67"/>
      <c r="AI60" s="69"/>
      <c r="AJ60" s="69"/>
      <c r="AK60" s="69"/>
      <c r="AL60" s="86"/>
      <c r="AM60" s="88"/>
      <c r="AN60" s="88"/>
      <c r="AO60" s="88"/>
      <c r="AP60" s="59"/>
      <c r="AQ60" s="68"/>
      <c r="AR60" s="59"/>
      <c r="AS60" s="68"/>
      <c r="AT60" s="59"/>
      <c r="AU60" s="68"/>
    </row>
    <row r="61" spans="1:47" ht="45" customHeight="1">
      <c r="A61" s="3" t="s">
        <v>148</v>
      </c>
      <c r="B61" s="3" t="s">
        <v>149</v>
      </c>
      <c r="C61" s="6" t="s">
        <v>196</v>
      </c>
      <c r="D61" s="3" t="s">
        <v>503</v>
      </c>
      <c r="E61" s="3" t="s">
        <v>498</v>
      </c>
      <c r="F61" s="20">
        <f>LEN(G61)</f>
        <v>58</v>
      </c>
      <c r="G61" s="3" t="s">
        <v>504</v>
      </c>
      <c r="H61" s="24" t="s">
        <v>468</v>
      </c>
      <c r="I61" s="24"/>
      <c r="J61" s="3" t="s">
        <v>154</v>
      </c>
      <c r="K61" s="3" t="s">
        <v>154</v>
      </c>
      <c r="L61" s="3" t="s">
        <v>155</v>
      </c>
      <c r="M61" s="5"/>
      <c r="N61" s="4"/>
      <c r="O61" s="3"/>
      <c r="P61" s="3" t="s">
        <v>157</v>
      </c>
      <c r="Q61" s="5"/>
      <c r="R61" s="3" t="s">
        <v>505</v>
      </c>
      <c r="S61" s="6">
        <v>46287</v>
      </c>
      <c r="T61" s="24"/>
      <c r="U61" s="3" t="b">
        <v>1</v>
      </c>
      <c r="V61" s="5"/>
      <c r="W61" s="64"/>
      <c r="X61" s="64"/>
      <c r="Y61" s="64"/>
      <c r="Z61" s="64"/>
      <c r="AA61" s="59" t="s">
        <v>506</v>
      </c>
      <c r="AB61" s="65"/>
      <c r="AC61" s="68"/>
      <c r="AD61" s="65"/>
      <c r="AE61" s="68"/>
      <c r="AF61" s="66"/>
      <c r="AG61" s="68"/>
      <c r="AH61" s="67"/>
      <c r="AI61" s="69"/>
      <c r="AJ61" s="69"/>
      <c r="AK61" s="69"/>
      <c r="AL61" s="86"/>
      <c r="AM61" s="88"/>
      <c r="AN61" s="88"/>
      <c r="AO61" s="88"/>
      <c r="AP61" s="59"/>
      <c r="AQ61" s="68"/>
      <c r="AR61" s="59"/>
      <c r="AS61" s="68"/>
      <c r="AT61" s="59"/>
      <c r="AU61" s="68"/>
    </row>
    <row r="62" spans="1:47" ht="45" customHeight="1">
      <c r="A62" s="3" t="s">
        <v>148</v>
      </c>
      <c r="B62" s="3" t="s">
        <v>149</v>
      </c>
      <c r="C62" s="6" t="s">
        <v>196</v>
      </c>
      <c r="D62" s="3" t="s">
        <v>507</v>
      </c>
      <c r="E62" s="3" t="s">
        <v>498</v>
      </c>
      <c r="F62" s="20">
        <f>LEN(G62)</f>
        <v>42</v>
      </c>
      <c r="G62" s="3" t="s">
        <v>508</v>
      </c>
      <c r="H62" s="24" t="s">
        <v>478</v>
      </c>
      <c r="I62" s="24"/>
      <c r="J62" s="3" t="s">
        <v>154</v>
      </c>
      <c r="K62" s="3" t="s">
        <v>154</v>
      </c>
      <c r="L62" s="3" t="s">
        <v>155</v>
      </c>
      <c r="M62" s="5"/>
      <c r="N62" s="4"/>
      <c r="O62" s="3"/>
      <c r="P62" s="3" t="s">
        <v>157</v>
      </c>
      <c r="Q62" s="5"/>
      <c r="R62" s="3" t="s">
        <v>509</v>
      </c>
      <c r="S62" s="6">
        <v>46287</v>
      </c>
      <c r="T62" s="24"/>
      <c r="U62" s="3" t="b">
        <v>1</v>
      </c>
      <c r="V62" s="5"/>
      <c r="W62" s="64"/>
      <c r="X62" s="64"/>
      <c r="Y62" s="64"/>
      <c r="Z62" s="64"/>
      <c r="AA62" s="59" t="s">
        <v>510</v>
      </c>
      <c r="AB62" s="65"/>
      <c r="AC62" s="68"/>
      <c r="AD62" s="65"/>
      <c r="AE62" s="68"/>
      <c r="AF62" s="66"/>
      <c r="AG62" s="68"/>
      <c r="AH62" s="67"/>
      <c r="AI62" s="69"/>
      <c r="AJ62" s="69"/>
      <c r="AK62" s="69"/>
      <c r="AL62" s="86"/>
      <c r="AM62" s="88"/>
      <c r="AN62" s="88"/>
      <c r="AO62" s="88"/>
      <c r="AP62" s="59"/>
      <c r="AQ62" s="68"/>
      <c r="AR62" s="59"/>
      <c r="AS62" s="68"/>
      <c r="AT62" s="59"/>
      <c r="AU62" s="68"/>
    </row>
    <row r="63" spans="1:47" ht="45" customHeight="1">
      <c r="A63" s="3" t="s">
        <v>148</v>
      </c>
      <c r="B63" s="3" t="s">
        <v>149</v>
      </c>
      <c r="C63" s="6" t="s">
        <v>196</v>
      </c>
      <c r="D63" s="3" t="s">
        <v>511</v>
      </c>
      <c r="E63" s="3" t="s">
        <v>279</v>
      </c>
      <c r="F63" s="20">
        <f>LEN(G63)</f>
        <v>99</v>
      </c>
      <c r="G63" s="3" t="s">
        <v>512</v>
      </c>
      <c r="H63" s="24" t="s">
        <v>478</v>
      </c>
      <c r="I63" s="24"/>
      <c r="J63" s="3" t="s">
        <v>154</v>
      </c>
      <c r="K63" s="3" t="s">
        <v>154</v>
      </c>
      <c r="L63" s="3" t="s">
        <v>155</v>
      </c>
      <c r="M63" s="5"/>
      <c r="N63" s="4"/>
      <c r="O63" s="3"/>
      <c r="P63" s="3" t="s">
        <v>157</v>
      </c>
      <c r="Q63" s="5"/>
      <c r="R63" s="3" t="s">
        <v>513</v>
      </c>
      <c r="S63" s="6">
        <v>46287</v>
      </c>
      <c r="T63" s="24"/>
      <c r="U63" s="3" t="b">
        <v>1</v>
      </c>
      <c r="V63" s="5"/>
      <c r="W63" s="64"/>
      <c r="X63" s="64"/>
      <c r="Y63" s="64"/>
      <c r="Z63" s="64"/>
      <c r="AA63" s="59" t="s">
        <v>514</v>
      </c>
      <c r="AB63" s="65"/>
      <c r="AC63" s="68"/>
      <c r="AD63" s="65"/>
      <c r="AE63" s="68"/>
      <c r="AF63" s="66"/>
      <c r="AG63" s="68"/>
      <c r="AH63" s="67"/>
      <c r="AI63" s="69"/>
      <c r="AJ63" s="69"/>
      <c r="AK63" s="69"/>
      <c r="AL63" s="86"/>
      <c r="AM63" s="88"/>
      <c r="AN63" s="88"/>
      <c r="AO63" s="88"/>
      <c r="AP63" s="59"/>
      <c r="AQ63" s="68"/>
      <c r="AR63" s="59"/>
      <c r="AS63" s="68"/>
      <c r="AT63" s="59"/>
      <c r="AU63" s="68"/>
    </row>
    <row r="64" spans="1:47" ht="45" customHeight="1">
      <c r="A64" s="3" t="s">
        <v>148</v>
      </c>
      <c r="B64" s="3" t="s">
        <v>149</v>
      </c>
      <c r="C64" s="6" t="s">
        <v>196</v>
      </c>
      <c r="D64" s="3" t="s">
        <v>515</v>
      </c>
      <c r="E64" s="3" t="s">
        <v>279</v>
      </c>
      <c r="F64" s="20">
        <f>LEN(G64)</f>
        <v>98</v>
      </c>
      <c r="G64" s="3" t="s">
        <v>516</v>
      </c>
      <c r="H64" s="24" t="s">
        <v>500</v>
      </c>
      <c r="I64" s="24"/>
      <c r="J64" s="3" t="s">
        <v>154</v>
      </c>
      <c r="K64" s="3" t="s">
        <v>154</v>
      </c>
      <c r="L64" s="3" t="s">
        <v>155</v>
      </c>
      <c r="M64" s="5"/>
      <c r="N64" s="4"/>
      <c r="O64" s="3"/>
      <c r="P64" s="3" t="s">
        <v>157</v>
      </c>
      <c r="Q64" s="5"/>
      <c r="R64" s="3" t="s">
        <v>517</v>
      </c>
      <c r="S64" s="6">
        <v>46287</v>
      </c>
      <c r="T64" s="24"/>
      <c r="U64" s="3" t="b">
        <v>1</v>
      </c>
      <c r="V64" s="5"/>
      <c r="W64" s="64"/>
      <c r="X64" s="64"/>
      <c r="Y64" s="64"/>
      <c r="Z64" s="64"/>
      <c r="AA64" s="59" t="s">
        <v>518</v>
      </c>
      <c r="AB64" s="65"/>
      <c r="AC64" s="68"/>
      <c r="AD64" s="65"/>
      <c r="AE64" s="68"/>
      <c r="AF64" s="66"/>
      <c r="AG64" s="68"/>
      <c r="AH64" s="67"/>
      <c r="AI64" s="69"/>
      <c r="AJ64" s="69"/>
      <c r="AK64" s="69"/>
      <c r="AL64" s="86"/>
      <c r="AM64" s="88"/>
      <c r="AN64" s="88"/>
      <c r="AO64" s="88"/>
      <c r="AP64" s="59"/>
      <c r="AQ64" s="68"/>
      <c r="AR64" s="59"/>
      <c r="AS64" s="68"/>
      <c r="AT64" s="59"/>
      <c r="AU64" s="68"/>
    </row>
    <row r="65" spans="1:47" ht="45" customHeight="1">
      <c r="A65" s="3" t="s">
        <v>148</v>
      </c>
      <c r="B65" s="3" t="s">
        <v>149</v>
      </c>
      <c r="C65" s="6" t="s">
        <v>196</v>
      </c>
      <c r="D65" s="3" t="s">
        <v>519</v>
      </c>
      <c r="E65" s="3" t="s">
        <v>279</v>
      </c>
      <c r="F65" s="20">
        <f>LEN(G65)</f>
        <v>94</v>
      </c>
      <c r="G65" s="3" t="s">
        <v>520</v>
      </c>
      <c r="H65" s="24" t="s">
        <v>478</v>
      </c>
      <c r="I65" s="5"/>
      <c r="J65" s="3" t="s">
        <v>154</v>
      </c>
      <c r="K65" s="3" t="s">
        <v>154</v>
      </c>
      <c r="L65" s="3" t="s">
        <v>155</v>
      </c>
      <c r="M65" s="5"/>
      <c r="N65" s="4"/>
      <c r="O65" s="5"/>
      <c r="P65" s="3" t="s">
        <v>157</v>
      </c>
      <c r="Q65" s="5"/>
      <c r="R65" s="3" t="s">
        <v>521</v>
      </c>
      <c r="S65" s="5"/>
      <c r="T65" s="24" t="s">
        <v>522</v>
      </c>
      <c r="U65" s="3" t="b">
        <v>0</v>
      </c>
      <c r="V65" s="5"/>
      <c r="W65" s="64"/>
      <c r="X65" s="64"/>
      <c r="Y65" s="64"/>
      <c r="Z65" s="64"/>
      <c r="AA65" s="59" t="s">
        <v>523</v>
      </c>
      <c r="AB65" s="65"/>
      <c r="AC65" s="68"/>
      <c r="AD65" s="65"/>
      <c r="AE65" s="68"/>
      <c r="AF65" s="66"/>
      <c r="AG65" s="68"/>
      <c r="AH65" s="67"/>
      <c r="AI65" s="69"/>
      <c r="AJ65" s="69"/>
      <c r="AK65" s="69"/>
      <c r="AL65" s="86"/>
      <c r="AM65" s="88"/>
      <c r="AN65" s="88"/>
      <c r="AO65" s="88"/>
      <c r="AP65" s="59"/>
      <c r="AQ65" s="68"/>
      <c r="AR65" s="59"/>
      <c r="AS65" s="68"/>
      <c r="AT65" s="59"/>
      <c r="AU65" s="68"/>
    </row>
    <row r="66" spans="1:47" ht="45" customHeight="1">
      <c r="A66" s="3" t="s">
        <v>148</v>
      </c>
      <c r="B66" s="3" t="s">
        <v>149</v>
      </c>
      <c r="C66" s="6" t="s">
        <v>196</v>
      </c>
      <c r="D66" s="3" t="s">
        <v>524</v>
      </c>
      <c r="E66" s="3" t="s">
        <v>279</v>
      </c>
      <c r="F66" s="20">
        <f>LEN(G66)</f>
        <v>95</v>
      </c>
      <c r="G66" s="3" t="s">
        <v>525</v>
      </c>
      <c r="H66" s="24" t="s">
        <v>468</v>
      </c>
      <c r="I66" s="5"/>
      <c r="J66" s="3" t="s">
        <v>154</v>
      </c>
      <c r="K66" s="3" t="s">
        <v>154</v>
      </c>
      <c r="L66" s="3" t="s">
        <v>155</v>
      </c>
      <c r="M66" s="5"/>
      <c r="N66" s="4"/>
      <c r="O66" s="5"/>
      <c r="P66" s="3" t="s">
        <v>157</v>
      </c>
      <c r="Q66" s="5"/>
      <c r="R66" s="3" t="s">
        <v>526</v>
      </c>
      <c r="S66" s="5"/>
      <c r="T66" s="24" t="s">
        <v>527</v>
      </c>
      <c r="U66" s="3" t="b">
        <v>0</v>
      </c>
      <c r="V66" s="5"/>
      <c r="W66" s="64"/>
      <c r="X66" s="64"/>
      <c r="Y66" s="64"/>
      <c r="Z66" s="64"/>
      <c r="AA66" s="59" t="s">
        <v>528</v>
      </c>
      <c r="AB66" s="65"/>
      <c r="AC66" s="68"/>
      <c r="AD66" s="65"/>
      <c r="AE66" s="68"/>
      <c r="AF66" s="66"/>
      <c r="AG66" s="68"/>
      <c r="AH66" s="67"/>
      <c r="AI66" s="69"/>
      <c r="AJ66" s="69"/>
      <c r="AK66" s="69"/>
      <c r="AL66" s="86"/>
      <c r="AM66" s="88"/>
      <c r="AN66" s="88"/>
      <c r="AO66" s="88"/>
      <c r="AP66" s="59"/>
      <c r="AQ66" s="68"/>
      <c r="AR66" s="59"/>
      <c r="AS66" s="68"/>
      <c r="AT66" s="59"/>
      <c r="AU66" s="68"/>
    </row>
    <row r="67" spans="1:47" ht="45" customHeight="1">
      <c r="A67" s="3" t="s">
        <v>148</v>
      </c>
      <c r="B67" s="3" t="s">
        <v>529</v>
      </c>
      <c r="C67" s="6" t="s">
        <v>196</v>
      </c>
      <c r="D67" s="3" t="s">
        <v>530</v>
      </c>
      <c r="E67" s="3" t="s">
        <v>531</v>
      </c>
      <c r="F67" s="20">
        <f>LEN(G67)</f>
        <v>32</v>
      </c>
      <c r="G67" s="3" t="s">
        <v>532</v>
      </c>
      <c r="H67" s="24" t="s">
        <v>533</v>
      </c>
      <c r="I67" s="24" t="s">
        <v>534</v>
      </c>
      <c r="J67" s="3" t="s">
        <v>154</v>
      </c>
      <c r="K67" s="3" t="s">
        <v>154</v>
      </c>
      <c r="L67" s="3" t="s">
        <v>155</v>
      </c>
      <c r="M67" s="3" t="s">
        <v>531</v>
      </c>
      <c r="N67" s="20">
        <v>113956</v>
      </c>
      <c r="O67" s="3" t="s">
        <v>530</v>
      </c>
      <c r="P67" s="3" t="s">
        <v>535</v>
      </c>
      <c r="Q67" s="3" t="s">
        <v>536</v>
      </c>
      <c r="R67" s="3" t="s">
        <v>537</v>
      </c>
      <c r="S67" s="6">
        <v>46266</v>
      </c>
      <c r="T67" s="24"/>
      <c r="U67" s="3" t="b">
        <v>1</v>
      </c>
      <c r="V67" s="5"/>
      <c r="W67" s="64"/>
      <c r="X67" s="64"/>
      <c r="Y67" s="64"/>
      <c r="Z67" s="64"/>
      <c r="AA67" s="59" t="s">
        <v>538</v>
      </c>
      <c r="AB67" s="65"/>
      <c r="AC67" s="68"/>
      <c r="AD67" s="65"/>
      <c r="AE67" s="68"/>
      <c r="AF67" s="66"/>
      <c r="AG67" s="68"/>
      <c r="AH67" s="67"/>
      <c r="AI67" s="69"/>
      <c r="AJ67" s="69"/>
      <c r="AK67" s="69"/>
      <c r="AL67" s="86"/>
      <c r="AM67" s="88"/>
      <c r="AN67" s="88"/>
      <c r="AO67" s="88"/>
      <c r="AP67" s="59"/>
      <c r="AQ67" s="68"/>
      <c r="AR67" s="59"/>
      <c r="AS67" s="68"/>
      <c r="AT67" s="59"/>
      <c r="AU67" s="68"/>
    </row>
    <row r="68" spans="1:47" ht="45" customHeight="1">
      <c r="A68" s="3" t="s">
        <v>148</v>
      </c>
      <c r="B68" s="3" t="s">
        <v>539</v>
      </c>
      <c r="C68" s="6" t="s">
        <v>540</v>
      </c>
      <c r="D68" s="3" t="s">
        <v>541</v>
      </c>
      <c r="E68" s="3" t="s">
        <v>542</v>
      </c>
      <c r="F68" s="20">
        <f>LEN(G68)</f>
        <v>55</v>
      </c>
      <c r="G68" s="3" t="s">
        <v>543</v>
      </c>
      <c r="H68" s="24" t="s">
        <v>544</v>
      </c>
      <c r="I68" s="24" t="s">
        <v>545</v>
      </c>
      <c r="J68" s="3" t="s">
        <v>154</v>
      </c>
      <c r="K68" s="3" t="s">
        <v>154</v>
      </c>
      <c r="L68" s="3" t="s">
        <v>155</v>
      </c>
      <c r="M68" s="3" t="s">
        <v>546</v>
      </c>
      <c r="N68" s="20">
        <v>139893</v>
      </c>
      <c r="O68" s="3" t="s">
        <v>541</v>
      </c>
      <c r="P68" s="3" t="s">
        <v>157</v>
      </c>
      <c r="Q68" s="5"/>
      <c r="R68" s="3" t="s">
        <v>547</v>
      </c>
      <c r="S68" s="6" t="s">
        <v>548</v>
      </c>
      <c r="T68" s="24"/>
      <c r="U68" s="3" t="b">
        <v>1</v>
      </c>
      <c r="V68" s="5"/>
      <c r="W68" s="64"/>
      <c r="X68" s="64"/>
      <c r="Y68" s="64"/>
      <c r="Z68" s="64"/>
      <c r="AA68" s="59" t="s">
        <v>549</v>
      </c>
      <c r="AB68" s="65"/>
      <c r="AC68" s="68"/>
      <c r="AD68" s="65"/>
      <c r="AE68" s="68"/>
      <c r="AF68" s="66"/>
      <c r="AG68" s="68"/>
      <c r="AH68" s="67"/>
      <c r="AI68" s="69"/>
      <c r="AJ68" s="69"/>
      <c r="AK68" s="69"/>
      <c r="AL68" s="86"/>
      <c r="AM68" s="88"/>
      <c r="AN68" s="88"/>
      <c r="AO68" s="88"/>
      <c r="AP68" s="59"/>
      <c r="AQ68" s="68"/>
      <c r="AR68" s="59"/>
      <c r="AS68" s="68"/>
      <c r="AT68" s="59"/>
      <c r="AU68" s="68"/>
    </row>
    <row r="69" spans="1:47" ht="45" customHeight="1">
      <c r="A69" s="3" t="s">
        <v>148</v>
      </c>
      <c r="B69" s="3" t="s">
        <v>539</v>
      </c>
      <c r="C69" s="6" t="s">
        <v>540</v>
      </c>
      <c r="D69" s="3" t="s">
        <v>550</v>
      </c>
      <c r="E69" s="3" t="s">
        <v>542</v>
      </c>
      <c r="F69" s="20">
        <f>LEN(G69)</f>
        <v>33</v>
      </c>
      <c r="G69" s="3" t="s">
        <v>551</v>
      </c>
      <c r="H69" s="24" t="s">
        <v>544</v>
      </c>
      <c r="I69" s="24" t="s">
        <v>545</v>
      </c>
      <c r="J69" s="3" t="s">
        <v>154</v>
      </c>
      <c r="K69" s="3" t="s">
        <v>154</v>
      </c>
      <c r="L69" s="3" t="s">
        <v>155</v>
      </c>
      <c r="M69" s="3" t="s">
        <v>546</v>
      </c>
      <c r="N69" s="20">
        <v>139893</v>
      </c>
      <c r="O69" s="3" t="s">
        <v>550</v>
      </c>
      <c r="P69" s="3" t="s">
        <v>157</v>
      </c>
      <c r="Q69" s="5"/>
      <c r="R69" s="3" t="s">
        <v>552</v>
      </c>
      <c r="S69" s="6" t="s">
        <v>548</v>
      </c>
      <c r="T69" s="24"/>
      <c r="U69" s="3" t="b">
        <v>1</v>
      </c>
      <c r="V69" s="5"/>
      <c r="W69" s="64"/>
      <c r="X69" s="64"/>
      <c r="Y69" s="64"/>
      <c r="Z69" s="64"/>
      <c r="AA69" s="59" t="s">
        <v>553</v>
      </c>
      <c r="AB69" s="65"/>
      <c r="AC69" s="68"/>
      <c r="AD69" s="65"/>
      <c r="AE69" s="68"/>
      <c r="AF69" s="66"/>
      <c r="AG69" s="68"/>
      <c r="AH69" s="67"/>
      <c r="AI69" s="69"/>
      <c r="AJ69" s="69"/>
      <c r="AK69" s="69"/>
      <c r="AL69" s="86"/>
      <c r="AM69" s="88"/>
      <c r="AN69" s="88"/>
      <c r="AO69" s="88"/>
      <c r="AP69" s="59"/>
      <c r="AQ69" s="68"/>
      <c r="AR69" s="59"/>
      <c r="AS69" s="68"/>
      <c r="AT69" s="59"/>
      <c r="AU69" s="68"/>
    </row>
    <row r="70" spans="1:47" ht="45" customHeight="1">
      <c r="A70" s="3" t="s">
        <v>148</v>
      </c>
      <c r="B70" s="3" t="s">
        <v>539</v>
      </c>
      <c r="C70" s="6" t="s">
        <v>540</v>
      </c>
      <c r="D70" s="3" t="s">
        <v>554</v>
      </c>
      <c r="E70" s="3" t="s">
        <v>542</v>
      </c>
      <c r="F70" s="20">
        <f>LEN(G70)</f>
        <v>91</v>
      </c>
      <c r="G70" s="3" t="s">
        <v>555</v>
      </c>
      <c r="H70" s="24" t="s">
        <v>544</v>
      </c>
      <c r="I70" s="24" t="s">
        <v>545</v>
      </c>
      <c r="J70" s="3" t="s">
        <v>154</v>
      </c>
      <c r="K70" s="3" t="s">
        <v>154</v>
      </c>
      <c r="L70" s="3" t="s">
        <v>155</v>
      </c>
      <c r="M70" s="3" t="s">
        <v>546</v>
      </c>
      <c r="N70" s="20">
        <v>139893</v>
      </c>
      <c r="O70" s="3" t="s">
        <v>554</v>
      </c>
      <c r="P70" s="3" t="s">
        <v>157</v>
      </c>
      <c r="Q70" s="5"/>
      <c r="R70" s="3" t="s">
        <v>556</v>
      </c>
      <c r="S70" s="6" t="s">
        <v>557</v>
      </c>
      <c r="T70" s="24"/>
      <c r="U70" s="3" t="b">
        <v>1</v>
      </c>
      <c r="V70" s="5"/>
      <c r="W70" s="64"/>
      <c r="X70" s="64"/>
      <c r="Y70" s="64"/>
      <c r="Z70" s="64"/>
      <c r="AA70" s="59" t="s">
        <v>558</v>
      </c>
      <c r="AB70" s="65"/>
      <c r="AC70" s="68"/>
      <c r="AD70" s="65"/>
      <c r="AE70" s="68"/>
      <c r="AF70" s="66"/>
      <c r="AG70" s="68"/>
      <c r="AH70" s="67"/>
      <c r="AI70" s="69"/>
      <c r="AJ70" s="69"/>
      <c r="AK70" s="69"/>
      <c r="AL70" s="86"/>
      <c r="AM70" s="88"/>
      <c r="AN70" s="88"/>
      <c r="AO70" s="88"/>
      <c r="AP70" s="59"/>
      <c r="AQ70" s="68"/>
      <c r="AR70" s="59"/>
      <c r="AS70" s="68"/>
      <c r="AT70" s="59"/>
      <c r="AU70" s="68"/>
    </row>
    <row r="71" spans="1:47" ht="45" customHeight="1">
      <c r="A71" s="3" t="s">
        <v>148</v>
      </c>
      <c r="B71" s="3" t="s">
        <v>539</v>
      </c>
      <c r="C71" s="6" t="s">
        <v>540</v>
      </c>
      <c r="D71" s="3" t="s">
        <v>559</v>
      </c>
      <c r="E71" s="3" t="s">
        <v>542</v>
      </c>
      <c r="F71" s="20">
        <f>LEN(G71)</f>
        <v>81</v>
      </c>
      <c r="G71" s="3" t="s">
        <v>560</v>
      </c>
      <c r="H71" s="24" t="s">
        <v>544</v>
      </c>
      <c r="I71" s="24" t="s">
        <v>545</v>
      </c>
      <c r="J71" s="3" t="s">
        <v>154</v>
      </c>
      <c r="K71" s="3" t="s">
        <v>154</v>
      </c>
      <c r="L71" s="3" t="s">
        <v>155</v>
      </c>
      <c r="M71" s="3" t="s">
        <v>546</v>
      </c>
      <c r="N71" s="20">
        <v>139893</v>
      </c>
      <c r="O71" s="3" t="s">
        <v>559</v>
      </c>
      <c r="P71" s="3" t="s">
        <v>157</v>
      </c>
      <c r="Q71" s="5"/>
      <c r="R71" s="3" t="s">
        <v>561</v>
      </c>
      <c r="S71" s="6" t="s">
        <v>557</v>
      </c>
      <c r="T71" s="24"/>
      <c r="U71" s="3" t="b">
        <v>1</v>
      </c>
      <c r="V71" s="5"/>
      <c r="W71" s="64"/>
      <c r="X71" s="64"/>
      <c r="Y71" s="64"/>
      <c r="Z71" s="64"/>
      <c r="AA71" s="59" t="s">
        <v>562</v>
      </c>
      <c r="AB71" s="65"/>
      <c r="AC71" s="68"/>
      <c r="AD71" s="65"/>
      <c r="AE71" s="68"/>
      <c r="AF71" s="66"/>
      <c r="AG71" s="68"/>
      <c r="AH71" s="67"/>
      <c r="AI71" s="69"/>
      <c r="AJ71" s="69"/>
      <c r="AK71" s="69"/>
      <c r="AL71" s="86"/>
      <c r="AM71" s="88"/>
      <c r="AN71" s="88"/>
      <c r="AO71" s="88"/>
      <c r="AP71" s="59"/>
      <c r="AQ71" s="68"/>
      <c r="AR71" s="59"/>
      <c r="AS71" s="68"/>
      <c r="AT71" s="59"/>
      <c r="AU71" s="68"/>
    </row>
    <row r="72" spans="1:47" ht="45" customHeight="1">
      <c r="A72" s="3" t="s">
        <v>148</v>
      </c>
      <c r="B72" s="3" t="s">
        <v>539</v>
      </c>
      <c r="C72" s="6" t="s">
        <v>540</v>
      </c>
      <c r="D72" s="3" t="s">
        <v>563</v>
      </c>
      <c r="E72" s="3" t="s">
        <v>542</v>
      </c>
      <c r="F72" s="20">
        <f>LEN(G72)</f>
        <v>84</v>
      </c>
      <c r="G72" s="3" t="s">
        <v>564</v>
      </c>
      <c r="H72" s="24" t="s">
        <v>544</v>
      </c>
      <c r="I72" s="24" t="s">
        <v>545</v>
      </c>
      <c r="J72" s="3" t="s">
        <v>154</v>
      </c>
      <c r="K72" s="3" t="s">
        <v>154</v>
      </c>
      <c r="L72" s="3" t="s">
        <v>155</v>
      </c>
      <c r="M72" s="3" t="s">
        <v>546</v>
      </c>
      <c r="N72" s="20">
        <v>139893</v>
      </c>
      <c r="O72" s="3" t="s">
        <v>563</v>
      </c>
      <c r="P72" s="3" t="s">
        <v>157</v>
      </c>
      <c r="Q72" s="5"/>
      <c r="R72" s="3" t="s">
        <v>565</v>
      </c>
      <c r="S72" s="6" t="s">
        <v>557</v>
      </c>
      <c r="T72" s="24"/>
      <c r="U72" s="3" t="b">
        <v>1</v>
      </c>
      <c r="V72" s="5"/>
      <c r="W72" s="64"/>
      <c r="X72" s="64"/>
      <c r="Y72" s="64"/>
      <c r="Z72" s="64"/>
      <c r="AA72" s="59" t="s">
        <v>566</v>
      </c>
      <c r="AB72" s="65"/>
      <c r="AC72" s="68"/>
      <c r="AD72" s="65"/>
      <c r="AE72" s="68"/>
      <c r="AF72" s="66"/>
      <c r="AG72" s="68"/>
      <c r="AH72" s="67"/>
      <c r="AI72" s="69"/>
      <c r="AJ72" s="69"/>
      <c r="AK72" s="69"/>
      <c r="AL72" s="86"/>
      <c r="AM72" s="88"/>
      <c r="AN72" s="88"/>
      <c r="AO72" s="88"/>
      <c r="AP72" s="59"/>
      <c r="AQ72" s="68"/>
      <c r="AR72" s="59"/>
      <c r="AS72" s="68"/>
      <c r="AT72" s="59"/>
      <c r="AU72" s="68"/>
    </row>
    <row r="73" spans="1:47" ht="45" customHeight="1">
      <c r="A73" s="3" t="s">
        <v>148</v>
      </c>
      <c r="B73" s="3" t="s">
        <v>539</v>
      </c>
      <c r="C73" s="6" t="s">
        <v>540</v>
      </c>
      <c r="D73" s="3" t="s">
        <v>567</v>
      </c>
      <c r="E73" s="3" t="s">
        <v>542</v>
      </c>
      <c r="F73" s="20">
        <f>LEN(G73)</f>
        <v>82</v>
      </c>
      <c r="G73" s="3" t="s">
        <v>568</v>
      </c>
      <c r="H73" s="24" t="s">
        <v>544</v>
      </c>
      <c r="I73" s="24" t="s">
        <v>545</v>
      </c>
      <c r="J73" s="3" t="s">
        <v>154</v>
      </c>
      <c r="K73" s="3" t="s">
        <v>154</v>
      </c>
      <c r="L73" s="3" t="s">
        <v>155</v>
      </c>
      <c r="M73" s="3" t="s">
        <v>546</v>
      </c>
      <c r="N73" s="20">
        <v>139893</v>
      </c>
      <c r="O73" s="3" t="s">
        <v>567</v>
      </c>
      <c r="P73" s="3" t="s">
        <v>157</v>
      </c>
      <c r="Q73" s="5"/>
      <c r="R73" s="3" t="s">
        <v>569</v>
      </c>
      <c r="S73" s="6" t="s">
        <v>557</v>
      </c>
      <c r="T73" s="24"/>
      <c r="U73" s="3" t="b">
        <v>1</v>
      </c>
      <c r="V73" s="5"/>
      <c r="W73" s="64"/>
      <c r="X73" s="64"/>
      <c r="Y73" s="64"/>
      <c r="Z73" s="64"/>
      <c r="AA73" s="59" t="s">
        <v>570</v>
      </c>
      <c r="AB73" s="65"/>
      <c r="AC73" s="68"/>
      <c r="AD73" s="65"/>
      <c r="AE73" s="68"/>
      <c r="AF73" s="66"/>
      <c r="AG73" s="68"/>
      <c r="AH73" s="67"/>
      <c r="AI73" s="69"/>
      <c r="AJ73" s="69"/>
      <c r="AK73" s="69"/>
      <c r="AL73" s="86"/>
      <c r="AM73" s="88"/>
      <c r="AN73" s="88"/>
      <c r="AO73" s="88"/>
      <c r="AP73" s="59"/>
      <c r="AQ73" s="68"/>
      <c r="AR73" s="59"/>
      <c r="AS73" s="68"/>
      <c r="AT73" s="59"/>
      <c r="AU73" s="68"/>
    </row>
    <row r="74" spans="1:47" ht="45" customHeight="1">
      <c r="A74" s="3" t="s">
        <v>148</v>
      </c>
      <c r="B74" s="3" t="s">
        <v>539</v>
      </c>
      <c r="C74" s="6" t="s">
        <v>540</v>
      </c>
      <c r="D74" s="3" t="s">
        <v>571</v>
      </c>
      <c r="E74" s="3" t="s">
        <v>542</v>
      </c>
      <c r="F74" s="20">
        <f>LEN(G74)</f>
        <v>30</v>
      </c>
      <c r="G74" s="3" t="s">
        <v>572</v>
      </c>
      <c r="H74" s="24" t="s">
        <v>544</v>
      </c>
      <c r="I74" s="24" t="s">
        <v>545</v>
      </c>
      <c r="J74" s="3" t="s">
        <v>154</v>
      </c>
      <c r="K74" s="3" t="s">
        <v>573</v>
      </c>
      <c r="L74" s="3" t="s">
        <v>155</v>
      </c>
      <c r="M74" s="3" t="s">
        <v>546</v>
      </c>
      <c r="N74" s="20">
        <v>139893</v>
      </c>
      <c r="O74" s="3" t="s">
        <v>571</v>
      </c>
      <c r="P74" s="3" t="s">
        <v>157</v>
      </c>
      <c r="Q74" s="5"/>
      <c r="R74" s="3" t="s">
        <v>574</v>
      </c>
      <c r="S74" s="6" t="s">
        <v>557</v>
      </c>
      <c r="T74" s="24"/>
      <c r="U74" s="3" t="b">
        <v>1</v>
      </c>
      <c r="V74" s="5"/>
      <c r="W74" s="64"/>
      <c r="X74" s="64"/>
      <c r="Y74" s="64"/>
      <c r="Z74" s="64"/>
      <c r="AA74" s="59" t="s">
        <v>575</v>
      </c>
      <c r="AB74" s="65"/>
      <c r="AC74" s="68"/>
      <c r="AD74" s="65"/>
      <c r="AE74" s="68"/>
      <c r="AF74" s="66"/>
      <c r="AG74" s="68"/>
      <c r="AH74" s="67"/>
      <c r="AI74" s="69"/>
      <c r="AJ74" s="69"/>
      <c r="AK74" s="69"/>
      <c r="AL74" s="86"/>
      <c r="AM74" s="88"/>
      <c r="AN74" s="88"/>
      <c r="AO74" s="88"/>
      <c r="AP74" s="59"/>
      <c r="AQ74" s="68"/>
      <c r="AR74" s="59"/>
      <c r="AS74" s="68"/>
      <c r="AT74" s="59"/>
      <c r="AU74" s="68"/>
    </row>
    <row r="75" spans="1:47" ht="45" customHeight="1">
      <c r="A75" s="3" t="s">
        <v>148</v>
      </c>
      <c r="B75" s="3" t="s">
        <v>539</v>
      </c>
      <c r="C75" s="6" t="s">
        <v>540</v>
      </c>
      <c r="D75" s="3" t="s">
        <v>576</v>
      </c>
      <c r="E75" s="3" t="s">
        <v>542</v>
      </c>
      <c r="F75" s="20">
        <f>LEN(G75)</f>
        <v>31</v>
      </c>
      <c r="G75" s="3" t="s">
        <v>577</v>
      </c>
      <c r="H75" s="24" t="s">
        <v>544</v>
      </c>
      <c r="I75" s="24" t="s">
        <v>545</v>
      </c>
      <c r="J75" s="3" t="s">
        <v>154</v>
      </c>
      <c r="K75" s="3" t="s">
        <v>154</v>
      </c>
      <c r="L75" s="3" t="s">
        <v>155</v>
      </c>
      <c r="M75" s="3" t="s">
        <v>546</v>
      </c>
      <c r="N75" s="20">
        <v>139893</v>
      </c>
      <c r="O75" s="3" t="s">
        <v>576</v>
      </c>
      <c r="P75" s="3" t="s">
        <v>157</v>
      </c>
      <c r="Q75" s="5"/>
      <c r="R75" s="3" t="s">
        <v>578</v>
      </c>
      <c r="S75" s="6" t="s">
        <v>557</v>
      </c>
      <c r="T75" s="24"/>
      <c r="U75" s="3" t="b">
        <v>1</v>
      </c>
      <c r="V75" s="5"/>
      <c r="W75" s="64"/>
      <c r="X75" s="64"/>
      <c r="Y75" s="64"/>
      <c r="Z75" s="64"/>
      <c r="AA75" s="59" t="s">
        <v>579</v>
      </c>
      <c r="AB75" s="65"/>
      <c r="AC75" s="68"/>
      <c r="AD75" s="65"/>
      <c r="AE75" s="68"/>
      <c r="AF75" s="66"/>
      <c r="AG75" s="68"/>
      <c r="AH75" s="67"/>
      <c r="AI75" s="69"/>
      <c r="AJ75" s="69"/>
      <c r="AK75" s="69"/>
      <c r="AL75" s="86"/>
      <c r="AM75" s="88"/>
      <c r="AN75" s="88"/>
      <c r="AO75" s="88"/>
      <c r="AP75" s="59"/>
      <c r="AQ75" s="68"/>
      <c r="AR75" s="59"/>
      <c r="AS75" s="68"/>
      <c r="AT75" s="59"/>
      <c r="AU75" s="68"/>
    </row>
    <row r="76" spans="1:47" ht="45" customHeight="1">
      <c r="A76" s="3" t="s">
        <v>148</v>
      </c>
      <c r="B76" s="3" t="s">
        <v>539</v>
      </c>
      <c r="C76" s="6" t="s">
        <v>540</v>
      </c>
      <c r="D76" s="3" t="s">
        <v>580</v>
      </c>
      <c r="E76" s="3" t="s">
        <v>542</v>
      </c>
      <c r="F76" s="20">
        <f>LEN(G76)</f>
        <v>29</v>
      </c>
      <c r="G76" s="3" t="s">
        <v>581</v>
      </c>
      <c r="H76" s="24" t="s">
        <v>544</v>
      </c>
      <c r="I76" s="24" t="s">
        <v>545</v>
      </c>
      <c r="J76" s="3" t="s">
        <v>154</v>
      </c>
      <c r="K76" s="3" t="s">
        <v>154</v>
      </c>
      <c r="L76" s="3" t="s">
        <v>155</v>
      </c>
      <c r="M76" s="3" t="s">
        <v>546</v>
      </c>
      <c r="N76" s="20">
        <v>139893</v>
      </c>
      <c r="O76" s="3" t="s">
        <v>580</v>
      </c>
      <c r="P76" s="3" t="s">
        <v>157</v>
      </c>
      <c r="Q76" s="5"/>
      <c r="R76" s="3" t="s">
        <v>582</v>
      </c>
      <c r="S76" s="6" t="s">
        <v>557</v>
      </c>
      <c r="T76" s="24"/>
      <c r="U76" s="3" t="b">
        <v>1</v>
      </c>
      <c r="V76" s="5"/>
      <c r="W76" s="64"/>
      <c r="X76" s="64"/>
      <c r="Y76" s="64"/>
      <c r="Z76" s="64"/>
      <c r="AA76" s="59" t="s">
        <v>583</v>
      </c>
      <c r="AB76" s="65"/>
      <c r="AC76" s="68"/>
      <c r="AD76" s="65"/>
      <c r="AE76" s="68"/>
      <c r="AF76" s="66"/>
      <c r="AG76" s="68"/>
      <c r="AH76" s="67"/>
      <c r="AI76" s="69"/>
      <c r="AJ76" s="69"/>
      <c r="AK76" s="69"/>
      <c r="AL76" s="86"/>
      <c r="AM76" s="88"/>
      <c r="AN76" s="88"/>
      <c r="AO76" s="88"/>
      <c r="AP76" s="59"/>
      <c r="AQ76" s="68"/>
      <c r="AR76" s="59"/>
      <c r="AS76" s="68"/>
      <c r="AT76" s="59"/>
      <c r="AU76" s="68"/>
    </row>
    <row r="77" spans="1:47" ht="45" customHeight="1">
      <c r="A77" s="3" t="s">
        <v>148</v>
      </c>
      <c r="B77" s="3" t="s">
        <v>539</v>
      </c>
      <c r="C77" s="6" t="s">
        <v>540</v>
      </c>
      <c r="D77" s="3" t="s">
        <v>584</v>
      </c>
      <c r="E77" s="3" t="s">
        <v>542</v>
      </c>
      <c r="F77" s="20">
        <f>LEN(G77)</f>
        <v>72</v>
      </c>
      <c r="G77" s="3" t="s">
        <v>585</v>
      </c>
      <c r="H77" s="24" t="s">
        <v>544</v>
      </c>
      <c r="I77" s="24" t="s">
        <v>545</v>
      </c>
      <c r="J77" s="3" t="s">
        <v>154</v>
      </c>
      <c r="K77" s="3" t="s">
        <v>154</v>
      </c>
      <c r="L77" s="3" t="s">
        <v>155</v>
      </c>
      <c r="M77" s="3" t="s">
        <v>546</v>
      </c>
      <c r="N77" s="20">
        <v>139893</v>
      </c>
      <c r="O77" s="3" t="s">
        <v>584</v>
      </c>
      <c r="P77" s="3" t="s">
        <v>157</v>
      </c>
      <c r="Q77" s="5"/>
      <c r="R77" s="3" t="s">
        <v>586</v>
      </c>
      <c r="S77" s="6" t="s">
        <v>557</v>
      </c>
      <c r="T77" s="24"/>
      <c r="U77" s="3" t="b">
        <v>1</v>
      </c>
      <c r="V77" s="5"/>
      <c r="W77" s="64"/>
      <c r="X77" s="64"/>
      <c r="Y77" s="64"/>
      <c r="Z77" s="64"/>
      <c r="AA77" s="59" t="s">
        <v>587</v>
      </c>
      <c r="AB77" s="65"/>
      <c r="AC77" s="68"/>
      <c r="AD77" s="65"/>
      <c r="AE77" s="68"/>
      <c r="AF77" s="66"/>
      <c r="AG77" s="68"/>
      <c r="AH77" s="67"/>
      <c r="AI77" s="69"/>
      <c r="AJ77" s="69"/>
      <c r="AK77" s="69"/>
      <c r="AL77" s="86"/>
      <c r="AM77" s="88"/>
      <c r="AN77" s="88"/>
      <c r="AO77" s="88"/>
      <c r="AP77" s="59"/>
      <c r="AQ77" s="68"/>
      <c r="AR77" s="59"/>
      <c r="AS77" s="68"/>
      <c r="AT77" s="59"/>
      <c r="AU77" s="68"/>
    </row>
    <row r="78" spans="1:47" ht="45" customHeight="1">
      <c r="A78" s="3" t="s">
        <v>148</v>
      </c>
      <c r="B78" s="3" t="s">
        <v>539</v>
      </c>
      <c r="C78" s="6" t="s">
        <v>540</v>
      </c>
      <c r="D78" s="3" t="s">
        <v>588</v>
      </c>
      <c r="E78" s="3" t="s">
        <v>542</v>
      </c>
      <c r="F78" s="20">
        <f>LEN(G78)</f>
        <v>55</v>
      </c>
      <c r="G78" s="3" t="s">
        <v>589</v>
      </c>
      <c r="H78" s="24" t="s">
        <v>544</v>
      </c>
      <c r="I78" s="24" t="s">
        <v>545</v>
      </c>
      <c r="J78" s="3" t="s">
        <v>154</v>
      </c>
      <c r="K78" s="3" t="s">
        <v>154</v>
      </c>
      <c r="L78" s="3" t="s">
        <v>155</v>
      </c>
      <c r="M78" s="3" t="s">
        <v>546</v>
      </c>
      <c r="N78" s="20">
        <v>139893</v>
      </c>
      <c r="O78" s="3" t="s">
        <v>588</v>
      </c>
      <c r="P78" s="3" t="s">
        <v>157</v>
      </c>
      <c r="Q78" s="5"/>
      <c r="R78" s="3" t="s">
        <v>590</v>
      </c>
      <c r="S78" s="6" t="s">
        <v>557</v>
      </c>
      <c r="T78" s="24"/>
      <c r="U78" s="3" t="b">
        <v>1</v>
      </c>
      <c r="V78" s="5"/>
      <c r="W78" s="64"/>
      <c r="X78" s="64"/>
      <c r="Y78" s="64"/>
      <c r="Z78" s="64"/>
      <c r="AA78" s="59" t="s">
        <v>591</v>
      </c>
      <c r="AB78" s="65"/>
      <c r="AC78" s="68"/>
      <c r="AD78" s="65"/>
      <c r="AE78" s="68"/>
      <c r="AF78" s="66"/>
      <c r="AG78" s="68"/>
      <c r="AH78" s="67"/>
      <c r="AI78" s="69"/>
      <c r="AJ78" s="69"/>
      <c r="AK78" s="69"/>
      <c r="AL78" s="86"/>
      <c r="AM78" s="88"/>
      <c r="AN78" s="88"/>
      <c r="AO78" s="88"/>
      <c r="AP78" s="59"/>
      <c r="AQ78" s="68"/>
      <c r="AR78" s="59"/>
      <c r="AS78" s="68"/>
      <c r="AT78" s="59"/>
      <c r="AU78" s="68"/>
    </row>
    <row r="79" spans="1:47" ht="45" customHeight="1">
      <c r="A79" s="3" t="s">
        <v>148</v>
      </c>
      <c r="B79" s="3" t="s">
        <v>539</v>
      </c>
      <c r="C79" s="6" t="s">
        <v>540</v>
      </c>
      <c r="D79" s="3" t="s">
        <v>592</v>
      </c>
      <c r="E79" s="3" t="s">
        <v>542</v>
      </c>
      <c r="F79" s="20">
        <f>LEN(G79)</f>
        <v>37</v>
      </c>
      <c r="G79" s="3" t="s">
        <v>593</v>
      </c>
      <c r="H79" s="24" t="s">
        <v>544</v>
      </c>
      <c r="I79" s="24" t="s">
        <v>545</v>
      </c>
      <c r="J79" s="3" t="s">
        <v>154</v>
      </c>
      <c r="K79" s="3" t="s">
        <v>154</v>
      </c>
      <c r="L79" s="3" t="s">
        <v>155</v>
      </c>
      <c r="M79" s="3" t="s">
        <v>546</v>
      </c>
      <c r="N79" s="20">
        <v>139893</v>
      </c>
      <c r="O79" s="3" t="s">
        <v>592</v>
      </c>
      <c r="P79" s="3" t="s">
        <v>157</v>
      </c>
      <c r="Q79" s="5"/>
      <c r="R79" s="3" t="s">
        <v>594</v>
      </c>
      <c r="S79" s="6" t="s">
        <v>557</v>
      </c>
      <c r="T79" s="24"/>
      <c r="U79" s="3" t="b">
        <v>1</v>
      </c>
      <c r="V79" s="5"/>
      <c r="W79" s="64"/>
      <c r="X79" s="64"/>
      <c r="Y79" s="64"/>
      <c r="Z79" s="64"/>
      <c r="AA79" s="59" t="s">
        <v>595</v>
      </c>
      <c r="AB79" s="65"/>
      <c r="AC79" s="68"/>
      <c r="AD79" s="65"/>
      <c r="AE79" s="68"/>
      <c r="AF79" s="66"/>
      <c r="AG79" s="68"/>
      <c r="AH79" s="67"/>
      <c r="AI79" s="69"/>
      <c r="AJ79" s="69"/>
      <c r="AK79" s="69"/>
      <c r="AL79" s="86"/>
      <c r="AM79" s="88"/>
      <c r="AN79" s="88"/>
      <c r="AO79" s="88"/>
      <c r="AP79" s="59"/>
      <c r="AQ79" s="68"/>
      <c r="AR79" s="59"/>
      <c r="AS79" s="68"/>
      <c r="AT79" s="59"/>
      <c r="AU79" s="68"/>
    </row>
    <row r="80" spans="1:47" ht="45" customHeight="1">
      <c r="A80" s="3" t="s">
        <v>148</v>
      </c>
      <c r="B80" s="3" t="s">
        <v>539</v>
      </c>
      <c r="C80" s="6" t="s">
        <v>540</v>
      </c>
      <c r="D80" s="3" t="s">
        <v>596</v>
      </c>
      <c r="E80" s="3" t="s">
        <v>542</v>
      </c>
      <c r="F80" s="20">
        <f>LEN(G80)</f>
        <v>37</v>
      </c>
      <c r="G80" s="3" t="s">
        <v>597</v>
      </c>
      <c r="H80" s="24" t="s">
        <v>544</v>
      </c>
      <c r="I80" s="24" t="s">
        <v>545</v>
      </c>
      <c r="J80" s="3" t="s">
        <v>154</v>
      </c>
      <c r="K80" s="3" t="s">
        <v>154</v>
      </c>
      <c r="L80" s="3" t="s">
        <v>155</v>
      </c>
      <c r="M80" s="3" t="s">
        <v>546</v>
      </c>
      <c r="N80" s="20">
        <v>139893</v>
      </c>
      <c r="O80" s="3" t="s">
        <v>596</v>
      </c>
      <c r="P80" s="3" t="s">
        <v>157</v>
      </c>
      <c r="Q80" s="5"/>
      <c r="R80" s="3" t="s">
        <v>598</v>
      </c>
      <c r="S80" s="6" t="s">
        <v>557</v>
      </c>
      <c r="T80" s="24"/>
      <c r="U80" s="3" t="b">
        <v>1</v>
      </c>
      <c r="V80" s="5"/>
      <c r="W80" s="64"/>
      <c r="X80" s="64"/>
      <c r="Y80" s="64"/>
      <c r="Z80" s="64"/>
      <c r="AA80" s="59" t="s">
        <v>599</v>
      </c>
      <c r="AB80" s="65"/>
      <c r="AC80" s="68"/>
      <c r="AD80" s="65"/>
      <c r="AE80" s="68"/>
      <c r="AF80" s="66"/>
      <c r="AG80" s="68"/>
      <c r="AH80" s="67"/>
      <c r="AI80" s="69"/>
      <c r="AJ80" s="69"/>
      <c r="AK80" s="69"/>
      <c r="AL80" s="86"/>
      <c r="AM80" s="88"/>
      <c r="AN80" s="88"/>
      <c r="AO80" s="88"/>
      <c r="AP80" s="59"/>
      <c r="AQ80" s="68"/>
      <c r="AR80" s="59"/>
      <c r="AS80" s="68"/>
      <c r="AT80" s="59"/>
      <c r="AU80" s="68"/>
    </row>
    <row r="81" spans="1:47" ht="45" customHeight="1">
      <c r="A81" s="3" t="s">
        <v>148</v>
      </c>
      <c r="B81" s="3" t="s">
        <v>539</v>
      </c>
      <c r="C81" s="6" t="s">
        <v>540</v>
      </c>
      <c r="D81" s="3" t="s">
        <v>600</v>
      </c>
      <c r="E81" s="3" t="s">
        <v>601</v>
      </c>
      <c r="F81" s="20">
        <f>LEN(G81)</f>
        <v>56</v>
      </c>
      <c r="G81" s="3" t="s">
        <v>602</v>
      </c>
      <c r="H81" s="24" t="s">
        <v>603</v>
      </c>
      <c r="I81" s="24" t="s">
        <v>545</v>
      </c>
      <c r="J81" s="3" t="s">
        <v>154</v>
      </c>
      <c r="K81" s="3" t="s">
        <v>154</v>
      </c>
      <c r="L81" s="3" t="s">
        <v>155</v>
      </c>
      <c r="M81" s="3" t="s">
        <v>604</v>
      </c>
      <c r="N81" s="20">
        <v>14735</v>
      </c>
      <c r="O81" s="3" t="s">
        <v>600</v>
      </c>
      <c r="P81" s="3" t="s">
        <v>157</v>
      </c>
      <c r="Q81" s="5"/>
      <c r="R81" s="3" t="s">
        <v>605</v>
      </c>
      <c r="S81" s="6" t="s">
        <v>557</v>
      </c>
      <c r="T81" s="24"/>
      <c r="U81" s="3" t="b">
        <v>1</v>
      </c>
      <c r="V81" s="5"/>
      <c r="W81" s="64"/>
      <c r="X81" s="64"/>
      <c r="Y81" s="64"/>
      <c r="Z81" s="64"/>
      <c r="AA81" s="59" t="s">
        <v>606</v>
      </c>
      <c r="AB81" s="65"/>
      <c r="AC81" s="68"/>
      <c r="AD81" s="65"/>
      <c r="AE81" s="68"/>
      <c r="AF81" s="66"/>
      <c r="AG81" s="68"/>
      <c r="AH81" s="67"/>
      <c r="AI81" s="69"/>
      <c r="AJ81" s="69"/>
      <c r="AK81" s="69"/>
      <c r="AL81" s="86"/>
      <c r="AM81" s="88"/>
      <c r="AN81" s="88"/>
      <c r="AO81" s="88"/>
      <c r="AP81" s="59"/>
      <c r="AQ81" s="68"/>
      <c r="AR81" s="59"/>
      <c r="AS81" s="68"/>
      <c r="AT81" s="59"/>
      <c r="AU81" s="68"/>
    </row>
    <row r="82" spans="1:47" ht="45" customHeight="1">
      <c r="A82" s="3" t="s">
        <v>148</v>
      </c>
      <c r="B82" s="3" t="s">
        <v>539</v>
      </c>
      <c r="C82" s="6" t="s">
        <v>540</v>
      </c>
      <c r="D82" s="3" t="s">
        <v>607</v>
      </c>
      <c r="E82" s="3" t="s">
        <v>601</v>
      </c>
      <c r="F82" s="20">
        <f>LEN(G82)</f>
        <v>56</v>
      </c>
      <c r="G82" s="3" t="s">
        <v>608</v>
      </c>
      <c r="H82" s="24" t="s">
        <v>603</v>
      </c>
      <c r="I82" s="24" t="s">
        <v>545</v>
      </c>
      <c r="J82" s="3" t="s">
        <v>154</v>
      </c>
      <c r="K82" s="3" t="s">
        <v>154</v>
      </c>
      <c r="L82" s="3" t="s">
        <v>155</v>
      </c>
      <c r="M82" s="3" t="s">
        <v>604</v>
      </c>
      <c r="N82" s="20">
        <v>14735</v>
      </c>
      <c r="O82" s="3" t="s">
        <v>607</v>
      </c>
      <c r="P82" s="3" t="s">
        <v>157</v>
      </c>
      <c r="Q82" s="5"/>
      <c r="R82" s="3" t="s">
        <v>609</v>
      </c>
      <c r="S82" s="6" t="s">
        <v>557</v>
      </c>
      <c r="T82" s="24"/>
      <c r="U82" s="3" t="b">
        <v>1</v>
      </c>
      <c r="V82" s="5"/>
      <c r="W82" s="64"/>
      <c r="X82" s="64"/>
      <c r="Y82" s="64"/>
      <c r="Z82" s="64"/>
      <c r="AA82" s="59" t="s">
        <v>610</v>
      </c>
      <c r="AB82" s="65"/>
      <c r="AC82" s="68"/>
      <c r="AD82" s="65"/>
      <c r="AE82" s="68"/>
      <c r="AF82" s="66"/>
      <c r="AG82" s="68"/>
      <c r="AH82" s="67"/>
      <c r="AI82" s="69"/>
      <c r="AJ82" s="69"/>
      <c r="AK82" s="69"/>
      <c r="AL82" s="86"/>
      <c r="AM82" s="88"/>
      <c r="AN82" s="88"/>
      <c r="AO82" s="88"/>
      <c r="AP82" s="59"/>
      <c r="AQ82" s="68"/>
      <c r="AR82" s="59"/>
      <c r="AS82" s="68"/>
      <c r="AT82" s="59"/>
      <c r="AU82" s="68"/>
    </row>
    <row r="83" spans="1:47" ht="45" customHeight="1">
      <c r="A83" s="3" t="s">
        <v>148</v>
      </c>
      <c r="B83" s="3" t="s">
        <v>539</v>
      </c>
      <c r="C83" s="6" t="s">
        <v>540</v>
      </c>
      <c r="D83" s="3" t="s">
        <v>611</v>
      </c>
      <c r="E83" s="3" t="s">
        <v>612</v>
      </c>
      <c r="F83" s="20">
        <f>LEN(G83)</f>
        <v>44</v>
      </c>
      <c r="G83" s="3" t="s">
        <v>613</v>
      </c>
      <c r="H83" s="24" t="s">
        <v>614</v>
      </c>
      <c r="I83" s="24" t="s">
        <v>545</v>
      </c>
      <c r="J83" s="3" t="s">
        <v>615</v>
      </c>
      <c r="K83" s="3" t="s">
        <v>615</v>
      </c>
      <c r="L83" s="3" t="s">
        <v>155</v>
      </c>
      <c r="M83" s="3" t="s">
        <v>616</v>
      </c>
      <c r="N83" s="20" t="s">
        <v>617</v>
      </c>
      <c r="O83" s="3" t="s">
        <v>611</v>
      </c>
      <c r="P83" s="3" t="s">
        <v>157</v>
      </c>
      <c r="Q83" s="5"/>
      <c r="R83" s="3" t="s">
        <v>618</v>
      </c>
      <c r="S83" s="6" t="s">
        <v>548</v>
      </c>
      <c r="T83" s="24"/>
      <c r="U83" s="3" t="b">
        <v>1</v>
      </c>
      <c r="V83" s="5"/>
      <c r="W83" s="64"/>
      <c r="X83" s="64"/>
      <c r="Y83" s="64"/>
      <c r="Z83" s="64"/>
      <c r="AA83" s="59" t="s">
        <v>619</v>
      </c>
      <c r="AB83" s="65"/>
      <c r="AC83" s="68"/>
      <c r="AD83" s="65"/>
      <c r="AE83" s="68"/>
      <c r="AF83" s="66"/>
      <c r="AG83" s="68"/>
      <c r="AH83" s="67"/>
      <c r="AI83" s="69"/>
      <c r="AJ83" s="69"/>
      <c r="AK83" s="69"/>
      <c r="AL83" s="86"/>
      <c r="AM83" s="88"/>
      <c r="AN83" s="88"/>
      <c r="AO83" s="88"/>
      <c r="AP83" s="59"/>
      <c r="AQ83" s="68"/>
      <c r="AR83" s="59"/>
      <c r="AS83" s="68"/>
      <c r="AT83" s="59"/>
      <c r="AU83" s="68"/>
    </row>
    <row r="84" spans="1:47" ht="45" customHeight="1">
      <c r="A84" s="3" t="s">
        <v>148</v>
      </c>
      <c r="B84" s="3" t="s">
        <v>539</v>
      </c>
      <c r="C84" s="6" t="s">
        <v>540</v>
      </c>
      <c r="D84" s="3" t="s">
        <v>620</v>
      </c>
      <c r="E84" s="3" t="s">
        <v>612</v>
      </c>
      <c r="F84" s="20">
        <f>LEN(G84)</f>
        <v>45</v>
      </c>
      <c r="G84" s="3" t="s">
        <v>621</v>
      </c>
      <c r="H84" s="24" t="s">
        <v>614</v>
      </c>
      <c r="I84" s="24" t="s">
        <v>545</v>
      </c>
      <c r="J84" s="3" t="s">
        <v>615</v>
      </c>
      <c r="K84" s="3" t="s">
        <v>615</v>
      </c>
      <c r="L84" s="3" t="s">
        <v>155</v>
      </c>
      <c r="M84" s="3" t="s">
        <v>616</v>
      </c>
      <c r="N84" s="20">
        <v>26343</v>
      </c>
      <c r="O84" s="3" t="s">
        <v>620</v>
      </c>
      <c r="P84" s="3" t="s">
        <v>157</v>
      </c>
      <c r="Q84" s="5"/>
      <c r="R84" s="3" t="s">
        <v>622</v>
      </c>
      <c r="S84" s="6" t="s">
        <v>548</v>
      </c>
      <c r="T84" s="24"/>
      <c r="U84" s="3" t="b">
        <v>1</v>
      </c>
      <c r="V84" s="5"/>
      <c r="W84" s="64"/>
      <c r="X84" s="64"/>
      <c r="Y84" s="64"/>
      <c r="Z84" s="64"/>
      <c r="AA84" s="59" t="s">
        <v>623</v>
      </c>
      <c r="AB84" s="65"/>
      <c r="AC84" s="68"/>
      <c r="AD84" s="65"/>
      <c r="AE84" s="68"/>
      <c r="AF84" s="66"/>
      <c r="AG84" s="68"/>
      <c r="AH84" s="67"/>
      <c r="AI84" s="69"/>
      <c r="AJ84" s="69"/>
      <c r="AK84" s="69"/>
      <c r="AL84" s="86"/>
      <c r="AM84" s="88"/>
      <c r="AN84" s="88"/>
      <c r="AO84" s="88"/>
      <c r="AP84" s="59"/>
      <c r="AQ84" s="68"/>
      <c r="AR84" s="59"/>
      <c r="AS84" s="68"/>
      <c r="AT84" s="59"/>
      <c r="AU84" s="68"/>
    </row>
    <row r="85" spans="1:47" ht="45" customHeight="1">
      <c r="A85" s="3" t="s">
        <v>148</v>
      </c>
      <c r="B85" s="3" t="s">
        <v>539</v>
      </c>
      <c r="C85" s="6" t="s">
        <v>540</v>
      </c>
      <c r="D85" s="3" t="s">
        <v>624</v>
      </c>
      <c r="E85" s="3" t="s">
        <v>245</v>
      </c>
      <c r="F85" s="20">
        <f>LEN(G85)</f>
        <v>38</v>
      </c>
      <c r="G85" s="3" t="s">
        <v>625</v>
      </c>
      <c r="H85" s="24" t="s">
        <v>626</v>
      </c>
      <c r="I85" s="24" t="s">
        <v>545</v>
      </c>
      <c r="J85" s="3" t="s">
        <v>154</v>
      </c>
      <c r="K85" s="3" t="s">
        <v>154</v>
      </c>
      <c r="L85" s="3" t="s">
        <v>155</v>
      </c>
      <c r="M85" s="3" t="s">
        <v>627</v>
      </c>
      <c r="N85" s="20">
        <v>5966</v>
      </c>
      <c r="O85" s="3" t="s">
        <v>624</v>
      </c>
      <c r="P85" s="3" t="s">
        <v>157</v>
      </c>
      <c r="Q85" s="5"/>
      <c r="R85" s="3" t="s">
        <v>628</v>
      </c>
      <c r="S85" s="6" t="s">
        <v>557</v>
      </c>
      <c r="T85" s="24"/>
      <c r="U85" s="3" t="b">
        <v>1</v>
      </c>
      <c r="V85" s="5"/>
      <c r="W85" s="64"/>
      <c r="X85" s="64"/>
      <c r="Y85" s="64"/>
      <c r="Z85" s="64"/>
      <c r="AA85" s="59" t="s">
        <v>629</v>
      </c>
      <c r="AB85" s="65"/>
      <c r="AC85" s="68"/>
      <c r="AD85" s="65"/>
      <c r="AE85" s="68"/>
      <c r="AF85" s="66"/>
      <c r="AG85" s="68"/>
      <c r="AH85" s="67"/>
      <c r="AI85" s="69"/>
      <c r="AJ85" s="69"/>
      <c r="AK85" s="69"/>
      <c r="AL85" s="86"/>
      <c r="AM85" s="88"/>
      <c r="AN85" s="88"/>
      <c r="AO85" s="88"/>
      <c r="AP85" s="59"/>
      <c r="AQ85" s="68"/>
      <c r="AR85" s="59"/>
      <c r="AS85" s="68"/>
      <c r="AT85" s="59"/>
      <c r="AU85" s="68"/>
    </row>
    <row r="86" spans="1:47" ht="45" customHeight="1">
      <c r="A86" s="3" t="s">
        <v>148</v>
      </c>
      <c r="B86" s="3" t="s">
        <v>539</v>
      </c>
      <c r="C86" s="6" t="s">
        <v>540</v>
      </c>
      <c r="D86" s="3" t="s">
        <v>630</v>
      </c>
      <c r="E86" s="3" t="s">
        <v>363</v>
      </c>
      <c r="F86" s="20">
        <f>LEN(G86)</f>
        <v>65</v>
      </c>
      <c r="G86" s="3" t="s">
        <v>631</v>
      </c>
      <c r="H86" s="24" t="s">
        <v>319</v>
      </c>
      <c r="I86" s="24" t="s">
        <v>545</v>
      </c>
      <c r="J86" s="3" t="s">
        <v>154</v>
      </c>
      <c r="K86" s="3" t="s">
        <v>154</v>
      </c>
      <c r="L86" s="3" t="s">
        <v>155</v>
      </c>
      <c r="M86" s="3" t="s">
        <v>632</v>
      </c>
      <c r="N86" s="20">
        <v>27358</v>
      </c>
      <c r="O86" s="3" t="s">
        <v>630</v>
      </c>
      <c r="P86" s="3" t="s">
        <v>157</v>
      </c>
      <c r="Q86" s="5"/>
      <c r="R86" s="3" t="s">
        <v>633</v>
      </c>
      <c r="S86" s="6" t="s">
        <v>557</v>
      </c>
      <c r="T86" s="24"/>
      <c r="U86" s="3" t="b">
        <v>1</v>
      </c>
      <c r="V86" s="5"/>
      <c r="W86" s="64"/>
      <c r="X86" s="64"/>
      <c r="Y86" s="64"/>
      <c r="Z86" s="64"/>
      <c r="AA86" s="59" t="s">
        <v>634</v>
      </c>
      <c r="AB86" s="65"/>
      <c r="AC86" s="68"/>
      <c r="AD86" s="65"/>
      <c r="AE86" s="68"/>
      <c r="AF86" s="66"/>
      <c r="AG86" s="68"/>
      <c r="AH86" s="67"/>
      <c r="AI86" s="69"/>
      <c r="AJ86" s="69"/>
      <c r="AK86" s="69"/>
      <c r="AL86" s="86"/>
      <c r="AM86" s="88"/>
      <c r="AN86" s="88"/>
      <c r="AO86" s="88"/>
      <c r="AP86" s="59"/>
      <c r="AQ86" s="68"/>
      <c r="AR86" s="59"/>
      <c r="AS86" s="68"/>
      <c r="AT86" s="59"/>
      <c r="AU86" s="68"/>
    </row>
    <row r="87" spans="1:47" ht="45" customHeight="1">
      <c r="A87" s="3" t="s">
        <v>148</v>
      </c>
      <c r="B87" s="3" t="s">
        <v>539</v>
      </c>
      <c r="C87" s="6" t="s">
        <v>540</v>
      </c>
      <c r="D87" s="3" t="s">
        <v>635</v>
      </c>
      <c r="E87" s="3" t="s">
        <v>636</v>
      </c>
      <c r="F87" s="20">
        <f>LEN(G87)</f>
        <v>30</v>
      </c>
      <c r="G87" s="3" t="s">
        <v>637</v>
      </c>
      <c r="H87" s="24" t="s">
        <v>370</v>
      </c>
      <c r="I87" s="24" t="s">
        <v>545</v>
      </c>
      <c r="J87" s="3" t="s">
        <v>154</v>
      </c>
      <c r="K87" s="3" t="s">
        <v>154</v>
      </c>
      <c r="L87" s="3" t="s">
        <v>155</v>
      </c>
      <c r="M87" s="3" t="s">
        <v>546</v>
      </c>
      <c r="N87" s="20">
        <v>139893</v>
      </c>
      <c r="O87" s="3" t="s">
        <v>638</v>
      </c>
      <c r="P87" s="3" t="s">
        <v>157</v>
      </c>
      <c r="Q87" s="5"/>
      <c r="R87" s="3" t="s">
        <v>639</v>
      </c>
      <c r="S87" s="6" t="s">
        <v>548</v>
      </c>
      <c r="T87" s="24"/>
      <c r="U87" s="3" t="b">
        <v>1</v>
      </c>
      <c r="V87" s="5"/>
      <c r="W87" s="64"/>
      <c r="X87" s="64"/>
      <c r="Y87" s="64"/>
      <c r="Z87" s="64"/>
      <c r="AA87" s="59" t="s">
        <v>640</v>
      </c>
      <c r="AB87" s="65"/>
      <c r="AC87" s="68"/>
      <c r="AD87" s="65"/>
      <c r="AE87" s="68"/>
      <c r="AF87" s="66"/>
      <c r="AG87" s="68"/>
      <c r="AH87" s="67"/>
      <c r="AI87" s="69"/>
      <c r="AJ87" s="69"/>
      <c r="AK87" s="69"/>
      <c r="AL87" s="86"/>
      <c r="AM87" s="88"/>
      <c r="AN87" s="88"/>
      <c r="AO87" s="88"/>
      <c r="AP87" s="59"/>
      <c r="AQ87" s="68"/>
      <c r="AR87" s="59"/>
      <c r="AS87" s="68"/>
      <c r="AT87" s="59"/>
      <c r="AU87" s="68"/>
    </row>
    <row r="88" spans="1:47" ht="45" customHeight="1">
      <c r="A88" s="3" t="s">
        <v>148</v>
      </c>
      <c r="B88" s="3" t="s">
        <v>539</v>
      </c>
      <c r="C88" s="6" t="s">
        <v>540</v>
      </c>
      <c r="D88" s="3" t="s">
        <v>641</v>
      </c>
      <c r="E88" s="3" t="s">
        <v>363</v>
      </c>
      <c r="F88" s="20">
        <f>LEN(G88)</f>
        <v>54</v>
      </c>
      <c r="G88" s="3" t="s">
        <v>642</v>
      </c>
      <c r="H88" s="24" t="s">
        <v>643</v>
      </c>
      <c r="I88" s="24" t="s">
        <v>545</v>
      </c>
      <c r="J88" s="3" t="s">
        <v>154</v>
      </c>
      <c r="K88" s="3" t="s">
        <v>154</v>
      </c>
      <c r="L88" s="3" t="s">
        <v>155</v>
      </c>
      <c r="M88" s="3" t="s">
        <v>644</v>
      </c>
      <c r="N88" s="20">
        <v>83236</v>
      </c>
      <c r="O88" s="3" t="s">
        <v>641</v>
      </c>
      <c r="P88" s="3" t="s">
        <v>157</v>
      </c>
      <c r="Q88" s="5"/>
      <c r="R88" s="3" t="s">
        <v>645</v>
      </c>
      <c r="S88" s="6" t="s">
        <v>557</v>
      </c>
      <c r="T88" s="24"/>
      <c r="U88" s="3" t="b">
        <v>1</v>
      </c>
      <c r="V88" s="5"/>
      <c r="W88" s="64"/>
      <c r="X88" s="64"/>
      <c r="Y88" s="64"/>
      <c r="Z88" s="64"/>
      <c r="AA88" s="59" t="s">
        <v>646</v>
      </c>
      <c r="AB88" s="65"/>
      <c r="AC88" s="68"/>
      <c r="AD88" s="65"/>
      <c r="AE88" s="68"/>
      <c r="AF88" s="66"/>
      <c r="AG88" s="68"/>
      <c r="AH88" s="67"/>
      <c r="AI88" s="69"/>
      <c r="AJ88" s="69"/>
      <c r="AK88" s="69"/>
      <c r="AL88" s="86"/>
      <c r="AM88" s="88"/>
      <c r="AN88" s="88"/>
      <c r="AO88" s="88"/>
      <c r="AP88" s="59"/>
      <c r="AQ88" s="68"/>
      <c r="AR88" s="59"/>
      <c r="AS88" s="68"/>
      <c r="AT88" s="59"/>
      <c r="AU88" s="68"/>
    </row>
    <row r="89" spans="1:47" ht="45" customHeight="1">
      <c r="A89" s="3" t="s">
        <v>148</v>
      </c>
      <c r="B89" s="3" t="s">
        <v>539</v>
      </c>
      <c r="C89" s="6" t="s">
        <v>540</v>
      </c>
      <c r="D89" s="3" t="s">
        <v>647</v>
      </c>
      <c r="E89" s="3" t="s">
        <v>648</v>
      </c>
      <c r="F89" s="20">
        <f>LEN(G89)</f>
        <v>40</v>
      </c>
      <c r="G89" s="3" t="s">
        <v>649</v>
      </c>
      <c r="H89" s="24" t="s">
        <v>281</v>
      </c>
      <c r="I89" s="24" t="s">
        <v>545</v>
      </c>
      <c r="J89" s="3" t="s">
        <v>154</v>
      </c>
      <c r="K89" s="3" t="s">
        <v>154</v>
      </c>
      <c r="L89" s="3" t="s">
        <v>155</v>
      </c>
      <c r="M89" s="3" t="s">
        <v>650</v>
      </c>
      <c r="N89" s="20">
        <v>83237</v>
      </c>
      <c r="O89" s="3" t="s">
        <v>647</v>
      </c>
      <c r="P89" s="3" t="s">
        <v>157</v>
      </c>
      <c r="Q89" s="5"/>
      <c r="R89" s="3" t="s">
        <v>651</v>
      </c>
      <c r="S89" s="6" t="s">
        <v>652</v>
      </c>
      <c r="T89" s="24"/>
      <c r="U89" s="3" t="b">
        <v>1</v>
      </c>
      <c r="V89" s="3" t="s">
        <v>653</v>
      </c>
      <c r="W89" s="64"/>
      <c r="X89" s="64"/>
      <c r="Y89" s="64"/>
      <c r="Z89" s="64"/>
      <c r="AA89" s="59" t="s">
        <v>654</v>
      </c>
      <c r="AB89" s="65"/>
      <c r="AC89" s="68"/>
      <c r="AD89" s="65"/>
      <c r="AE89" s="68"/>
      <c r="AF89" s="66"/>
      <c r="AG89" s="68"/>
      <c r="AH89" s="67"/>
      <c r="AI89" s="69"/>
      <c r="AJ89" s="69"/>
      <c r="AK89" s="69"/>
      <c r="AL89" s="86"/>
      <c r="AM89" s="88"/>
      <c r="AN89" s="88"/>
      <c r="AO89" s="88"/>
      <c r="AP89" s="59"/>
      <c r="AQ89" s="68"/>
      <c r="AR89" s="59"/>
      <c r="AS89" s="68"/>
      <c r="AT89" s="59"/>
      <c r="AU89" s="68"/>
    </row>
    <row r="90" spans="1:47" ht="45" customHeight="1">
      <c r="A90" s="3" t="s">
        <v>655</v>
      </c>
      <c r="B90" s="3" t="s">
        <v>656</v>
      </c>
      <c r="C90" s="6" t="s">
        <v>657</v>
      </c>
      <c r="D90" s="3" t="s">
        <v>658</v>
      </c>
      <c r="E90" s="3" t="s">
        <v>399</v>
      </c>
      <c r="F90" s="20">
        <f>LEN(G90)</f>
        <v>61</v>
      </c>
      <c r="G90" s="3" t="s">
        <v>659</v>
      </c>
      <c r="H90" s="24" t="s">
        <v>660</v>
      </c>
      <c r="I90" s="24"/>
      <c r="J90" s="3" t="s">
        <v>154</v>
      </c>
      <c r="K90" s="3" t="s">
        <v>154</v>
      </c>
      <c r="L90" s="3" t="s">
        <v>661</v>
      </c>
      <c r="M90" s="3" t="s">
        <v>662</v>
      </c>
      <c r="N90" s="20">
        <v>91652</v>
      </c>
      <c r="O90" s="3" t="s">
        <v>658</v>
      </c>
      <c r="P90" s="3" t="s">
        <v>663</v>
      </c>
      <c r="Q90" s="5"/>
      <c r="R90" s="3" t="s">
        <v>664</v>
      </c>
      <c r="S90" s="6">
        <v>46295</v>
      </c>
      <c r="T90" s="24"/>
      <c r="U90" s="3" t="b">
        <v>1</v>
      </c>
      <c r="V90" s="5"/>
      <c r="W90" s="64"/>
      <c r="X90" s="64"/>
      <c r="Y90" s="64"/>
      <c r="Z90" s="64"/>
      <c r="AA90" s="59" t="s">
        <v>665</v>
      </c>
      <c r="AB90" s="65"/>
      <c r="AC90" s="68"/>
      <c r="AD90" s="65"/>
      <c r="AE90" s="68"/>
      <c r="AF90" s="66"/>
      <c r="AG90" s="68"/>
      <c r="AH90" s="67"/>
      <c r="AI90" s="69"/>
      <c r="AJ90" s="69"/>
      <c r="AK90" s="69"/>
      <c r="AL90" s="86"/>
      <c r="AM90" s="88"/>
      <c r="AN90" s="88"/>
      <c r="AO90" s="88"/>
      <c r="AP90" s="59"/>
      <c r="AQ90" s="68"/>
      <c r="AR90" s="59"/>
      <c r="AS90" s="68"/>
      <c r="AT90" s="59"/>
      <c r="AU90" s="68"/>
    </row>
    <row r="91" spans="1:47" ht="45" customHeight="1">
      <c r="A91" s="3" t="s">
        <v>148</v>
      </c>
      <c r="B91" s="3" t="s">
        <v>666</v>
      </c>
      <c r="C91" s="6" t="s">
        <v>667</v>
      </c>
      <c r="D91" s="3" t="s">
        <v>668</v>
      </c>
      <c r="E91" s="3" t="s">
        <v>669</v>
      </c>
      <c r="F91" s="20">
        <f>LEN(G91)</f>
        <v>27</v>
      </c>
      <c r="G91" s="3" t="s">
        <v>670</v>
      </c>
      <c r="H91" s="24" t="s">
        <v>232</v>
      </c>
      <c r="I91" s="24"/>
      <c r="J91" s="3" t="s">
        <v>154</v>
      </c>
      <c r="K91" s="3" t="s">
        <v>154</v>
      </c>
      <c r="L91" s="3" t="s">
        <v>155</v>
      </c>
      <c r="M91" s="3" t="s">
        <v>669</v>
      </c>
      <c r="N91" s="20">
        <v>14436</v>
      </c>
      <c r="O91" s="3" t="s">
        <v>671</v>
      </c>
      <c r="P91" s="3" t="s">
        <v>672</v>
      </c>
      <c r="Q91" s="5"/>
      <c r="R91" s="3" t="s">
        <v>673</v>
      </c>
      <c r="S91" s="6">
        <v>46294</v>
      </c>
      <c r="T91" s="24"/>
      <c r="U91" s="3" t="b">
        <v>1</v>
      </c>
      <c r="V91" s="5"/>
      <c r="W91" s="64"/>
      <c r="X91" s="64"/>
      <c r="Y91" s="64"/>
      <c r="Z91" s="64"/>
      <c r="AA91" s="59" t="s">
        <v>674</v>
      </c>
      <c r="AB91" s="65"/>
      <c r="AC91" s="68"/>
      <c r="AD91" s="65"/>
      <c r="AE91" s="68"/>
      <c r="AF91" s="66"/>
      <c r="AG91" s="68"/>
      <c r="AH91" s="67"/>
      <c r="AI91" s="69"/>
      <c r="AJ91" s="69"/>
      <c r="AK91" s="69"/>
      <c r="AL91" s="86"/>
      <c r="AM91" s="88"/>
      <c r="AN91" s="88"/>
      <c r="AO91" s="88"/>
      <c r="AP91" s="59"/>
      <c r="AQ91" s="68"/>
      <c r="AR91" s="59"/>
      <c r="AS91" s="68"/>
      <c r="AT91" s="59"/>
      <c r="AU91" s="68"/>
    </row>
    <row r="92" spans="1:47" ht="45" customHeight="1">
      <c r="A92" s="3" t="s">
        <v>148</v>
      </c>
      <c r="B92" s="3" t="s">
        <v>666</v>
      </c>
      <c r="C92" s="6" t="s">
        <v>667</v>
      </c>
      <c r="D92" s="3" t="s">
        <v>675</v>
      </c>
      <c r="E92" s="3" t="s">
        <v>669</v>
      </c>
      <c r="F92" s="20">
        <f>LEN(G92)</f>
        <v>36</v>
      </c>
      <c r="G92" s="3" t="s">
        <v>676</v>
      </c>
      <c r="H92" s="24" t="s">
        <v>677</v>
      </c>
      <c r="I92" s="3" t="s">
        <v>678</v>
      </c>
      <c r="J92" s="3" t="s">
        <v>154</v>
      </c>
      <c r="K92" s="3" t="s">
        <v>154</v>
      </c>
      <c r="L92" s="3" t="s">
        <v>155</v>
      </c>
      <c r="M92" s="3" t="s">
        <v>669</v>
      </c>
      <c r="N92" s="20">
        <v>14436</v>
      </c>
      <c r="O92" s="3" t="s">
        <v>675</v>
      </c>
      <c r="P92" s="3" t="s">
        <v>672</v>
      </c>
      <c r="Q92" s="5"/>
      <c r="R92" s="3" t="s">
        <v>679</v>
      </c>
      <c r="S92" s="3">
        <v>46295</v>
      </c>
      <c r="T92" s="24"/>
      <c r="U92" s="5"/>
      <c r="V92" s="5"/>
      <c r="W92" s="64"/>
      <c r="X92" s="64"/>
      <c r="Y92" s="64"/>
      <c r="Z92" s="64"/>
      <c r="AA92" s="59" t="s">
        <v>680</v>
      </c>
      <c r="AB92" s="65"/>
      <c r="AC92" s="68"/>
      <c r="AD92" s="65"/>
      <c r="AE92" s="68"/>
      <c r="AF92" s="66"/>
      <c r="AG92" s="68"/>
      <c r="AH92" s="67"/>
      <c r="AI92" s="69"/>
      <c r="AJ92" s="69"/>
      <c r="AK92" s="69"/>
      <c r="AL92" s="86"/>
      <c r="AM92" s="88"/>
      <c r="AN92" s="88"/>
      <c r="AO92" s="88"/>
      <c r="AP92" s="59"/>
      <c r="AQ92" s="68"/>
      <c r="AR92" s="59"/>
      <c r="AS92" s="68"/>
      <c r="AT92" s="59"/>
      <c r="AU92" s="68"/>
    </row>
    <row r="93" spans="1:47" ht="45" customHeight="1">
      <c r="A93" s="3" t="s">
        <v>148</v>
      </c>
      <c r="B93" s="3" t="s">
        <v>176</v>
      </c>
      <c r="C93" s="6" t="s">
        <v>667</v>
      </c>
      <c r="D93" s="3" t="s">
        <v>681</v>
      </c>
      <c r="E93" s="3" t="s">
        <v>682</v>
      </c>
      <c r="F93" s="20">
        <f>LEN(G93)</f>
        <v>26</v>
      </c>
      <c r="G93" s="3" t="s">
        <v>683</v>
      </c>
      <c r="H93" s="24" t="s">
        <v>684</v>
      </c>
      <c r="I93" s="5"/>
      <c r="J93" s="3" t="s">
        <v>154</v>
      </c>
      <c r="K93" s="3" t="s">
        <v>154</v>
      </c>
      <c r="L93" s="3" t="s">
        <v>155</v>
      </c>
      <c r="M93" s="3" t="s">
        <v>682</v>
      </c>
      <c r="N93" s="20">
        <v>5969</v>
      </c>
      <c r="O93" s="3" t="s">
        <v>681</v>
      </c>
      <c r="P93" s="3" t="s">
        <v>183</v>
      </c>
      <c r="Q93" s="3" t="s">
        <v>185</v>
      </c>
      <c r="R93" s="3" t="s">
        <v>685</v>
      </c>
      <c r="S93" s="6">
        <v>46300</v>
      </c>
      <c r="T93" s="24" t="s">
        <v>686</v>
      </c>
      <c r="U93" s="3" t="b">
        <v>0</v>
      </c>
      <c r="V93" s="3" t="s">
        <v>185</v>
      </c>
      <c r="W93" s="64"/>
      <c r="X93" s="64"/>
      <c r="Y93" s="64"/>
      <c r="Z93" s="64"/>
      <c r="AA93" s="59" t="s">
        <v>687</v>
      </c>
      <c r="AB93" s="65"/>
      <c r="AC93" s="68"/>
      <c r="AD93" s="65"/>
      <c r="AE93" s="68"/>
      <c r="AF93" s="66"/>
      <c r="AG93" s="68"/>
      <c r="AH93" s="67"/>
      <c r="AI93" s="69"/>
      <c r="AJ93" s="69"/>
      <c r="AK93" s="69"/>
      <c r="AL93" s="86"/>
      <c r="AM93" s="88"/>
      <c r="AN93" s="88"/>
      <c r="AO93" s="88"/>
      <c r="AP93" s="59"/>
      <c r="AQ93" s="68"/>
      <c r="AR93" s="59"/>
      <c r="AS93" s="68"/>
      <c r="AT93" s="59"/>
      <c r="AU93" s="68"/>
    </row>
    <row r="94" spans="1:47" ht="45" customHeight="1">
      <c r="A94" s="3" t="s">
        <v>148</v>
      </c>
      <c r="B94" s="3" t="s">
        <v>176</v>
      </c>
      <c r="C94" s="6" t="s">
        <v>667</v>
      </c>
      <c r="D94" s="3" t="s">
        <v>688</v>
      </c>
      <c r="E94" s="3" t="s">
        <v>682</v>
      </c>
      <c r="F94" s="20">
        <f>LEN(G94)</f>
        <v>32</v>
      </c>
      <c r="G94" s="3" t="s">
        <v>689</v>
      </c>
      <c r="H94" s="24" t="s">
        <v>684</v>
      </c>
      <c r="I94" s="24"/>
      <c r="J94" s="3" t="s">
        <v>154</v>
      </c>
      <c r="K94" s="3" t="s">
        <v>154</v>
      </c>
      <c r="L94" s="3" t="s">
        <v>155</v>
      </c>
      <c r="M94" s="3" t="s">
        <v>682</v>
      </c>
      <c r="N94" s="20">
        <v>5969</v>
      </c>
      <c r="O94" s="3" t="s">
        <v>688</v>
      </c>
      <c r="P94" s="3" t="s">
        <v>183</v>
      </c>
      <c r="Q94" s="3" t="s">
        <v>185</v>
      </c>
      <c r="R94" s="3" t="s">
        <v>690</v>
      </c>
      <c r="S94" s="6">
        <v>46300</v>
      </c>
      <c r="T94" s="24" t="s">
        <v>686</v>
      </c>
      <c r="U94" s="3" t="b">
        <v>1</v>
      </c>
      <c r="V94" s="3" t="s">
        <v>185</v>
      </c>
      <c r="W94" s="64"/>
      <c r="X94" s="64"/>
      <c r="Y94" s="64"/>
      <c r="Z94" s="64"/>
      <c r="AA94" s="59" t="s">
        <v>691</v>
      </c>
      <c r="AB94" s="65"/>
      <c r="AC94" s="68"/>
      <c r="AD94" s="65"/>
      <c r="AE94" s="68"/>
      <c r="AF94" s="66"/>
      <c r="AG94" s="68"/>
      <c r="AH94" s="67"/>
      <c r="AI94" s="69"/>
      <c r="AJ94" s="69"/>
      <c r="AK94" s="69"/>
      <c r="AL94" s="86"/>
      <c r="AM94" s="88"/>
      <c r="AN94" s="88"/>
      <c r="AO94" s="88"/>
      <c r="AP94" s="59"/>
      <c r="AQ94" s="68"/>
      <c r="AR94" s="59"/>
      <c r="AS94" s="68"/>
      <c r="AT94" s="59"/>
      <c r="AU94" s="68"/>
    </row>
    <row r="95" spans="1:47" ht="45" customHeight="1">
      <c r="A95" s="3" t="s">
        <v>148</v>
      </c>
      <c r="B95" s="3" t="s">
        <v>176</v>
      </c>
      <c r="C95" s="6" t="s">
        <v>667</v>
      </c>
      <c r="D95" s="3" t="s">
        <v>692</v>
      </c>
      <c r="E95" s="3" t="s">
        <v>682</v>
      </c>
      <c r="F95" s="20">
        <f>LEN(G95)</f>
        <v>27</v>
      </c>
      <c r="G95" s="3" t="s">
        <v>693</v>
      </c>
      <c r="H95" s="24" t="s">
        <v>684</v>
      </c>
      <c r="I95" s="24"/>
      <c r="J95" s="3" t="s">
        <v>154</v>
      </c>
      <c r="K95" s="3" t="s">
        <v>154</v>
      </c>
      <c r="L95" s="3" t="s">
        <v>155</v>
      </c>
      <c r="M95" s="3" t="s">
        <v>682</v>
      </c>
      <c r="N95" s="20">
        <v>5969</v>
      </c>
      <c r="O95" s="3" t="s">
        <v>692</v>
      </c>
      <c r="P95" s="3" t="s">
        <v>183</v>
      </c>
      <c r="Q95" s="3" t="s">
        <v>185</v>
      </c>
      <c r="R95" s="3" t="s">
        <v>694</v>
      </c>
      <c r="S95" s="6">
        <v>46300</v>
      </c>
      <c r="T95" s="24" t="s">
        <v>686</v>
      </c>
      <c r="U95" s="3" t="b">
        <v>1</v>
      </c>
      <c r="V95" s="3" t="s">
        <v>185</v>
      </c>
      <c r="W95" s="64"/>
      <c r="X95" s="64"/>
      <c r="Y95" s="64"/>
      <c r="Z95" s="64"/>
      <c r="AA95" s="59" t="s">
        <v>695</v>
      </c>
      <c r="AB95" s="65"/>
      <c r="AC95" s="68"/>
      <c r="AD95" s="65"/>
      <c r="AE95" s="68"/>
      <c r="AF95" s="66"/>
      <c r="AG95" s="68"/>
      <c r="AH95" s="67"/>
      <c r="AI95" s="69"/>
      <c r="AJ95" s="69"/>
      <c r="AK95" s="69"/>
      <c r="AL95" s="86"/>
      <c r="AM95" s="88"/>
      <c r="AN95" s="88"/>
      <c r="AO95" s="88"/>
      <c r="AP95" s="59"/>
      <c r="AQ95" s="68"/>
      <c r="AR95" s="59"/>
      <c r="AS95" s="68"/>
      <c r="AT95" s="59"/>
      <c r="AU95" s="68"/>
    </row>
    <row r="96" spans="1:47" ht="45" customHeight="1">
      <c r="A96" s="3" t="s">
        <v>148</v>
      </c>
      <c r="B96" s="3" t="s">
        <v>176</v>
      </c>
      <c r="C96" s="6" t="s">
        <v>667</v>
      </c>
      <c r="D96" s="3" t="s">
        <v>696</v>
      </c>
      <c r="E96" s="3" t="s">
        <v>697</v>
      </c>
      <c r="F96" s="20">
        <f>LEN(G96)</f>
        <v>58</v>
      </c>
      <c r="G96" s="3" t="s">
        <v>698</v>
      </c>
      <c r="H96" s="24" t="s">
        <v>699</v>
      </c>
      <c r="I96" s="24"/>
      <c r="J96" s="3" t="s">
        <v>154</v>
      </c>
      <c r="K96" s="3" t="s">
        <v>154</v>
      </c>
      <c r="L96" s="3" t="s">
        <v>155</v>
      </c>
      <c r="M96" s="3" t="s">
        <v>697</v>
      </c>
      <c r="N96" s="20">
        <v>6034</v>
      </c>
      <c r="O96" s="3" t="s">
        <v>696</v>
      </c>
      <c r="P96" s="3" t="s">
        <v>183</v>
      </c>
      <c r="Q96" s="3" t="s">
        <v>700</v>
      </c>
      <c r="R96" s="3" t="s">
        <v>701</v>
      </c>
      <c r="S96" s="6">
        <v>46294</v>
      </c>
      <c r="T96" s="24"/>
      <c r="U96" s="3" t="b">
        <v>1</v>
      </c>
      <c r="V96" s="3" t="s">
        <v>185</v>
      </c>
      <c r="W96" s="64"/>
      <c r="X96" s="64"/>
      <c r="Y96" s="64"/>
      <c r="Z96" s="64"/>
      <c r="AA96" s="59" t="s">
        <v>702</v>
      </c>
      <c r="AB96" s="65"/>
      <c r="AC96" s="68"/>
      <c r="AD96" s="65"/>
      <c r="AE96" s="68"/>
      <c r="AF96" s="66"/>
      <c r="AG96" s="68"/>
      <c r="AH96" s="67"/>
      <c r="AI96" s="69"/>
      <c r="AJ96" s="69"/>
      <c r="AK96" s="69"/>
      <c r="AL96" s="86"/>
      <c r="AM96" s="88"/>
      <c r="AN96" s="88"/>
      <c r="AO96" s="88"/>
      <c r="AP96" s="59"/>
      <c r="AQ96" s="68"/>
      <c r="AR96" s="59"/>
      <c r="AS96" s="68"/>
      <c r="AT96" s="59"/>
      <c r="AU96" s="68"/>
    </row>
    <row r="97" spans="1:47" ht="45" customHeight="1">
      <c r="A97" s="3" t="s">
        <v>148</v>
      </c>
      <c r="B97" s="3" t="s">
        <v>703</v>
      </c>
      <c r="C97" s="6" t="s">
        <v>704</v>
      </c>
      <c r="D97" s="3" t="s">
        <v>705</v>
      </c>
      <c r="E97" s="3" t="s">
        <v>706</v>
      </c>
      <c r="F97" s="20">
        <f>LEN(G97)</f>
        <v>63</v>
      </c>
      <c r="G97" s="3" t="s">
        <v>707</v>
      </c>
      <c r="H97" s="24" t="s">
        <v>275</v>
      </c>
      <c r="I97" s="24"/>
      <c r="J97" s="3" t="s">
        <v>154</v>
      </c>
      <c r="K97" s="3" t="s">
        <v>154</v>
      </c>
      <c r="L97" s="3" t="s">
        <v>155</v>
      </c>
      <c r="M97" s="3" t="s">
        <v>706</v>
      </c>
      <c r="N97" s="20">
        <v>30135</v>
      </c>
      <c r="O97" s="3" t="s">
        <v>705</v>
      </c>
      <c r="P97" s="3" t="s">
        <v>708</v>
      </c>
      <c r="Q97" s="5"/>
      <c r="R97" s="3" t="s">
        <v>709</v>
      </c>
      <c r="S97" s="6">
        <v>46295</v>
      </c>
      <c r="T97" s="24"/>
      <c r="U97" s="3" t="b">
        <v>1</v>
      </c>
      <c r="V97" s="5"/>
      <c r="W97" s="64"/>
      <c r="X97" s="64"/>
      <c r="Y97" s="64"/>
      <c r="Z97" s="64"/>
      <c r="AA97" s="59" t="s">
        <v>710</v>
      </c>
      <c r="AB97" s="65"/>
      <c r="AC97" s="68"/>
      <c r="AD97" s="65"/>
      <c r="AE97" s="68"/>
      <c r="AF97" s="66"/>
      <c r="AG97" s="68"/>
      <c r="AH97" s="67"/>
      <c r="AI97" s="69"/>
      <c r="AJ97" s="69"/>
      <c r="AK97" s="69"/>
      <c r="AL97" s="86"/>
      <c r="AM97" s="88"/>
      <c r="AN97" s="88"/>
      <c r="AO97" s="88"/>
      <c r="AP97" s="59"/>
      <c r="AQ97" s="68"/>
      <c r="AR97" s="59"/>
      <c r="AS97" s="68"/>
      <c r="AT97" s="59"/>
      <c r="AU97" s="68"/>
    </row>
    <row r="98" spans="1:47" ht="45" customHeight="1">
      <c r="A98" s="3" t="s">
        <v>148</v>
      </c>
      <c r="B98" s="3" t="s">
        <v>703</v>
      </c>
      <c r="C98" s="6" t="s">
        <v>704</v>
      </c>
      <c r="D98" s="3" t="s">
        <v>711</v>
      </c>
      <c r="E98" s="3" t="s">
        <v>712</v>
      </c>
      <c r="F98" s="20">
        <f>LEN(G98)</f>
        <v>49</v>
      </c>
      <c r="G98" s="3" t="s">
        <v>713</v>
      </c>
      <c r="H98" s="24" t="s">
        <v>714</v>
      </c>
      <c r="I98" s="24"/>
      <c r="J98" s="3" t="s">
        <v>154</v>
      </c>
      <c r="K98" s="3" t="s">
        <v>154</v>
      </c>
      <c r="L98" s="3" t="s">
        <v>155</v>
      </c>
      <c r="M98" s="3" t="s">
        <v>715</v>
      </c>
      <c r="N98" s="20">
        <v>29992</v>
      </c>
      <c r="O98" s="3" t="s">
        <v>711</v>
      </c>
      <c r="P98" s="3" t="s">
        <v>708</v>
      </c>
      <c r="Q98" s="5"/>
      <c r="R98" s="3" t="s">
        <v>716</v>
      </c>
      <c r="S98" s="6">
        <v>46295</v>
      </c>
      <c r="T98" s="24"/>
      <c r="U98" s="3" t="b">
        <v>1</v>
      </c>
      <c r="V98" s="5"/>
      <c r="W98" s="64"/>
      <c r="X98" s="64"/>
      <c r="Y98" s="64"/>
      <c r="Z98" s="64"/>
      <c r="AA98" s="59" t="s">
        <v>717</v>
      </c>
      <c r="AB98" s="65"/>
      <c r="AC98" s="68"/>
      <c r="AD98" s="65"/>
      <c r="AE98" s="68"/>
      <c r="AF98" s="66"/>
      <c r="AG98" s="68"/>
      <c r="AH98" s="67"/>
      <c r="AI98" s="69"/>
      <c r="AJ98" s="69"/>
      <c r="AK98" s="69"/>
      <c r="AL98" s="86"/>
      <c r="AM98" s="88"/>
      <c r="AN98" s="88"/>
      <c r="AO98" s="88"/>
      <c r="AP98" s="59"/>
      <c r="AQ98" s="68"/>
      <c r="AR98" s="59"/>
      <c r="AS98" s="68"/>
      <c r="AT98" s="59"/>
      <c r="AU98" s="68"/>
    </row>
    <row r="99" spans="1:47" ht="45" customHeight="1">
      <c r="A99" s="3" t="s">
        <v>148</v>
      </c>
      <c r="B99" s="3" t="s">
        <v>656</v>
      </c>
      <c r="C99" s="6" t="s">
        <v>704</v>
      </c>
      <c r="D99" s="3" t="s">
        <v>718</v>
      </c>
      <c r="E99" s="3" t="s">
        <v>719</v>
      </c>
      <c r="F99" s="20">
        <f>LEN(G99)</f>
        <v>39</v>
      </c>
      <c r="G99" s="3" t="s">
        <v>720</v>
      </c>
      <c r="H99" s="24" t="s">
        <v>721</v>
      </c>
      <c r="I99" s="24" t="s">
        <v>722</v>
      </c>
      <c r="J99" s="3" t="s">
        <v>154</v>
      </c>
      <c r="K99" s="3" t="s">
        <v>154</v>
      </c>
      <c r="L99" s="3" t="s">
        <v>155</v>
      </c>
      <c r="M99" s="3" t="s">
        <v>719</v>
      </c>
      <c r="N99" s="20">
        <v>148035</v>
      </c>
      <c r="O99" s="3" t="s">
        <v>718</v>
      </c>
      <c r="P99" s="3" t="s">
        <v>663</v>
      </c>
      <c r="Q99" s="5"/>
      <c r="R99" s="3" t="s">
        <v>723</v>
      </c>
      <c r="S99" s="6">
        <v>46293</v>
      </c>
      <c r="T99" s="24"/>
      <c r="U99" s="3" t="b">
        <v>1</v>
      </c>
      <c r="V99" s="5"/>
      <c r="W99" s="64"/>
      <c r="X99" s="64"/>
      <c r="Y99" s="64"/>
      <c r="Z99" s="64"/>
      <c r="AA99" s="59" t="s">
        <v>724</v>
      </c>
      <c r="AB99" s="65"/>
      <c r="AC99" s="68"/>
      <c r="AD99" s="65"/>
      <c r="AE99" s="68"/>
      <c r="AF99" s="66"/>
      <c r="AG99" s="68"/>
      <c r="AH99" s="67"/>
      <c r="AI99" s="69"/>
      <c r="AJ99" s="69"/>
      <c r="AK99" s="69"/>
      <c r="AL99" s="86"/>
      <c r="AM99" s="88"/>
      <c r="AN99" s="88"/>
      <c r="AO99" s="88"/>
      <c r="AP99" s="59"/>
      <c r="AQ99" s="68"/>
      <c r="AR99" s="59"/>
      <c r="AS99" s="68"/>
      <c r="AT99" s="59"/>
      <c r="AU99" s="68"/>
    </row>
    <row r="100" spans="1:47" ht="45" customHeight="1">
      <c r="A100" s="3" t="s">
        <v>655</v>
      </c>
      <c r="B100" s="3" t="s">
        <v>656</v>
      </c>
      <c r="C100" s="6" t="s">
        <v>704</v>
      </c>
      <c r="D100" s="3" t="s">
        <v>725</v>
      </c>
      <c r="E100" s="3" t="s">
        <v>245</v>
      </c>
      <c r="F100" s="20">
        <f>LEN(G100)</f>
        <v>60</v>
      </c>
      <c r="G100" s="3" t="s">
        <v>726</v>
      </c>
      <c r="H100" s="24" t="s">
        <v>727</v>
      </c>
      <c r="I100" s="5"/>
      <c r="J100" s="3" t="s">
        <v>154</v>
      </c>
      <c r="K100" s="3" t="s">
        <v>154</v>
      </c>
      <c r="L100" s="3" t="s">
        <v>661</v>
      </c>
      <c r="M100" s="3" t="s">
        <v>245</v>
      </c>
      <c r="N100" s="20">
        <v>5966</v>
      </c>
      <c r="O100" s="3" t="s">
        <v>725</v>
      </c>
      <c r="P100" s="3" t="s">
        <v>663</v>
      </c>
      <c r="Q100" s="5"/>
      <c r="R100" s="3" t="s">
        <v>728</v>
      </c>
      <c r="S100" s="5"/>
      <c r="T100" s="24"/>
      <c r="U100" s="3" t="b">
        <v>0</v>
      </c>
      <c r="V100" s="5"/>
      <c r="W100" s="64"/>
      <c r="X100" s="64"/>
      <c r="Y100" s="64"/>
      <c r="Z100" s="64"/>
      <c r="AA100" s="59" t="s">
        <v>729</v>
      </c>
      <c r="AB100" s="65"/>
      <c r="AC100" s="68"/>
      <c r="AD100" s="65"/>
      <c r="AE100" s="68"/>
      <c r="AF100" s="66"/>
      <c r="AG100" s="68"/>
      <c r="AH100" s="67"/>
      <c r="AI100" s="69"/>
      <c r="AJ100" s="69"/>
      <c r="AK100" s="69"/>
      <c r="AL100" s="86"/>
      <c r="AM100" s="88"/>
      <c r="AN100" s="88"/>
      <c r="AO100" s="88"/>
      <c r="AP100" s="59"/>
      <c r="AQ100" s="68"/>
      <c r="AR100" s="59"/>
      <c r="AS100" s="68"/>
      <c r="AT100" s="59"/>
      <c r="AU100" s="68"/>
    </row>
    <row r="101" spans="1:47" ht="45" customHeight="1">
      <c r="A101" s="3" t="s">
        <v>655</v>
      </c>
      <c r="B101" s="3" t="s">
        <v>656</v>
      </c>
      <c r="C101" s="6" t="s">
        <v>704</v>
      </c>
      <c r="D101" s="3" t="s">
        <v>730</v>
      </c>
      <c r="E101" s="3" t="s">
        <v>363</v>
      </c>
      <c r="F101" s="20">
        <f>LEN(G101)</f>
        <v>33</v>
      </c>
      <c r="G101" s="3" t="s">
        <v>731</v>
      </c>
      <c r="H101" s="24" t="s">
        <v>732</v>
      </c>
      <c r="I101" s="24"/>
      <c r="J101" s="3" t="s">
        <v>154</v>
      </c>
      <c r="K101" s="3" t="s">
        <v>154</v>
      </c>
      <c r="L101" s="3" t="s">
        <v>661</v>
      </c>
      <c r="M101" s="3" t="s">
        <v>363</v>
      </c>
      <c r="N101" s="20">
        <v>91021</v>
      </c>
      <c r="O101" s="3" t="s">
        <v>730</v>
      </c>
      <c r="P101" s="3" t="s">
        <v>663</v>
      </c>
      <c r="Q101" s="5"/>
      <c r="R101" s="3" t="s">
        <v>733</v>
      </c>
      <c r="S101" s="6">
        <v>46295</v>
      </c>
      <c r="T101" s="24"/>
      <c r="U101" s="3" t="b">
        <v>1</v>
      </c>
      <c r="V101" s="5"/>
      <c r="W101" s="64"/>
      <c r="X101" s="64"/>
      <c r="Y101" s="64"/>
      <c r="Z101" s="64"/>
      <c r="AA101" s="59" t="s">
        <v>734</v>
      </c>
      <c r="AB101" s="65"/>
      <c r="AC101" s="68"/>
      <c r="AD101" s="65"/>
      <c r="AE101" s="68"/>
      <c r="AF101" s="66"/>
      <c r="AG101" s="68"/>
      <c r="AH101" s="67"/>
      <c r="AI101" s="69"/>
      <c r="AJ101" s="69"/>
      <c r="AK101" s="69"/>
      <c r="AL101" s="86"/>
      <c r="AM101" s="88"/>
      <c r="AN101" s="88"/>
      <c r="AO101" s="88"/>
      <c r="AP101" s="59"/>
      <c r="AQ101" s="68"/>
      <c r="AR101" s="59"/>
      <c r="AS101" s="68"/>
      <c r="AT101" s="59"/>
      <c r="AU101" s="68"/>
    </row>
    <row r="102" spans="1:47" ht="108.75" customHeight="1">
      <c r="A102" s="3" t="s">
        <v>655</v>
      </c>
      <c r="B102" s="3" t="s">
        <v>656</v>
      </c>
      <c r="C102" s="6" t="s">
        <v>704</v>
      </c>
      <c r="D102" s="3" t="s">
        <v>735</v>
      </c>
      <c r="E102" s="3" t="s">
        <v>736</v>
      </c>
      <c r="F102" s="20">
        <f>LEN(G102)</f>
        <v>51</v>
      </c>
      <c r="G102" s="3" t="s">
        <v>737</v>
      </c>
      <c r="H102" s="24" t="s">
        <v>738</v>
      </c>
      <c r="I102" s="5"/>
      <c r="J102" s="3" t="s">
        <v>154</v>
      </c>
      <c r="K102" s="3" t="s">
        <v>154</v>
      </c>
      <c r="L102" s="3" t="s">
        <v>661</v>
      </c>
      <c r="M102" s="3" t="s">
        <v>736</v>
      </c>
      <c r="N102" s="20">
        <v>6034</v>
      </c>
      <c r="O102" s="3" t="s">
        <v>735</v>
      </c>
      <c r="P102" s="3" t="s">
        <v>663</v>
      </c>
      <c r="Q102" s="5"/>
      <c r="R102" s="5" t="inlineStr">
        <is>
          <t xml:space="preserve">087340</t>
        </is>
      </c>
      <c r="S102" s="5">
        <v>46303</v>
      </c>
      <c r="T102" s="24" t="inlineStr">
        <is>
          <t xml:space="preserve">30/09 : Pouvez vous nous transmettre un devis du fournisseur SEW USOCOME récent</t>
        </is>
      </c>
      <c r="U102" s="3" t="b">
        <v>0</v>
      </c>
      <c r="V102" s="5"/>
      <c r="W102" s="64"/>
      <c r="X102" s="64"/>
      <c r="Y102" s="64" t="s">
        <v>740</v>
      </c>
      <c r="Z102" s="64"/>
      <c r="AA102" s="59" t="s">
        <v>212</v>
      </c>
      <c r="AB102" s="65"/>
      <c r="AC102" s="68" t="s">
        <v>213</v>
      </c>
      <c r="AD102" s="65" t="s">
        <v>741</v>
      </c>
      <c r="AE102" s="68" t="s">
        <v>742</v>
      </c>
      <c r="AF102" s="66" t="s">
        <v>743</v>
      </c>
      <c r="AG102" s="68" t="s">
        <v>744</v>
      </c>
      <c r="AH102" s="67"/>
      <c r="AI102" s="69"/>
      <c r="AJ102" s="69"/>
      <c r="AK102" s="69"/>
      <c r="AL102" s="86" t="s">
        <v>218</v>
      </c>
      <c r="AM102" s="89" t="str">
        <f>HYPERLINK("https://download.sew-eurodrive.com/download/pdf/31976336.pdf","https://download.sew-eurodrive.com/download/pdf/31976336.pdf")</f>
        <v>https://download.sew-eurodrive.com/download/pdf/31976336.pdf</v>
      </c>
      <c r="AN102" s="89" t="str">
        <f>HYPERLINK("https://www.seweurodrive.com/products/gearmotors/standard-gearmotors/helical-gearmotors-rdr/helical-gearmotors-rdr.html","https://www.seweurodrive.com/products/gearmotors/standard-gearmotors/helical-gearmotors-rdr/helical-gearmotors-rdr.html")</f>
        <v>https://www.seweurodrive.com/products/gearmotors/standard-gearmotors/helical-gearmotors-rdr/helical-gearmotors-rdr.html</v>
      </c>
      <c r="AO102" s="88"/>
      <c r="AP102" s="59" t="s">
        <v>74</v>
      </c>
      <c r="AQ102" s="68" t="s">
        <v>745</v>
      </c>
      <c r="AR102" s="59"/>
      <c r="AS102" s="68" t="s">
        <v>746</v>
      </c>
      <c r="AT102" s="59"/>
      <c r="AU102" s="68" t="s">
        <v>747</v>
      </c>
    </row>
    <row r="103" spans="1:47" ht="108.75" customHeight="1">
      <c r="A103" s="3" t="s">
        <v>655</v>
      </c>
      <c r="B103" s="3" t="s">
        <v>656</v>
      </c>
      <c r="C103" s="6" t="s">
        <v>704</v>
      </c>
      <c r="D103" s="3" t="s">
        <v>748</v>
      </c>
      <c r="E103" s="3" t="s">
        <v>736</v>
      </c>
      <c r="F103" s="20">
        <f>LEN(G103)</f>
        <v>54</v>
      </c>
      <c r="G103" s="3" t="s">
        <v>749</v>
      </c>
      <c r="H103" s="24" t="s">
        <v>738</v>
      </c>
      <c r="I103" s="5"/>
      <c r="J103" s="3" t="s">
        <v>154</v>
      </c>
      <c r="K103" s="3" t="s">
        <v>154</v>
      </c>
      <c r="L103" s="3" t="s">
        <v>661</v>
      </c>
      <c r="M103" s="3" t="s">
        <v>736</v>
      </c>
      <c r="N103" s="20">
        <v>6034</v>
      </c>
      <c r="O103" s="3" t="s">
        <v>748</v>
      </c>
      <c r="P103" s="3" t="s">
        <v>663</v>
      </c>
      <c r="Q103" s="5"/>
      <c r="R103" s="5" t="inlineStr">
        <is>
          <t xml:space="preserve">087341</t>
        </is>
      </c>
      <c r="S103" s="5">
        <v>46303</v>
      </c>
      <c r="T103" s="24" t="inlineStr">
        <is>
          <t xml:space="preserve">30/09 : Pouvez vous nous transmettre un devis du fournisseur SEW USOCOME récent</t>
        </is>
      </c>
      <c r="U103" s="3" t="b">
        <v>0</v>
      </c>
      <c r="V103" s="5"/>
      <c r="W103" s="64" t="s">
        <v>748</v>
      </c>
      <c r="X103" s="64"/>
      <c r="Y103" s="64" t="s">
        <v>740</v>
      </c>
      <c r="Z103" s="64"/>
      <c r="AA103" s="59" t="s">
        <v>212</v>
      </c>
      <c r="AB103" s="65"/>
      <c r="AC103" s="68" t="s">
        <v>213</v>
      </c>
      <c r="AD103" s="65" t="s">
        <v>750</v>
      </c>
      <c r="AE103" s="68" t="s">
        <v>751</v>
      </c>
      <c r="AF103" s="66" t="s">
        <v>752</v>
      </c>
      <c r="AG103" s="68" t="s">
        <v>744</v>
      </c>
      <c r="AH103" s="67"/>
      <c r="AI103" s="69"/>
      <c r="AJ103" s="69"/>
      <c r="AK103" s="69"/>
      <c r="AL103" s="86" t="s">
        <v>218</v>
      </c>
      <c r="AM103" s="89" t="str">
        <f>HYPERLINK("https://download.sew-eurodrive.com/download/pdf/31976336.pdf","https://download.sew-eurodrive.com/download/pdf/31976336.pdf")</f>
        <v>https://download.sew-eurodrive.com/download/pdf/31976336.pdf</v>
      </c>
      <c r="AN103" s="88"/>
      <c r="AO103" s="89" t="str">
        <f>HYPERLINK("https://www.industrietec-automation.com/SEW-15-KW-23-min-SA77-TDRN90L4-Getriebemotor-Gearbox-50-Hz","https://www.industrietec-automation.com/SEW-15-KW-23-min-SA77-TDRN90L4-Getriebemotor-Gearbox-50-Hz")</f>
        <v>https://www.industrietec-automation.com/SEW-15-KW-23-min-SA77-TDRN90L4-Getriebemotor-Gearbox-50-Hz</v>
      </c>
      <c r="AP103" s="59" t="s">
        <v>74</v>
      </c>
      <c r="AQ103" s="68" t="s">
        <v>753</v>
      </c>
      <c r="AR103" s="59"/>
      <c r="AS103" s="68" t="s">
        <v>746</v>
      </c>
      <c r="AT103" s="59"/>
      <c r="AU103" s="68" t="s">
        <v>747</v>
      </c>
    </row>
    <row r="104" spans="1:47" ht="108.75" customHeight="1">
      <c r="A104" s="3" t="s">
        <v>655</v>
      </c>
      <c r="B104" s="3" t="s">
        <v>656</v>
      </c>
      <c r="C104" s="6" t="s">
        <v>704</v>
      </c>
      <c r="D104" s="3" t="s">
        <v>754</v>
      </c>
      <c r="E104" s="3" t="s">
        <v>736</v>
      </c>
      <c r="F104" s="20">
        <f>LEN(G104)</f>
        <v>48</v>
      </c>
      <c r="G104" s="3" t="s">
        <v>755</v>
      </c>
      <c r="H104" s="24" t="s">
        <v>738</v>
      </c>
      <c r="I104" s="5"/>
      <c r="J104" s="3" t="s">
        <v>154</v>
      </c>
      <c r="K104" s="3" t="s">
        <v>154</v>
      </c>
      <c r="L104" s="3" t="s">
        <v>661</v>
      </c>
      <c r="M104" s="3" t="s">
        <v>736</v>
      </c>
      <c r="N104" s="20">
        <v>6034</v>
      </c>
      <c r="O104" s="3" t="s">
        <v>754</v>
      </c>
      <c r="P104" s="3" t="s">
        <v>663</v>
      </c>
      <c r="Q104" s="5"/>
      <c r="R104" s="5" t="inlineStr">
        <is>
          <t xml:space="preserve">087342</t>
        </is>
      </c>
      <c r="S104" s="5">
        <v>46303</v>
      </c>
      <c r="T104" s="24" t="inlineStr">
        <is>
          <t xml:space="preserve">30/09 : Pouvez vous nous transmettre un devis du fournisseur SEW USOCOME récent</t>
        </is>
      </c>
      <c r="U104" s="3" t="b">
        <v>0</v>
      </c>
      <c r="V104" s="5"/>
      <c r="W104" s="64" t="s">
        <v>756</v>
      </c>
      <c r="X104" s="64"/>
      <c r="Y104" s="64" t="s">
        <v>740</v>
      </c>
      <c r="Z104" s="64"/>
      <c r="AA104" s="59" t="s">
        <v>212</v>
      </c>
      <c r="AB104" s="65"/>
      <c r="AC104" s="68" t="s">
        <v>213</v>
      </c>
      <c r="AD104" s="65" t="s">
        <v>757</v>
      </c>
      <c r="AE104" s="68" t="s">
        <v>758</v>
      </c>
      <c r="AF104" s="66" t="s">
        <v>759</v>
      </c>
      <c r="AG104" s="68" t="s">
        <v>744</v>
      </c>
      <c r="AH104" s="67"/>
      <c r="AI104" s="69"/>
      <c r="AJ104" s="69"/>
      <c r="AK104" s="69"/>
      <c r="AL104" s="86" t="s">
        <v>218</v>
      </c>
      <c r="AM104" s="89" t="str">
        <f>HYPERLINK("https://documents.mrosupply.com/product_documents/96/76/96765737/424508235_100_K37_DRN90L4_ProductData_en_US.pdf","https://documents.mrosupply.com/product_documents/96/76/96765737/424508235_100_K37_DRN90L4_ProductData_en_US.pdf")</f>
        <v>https://documents.mrosupply.com/product_documents/96/76/96765737/424508235_100_K37_DRN90L4_ProductData_en_US.pdf</v>
      </c>
      <c r="AN104" s="89" t="str">
        <f>HYPERLINK("https://www.seweurodrive.com/en_us/technical_pages/forwarding/driveconfigurator_1/gear_units_1/helical_bevel_gear_units.html","https://www.seweurodrive.com/en_us/technical_pages/forwarding/driveconfigurator_1/gear_units_1/helical_bevel_gear_units.html")</f>
        <v>https://www.seweurodrive.com/en_us/technical_pages/forwarding/driveconfigurator_1/gear_units_1/helical_bevel_gear_units.html</v>
      </c>
      <c r="AO104" s="88"/>
      <c r="AP104" s="59" t="s">
        <v>74</v>
      </c>
      <c r="AQ104" s="68" t="s">
        <v>760</v>
      </c>
      <c r="AR104" s="59"/>
      <c r="AS104" s="68" t="s">
        <v>746</v>
      </c>
      <c r="AT104" s="59"/>
      <c r="AU104" s="68" t="s">
        <v>747</v>
      </c>
    </row>
    <row r="105" spans="1:47" ht="45" customHeight="1">
      <c r="A105" s="3" t="s">
        <v>148</v>
      </c>
      <c r="B105" s="3" t="s">
        <v>666</v>
      </c>
      <c r="C105" s="6" t="s">
        <v>761</v>
      </c>
      <c r="D105" s="3" t="s">
        <v>762</v>
      </c>
      <c r="E105" s="3" t="s">
        <v>763</v>
      </c>
      <c r="F105" s="20">
        <f>LEN(G105)</f>
        <v>19</v>
      </c>
      <c r="G105" s="3" t="s">
        <v>764</v>
      </c>
      <c r="H105" s="24" t="s">
        <v>164</v>
      </c>
      <c r="I105" s="3" t="s">
        <v>763</v>
      </c>
      <c r="J105" s="3" t="s">
        <v>154</v>
      </c>
      <c r="K105" s="3" t="s">
        <v>154</v>
      </c>
      <c r="L105" s="3" t="s">
        <v>155</v>
      </c>
      <c r="M105" s="3" t="s">
        <v>763</v>
      </c>
      <c r="N105" s="4"/>
      <c r="O105" s="3" t="s">
        <v>762</v>
      </c>
      <c r="P105" s="3" t="s">
        <v>672</v>
      </c>
      <c r="Q105" s="5"/>
      <c r="R105" s="3" t="s">
        <v>765</v>
      </c>
      <c r="S105" s="3">
        <v>46295</v>
      </c>
      <c r="T105" s="24"/>
      <c r="U105" s="3" t="b">
        <v>0</v>
      </c>
      <c r="V105" s="5"/>
      <c r="W105" s="64"/>
      <c r="X105" s="64"/>
      <c r="Y105" s="64"/>
      <c r="Z105" s="64"/>
      <c r="AA105" s="59" t="s">
        <v>766</v>
      </c>
      <c r="AB105" s="65"/>
      <c r="AC105" s="68"/>
      <c r="AD105" s="65"/>
      <c r="AE105" s="68"/>
      <c r="AF105" s="66"/>
      <c r="AG105" s="68"/>
      <c r="AH105" s="67"/>
      <c r="AI105" s="69"/>
      <c r="AJ105" s="69"/>
      <c r="AK105" s="69"/>
      <c r="AL105" s="86"/>
      <c r="AM105" s="88"/>
      <c r="AN105" s="88"/>
      <c r="AO105" s="88"/>
      <c r="AP105" s="59"/>
      <c r="AQ105" s="68"/>
      <c r="AR105" s="59"/>
      <c r="AS105" s="68"/>
      <c r="AT105" s="59"/>
      <c r="AU105" s="68"/>
    </row>
    <row r="106" spans="1:47" ht="108.75" customHeight="1">
      <c r="A106" s="3" t="s">
        <v>148</v>
      </c>
      <c r="B106" s="3" t="s">
        <v>703</v>
      </c>
      <c r="C106" s="6" t="s">
        <v>767</v>
      </c>
      <c r="D106" s="3" t="s">
        <v>768</v>
      </c>
      <c r="E106" s="3" t="s">
        <v>769</v>
      </c>
      <c r="F106" s="20">
        <f>LEN(G106)</f>
        <v>72</v>
      </c>
      <c r="G106" s="3" t="s">
        <v>770</v>
      </c>
      <c r="H106" s="24" t="s">
        <v>714</v>
      </c>
      <c r="I106" s="5"/>
      <c r="J106" s="3" t="s">
        <v>154</v>
      </c>
      <c r="K106" s="3" t="s">
        <v>154</v>
      </c>
      <c r="L106" s="3" t="s">
        <v>155</v>
      </c>
      <c r="M106" s="3" t="s">
        <v>771</v>
      </c>
      <c r="N106" s="20">
        <v>161809</v>
      </c>
      <c r="O106" s="3" t="s">
        <v>768</v>
      </c>
      <c r="P106" s="3" t="s">
        <v>772</v>
      </c>
      <c r="Q106" s="5"/>
      <c r="R106" s="5" t="inlineStr">
        <is>
          <t xml:space="preserve">087321</t>
        </is>
      </c>
      <c r="S106" s="5">
        <v>46302</v>
      </c>
      <c r="T106" s="24"/>
      <c r="U106" s="3" t="b">
        <v>0</v>
      </c>
      <c r="V106" s="5"/>
      <c r="W106" s="64" t="s">
        <v>768</v>
      </c>
      <c r="X106" s="64"/>
      <c r="Y106" s="64" t="s">
        <v>773</v>
      </c>
      <c r="Z106" s="64"/>
      <c r="AA106" s="59" t="s">
        <v>774</v>
      </c>
      <c r="AB106" s="65"/>
      <c r="AC106" s="68" t="s">
        <v>213</v>
      </c>
      <c r="AD106" s="65" t="s">
        <v>775</v>
      </c>
      <c r="AE106" s="68" t="s">
        <v>776</v>
      </c>
      <c r="AF106" s="66" t="s">
        <v>770</v>
      </c>
      <c r="AG106" s="68" t="s">
        <v>777</v>
      </c>
      <c r="AH106" s="67"/>
      <c r="AI106" s="69"/>
      <c r="AJ106" s="69"/>
      <c r="AK106" s="69"/>
      <c r="AL106" s="86" t="s">
        <v>218</v>
      </c>
      <c r="AM106" s="88"/>
      <c r="AN106" s="89" t="str">
        <f>HYPERLINK("https://www.ksb.com/en-us/lc/products/pump/dry-installed-pump/etanorm-etanorm-myflow-etanorm-pro/e04b","https://www.ksb.com/en-us/lc/products/pump/dry-installed-pump/etanorm-etanorm-myflow-etanorm-pro/e04b")</f>
        <v>https://www.ksb.com/en-us/lc/products/pump/dry-installed-pump/etanorm-etanorm-myflow-etanorm-pro/e04b</v>
      </c>
      <c r="AO106" s="89" t="str">
        <f>HYPERLINK("https://www.lenntech.com/products/KSB-Etanorm/ETN-100-080-160/100-080-160-Centrifugal-Pump/index.html","https://www.lenntech.com/products/KSB-Etanorm/ETN-100-080-160/100-080-160-Centrifugal-Pump/index.html")</f>
        <v>https://www.lenntech.com/products/KSB-Etanorm/ETN-100-080-160/100-080-160-Centrifugal-Pump/index.html</v>
      </c>
      <c r="AP106" s="59" t="s">
        <v>72</v>
      </c>
      <c r="AQ106" s="68" t="s">
        <v>778</v>
      </c>
      <c r="AR106" s="59"/>
      <c r="AS106" s="68" t="s">
        <v>746</v>
      </c>
      <c r="AT106" s="59"/>
      <c r="AU106" s="68" t="s">
        <v>747</v>
      </c>
    </row>
    <row r="107" spans="1:47" ht="80.25" customHeight="1">
      <c r="A107" s="3" t="s">
        <v>148</v>
      </c>
      <c r="B107" s="3" t="s">
        <v>703</v>
      </c>
      <c r="C107" s="6" t="s">
        <v>767</v>
      </c>
      <c r="D107" s="3" t="s">
        <v>779</v>
      </c>
      <c r="E107" s="3" t="s">
        <v>780</v>
      </c>
      <c r="F107" s="20">
        <f>LEN(G107)</f>
        <v>33</v>
      </c>
      <c r="G107" s="3" t="s">
        <v>781</v>
      </c>
      <c r="H107" s="24" t="s">
        <v>714</v>
      </c>
      <c r="I107" s="5"/>
      <c r="J107" s="3" t="s">
        <v>154</v>
      </c>
      <c r="K107" s="3" t="s">
        <v>154</v>
      </c>
      <c r="L107" s="3" t="s">
        <v>155</v>
      </c>
      <c r="M107" s="3" t="s">
        <v>782</v>
      </c>
      <c r="N107" s="20">
        <v>98790</v>
      </c>
      <c r="O107" s="3" t="s">
        <v>779</v>
      </c>
      <c r="P107" s="3" t="s">
        <v>772</v>
      </c>
      <c r="Q107" s="5"/>
      <c r="R107" s="5" t="inlineStr">
        <is>
          <t xml:space="preserve">087322</t>
        </is>
      </c>
      <c r="S107" s="5">
        <v>46302</v>
      </c>
      <c r="T107" s="24"/>
      <c r="U107" s="3" t="b">
        <v>0</v>
      </c>
      <c r="V107" s="5"/>
      <c r="W107" s="64"/>
      <c r="X107" s="64"/>
      <c r="Y107" s="64" t="s">
        <v>783</v>
      </c>
      <c r="Z107" s="64"/>
      <c r="AA107" s="59" t="s">
        <v>784</v>
      </c>
      <c r="AB107" s="65"/>
      <c r="AC107" s="68" t="s">
        <v>213</v>
      </c>
      <c r="AD107" s="65" t="s">
        <v>785</v>
      </c>
      <c r="AE107" s="68" t="s">
        <v>786</v>
      </c>
      <c r="AF107" s="66" t="s">
        <v>781</v>
      </c>
      <c r="AG107" s="68" t="s">
        <v>777</v>
      </c>
      <c r="AH107" s="67"/>
      <c r="AI107" s="69"/>
      <c r="AJ107" s="69"/>
      <c r="AK107" s="69"/>
      <c r="AL107" s="86" t="s">
        <v>218</v>
      </c>
      <c r="AM107" s="88"/>
      <c r="AN107" s="88"/>
      <c r="AO107" s="88"/>
      <c r="AP107" s="59" t="s">
        <v>74</v>
      </c>
      <c r="AQ107" s="68" t="s">
        <v>787</v>
      </c>
      <c r="AR107" s="59"/>
      <c r="AS107" s="68" t="s">
        <v>788</v>
      </c>
      <c r="AT107" s="59"/>
      <c r="AU107" s="68" t="s">
        <v>747</v>
      </c>
    </row>
    <row r="108" spans="1:47" ht="45" customHeight="1">
      <c r="A108" s="3" t="s">
        <v>148</v>
      </c>
      <c r="B108" s="3" t="s">
        <v>789</v>
      </c>
      <c r="C108" s="6" t="s">
        <v>767</v>
      </c>
      <c r="D108" s="3" t="s">
        <v>790</v>
      </c>
      <c r="E108" s="3" t="s">
        <v>791</v>
      </c>
      <c r="F108" s="20">
        <f>LEN(G108)</f>
        <v>56</v>
      </c>
      <c r="G108" s="3" t="s">
        <v>792</v>
      </c>
      <c r="H108" s="24" t="s">
        <v>793</v>
      </c>
      <c r="I108" s="24"/>
      <c r="J108" s="3" t="s">
        <v>154</v>
      </c>
      <c r="K108" s="3" t="s">
        <v>154</v>
      </c>
      <c r="L108" s="3" t="s">
        <v>155</v>
      </c>
      <c r="M108" s="3" t="s">
        <v>791</v>
      </c>
      <c r="N108" s="20">
        <v>3449</v>
      </c>
      <c r="O108" s="3" t="s">
        <v>790</v>
      </c>
      <c r="P108" s="3" t="s">
        <v>663</v>
      </c>
      <c r="Q108" s="5"/>
      <c r="R108" s="3" t="s">
        <v>794</v>
      </c>
      <c r="S108" s="6">
        <v>46295</v>
      </c>
      <c r="T108" s="24"/>
      <c r="U108" s="3" t="b">
        <v>1</v>
      </c>
      <c r="V108" s="5"/>
      <c r="W108" s="64"/>
      <c r="X108" s="64"/>
      <c r="Y108" s="64"/>
      <c r="Z108" s="64"/>
      <c r="AA108" s="59" t="s">
        <v>795</v>
      </c>
      <c r="AB108" s="65"/>
      <c r="AC108" s="68"/>
      <c r="AD108" s="65"/>
      <c r="AE108" s="68"/>
      <c r="AF108" s="66"/>
      <c r="AG108" s="68"/>
      <c r="AH108" s="67"/>
      <c r="AI108" s="69"/>
      <c r="AJ108" s="69"/>
      <c r="AK108" s="69"/>
      <c r="AL108" s="86"/>
      <c r="AM108" s="88"/>
      <c r="AN108" s="88"/>
      <c r="AO108" s="88"/>
      <c r="AP108" s="59"/>
      <c r="AQ108" s="68"/>
      <c r="AR108" s="59"/>
      <c r="AS108" s="68"/>
      <c r="AT108" s="59"/>
      <c r="AU108" s="68"/>
    </row>
    <row r="109" spans="1:47" ht="45" customHeight="1">
      <c r="A109" s="3" t="s">
        <v>148</v>
      </c>
      <c r="B109" s="3" t="s">
        <v>789</v>
      </c>
      <c r="C109" s="6" t="s">
        <v>767</v>
      </c>
      <c r="D109" s="3" t="s">
        <v>796</v>
      </c>
      <c r="E109" s="3" t="s">
        <v>791</v>
      </c>
      <c r="F109" s="20">
        <f>LEN(G109)</f>
        <v>46</v>
      </c>
      <c r="G109" s="3" t="s">
        <v>797</v>
      </c>
      <c r="H109" s="24" t="s">
        <v>793</v>
      </c>
      <c r="I109" s="24"/>
      <c r="J109" s="3" t="s">
        <v>154</v>
      </c>
      <c r="K109" s="3" t="s">
        <v>154</v>
      </c>
      <c r="L109" s="3" t="s">
        <v>155</v>
      </c>
      <c r="M109" s="3" t="s">
        <v>791</v>
      </c>
      <c r="N109" s="20">
        <v>3449</v>
      </c>
      <c r="O109" s="3" t="s">
        <v>796</v>
      </c>
      <c r="P109" s="3" t="s">
        <v>663</v>
      </c>
      <c r="Q109" s="5"/>
      <c r="R109" s="3" t="s">
        <v>798</v>
      </c>
      <c r="S109" s="6">
        <v>46295</v>
      </c>
      <c r="T109" s="24"/>
      <c r="U109" s="3" t="b">
        <v>1</v>
      </c>
      <c r="V109" s="5"/>
      <c r="W109" s="64"/>
      <c r="X109" s="64"/>
      <c r="Y109" s="64"/>
      <c r="Z109" s="64"/>
      <c r="AA109" s="59" t="s">
        <v>799</v>
      </c>
      <c r="AB109" s="65"/>
      <c r="AC109" s="68"/>
      <c r="AD109" s="65"/>
      <c r="AE109" s="68"/>
      <c r="AF109" s="66"/>
      <c r="AG109" s="68"/>
      <c r="AH109" s="67"/>
      <c r="AI109" s="69"/>
      <c r="AJ109" s="69"/>
      <c r="AK109" s="69"/>
      <c r="AL109" s="86"/>
      <c r="AM109" s="88"/>
      <c r="AN109" s="88"/>
      <c r="AO109" s="88"/>
      <c r="AP109" s="59"/>
      <c r="AQ109" s="68"/>
      <c r="AR109" s="59"/>
      <c r="AS109" s="68"/>
      <c r="AT109" s="59"/>
      <c r="AU109" s="68"/>
    </row>
    <row r="110" spans="1:47" ht="45" customHeight="1">
      <c r="A110" s="3" t="s">
        <v>148</v>
      </c>
      <c r="B110" s="3" t="s">
        <v>789</v>
      </c>
      <c r="C110" s="6" t="s">
        <v>767</v>
      </c>
      <c r="D110" s="3" t="s">
        <v>800</v>
      </c>
      <c r="E110" s="3" t="s">
        <v>791</v>
      </c>
      <c r="F110" s="20">
        <f>LEN(G110)</f>
        <v>37</v>
      </c>
      <c r="G110" s="3" t="s">
        <v>801</v>
      </c>
      <c r="H110" s="24" t="s">
        <v>793</v>
      </c>
      <c r="I110" s="24"/>
      <c r="J110" s="3" t="s">
        <v>154</v>
      </c>
      <c r="K110" s="3" t="s">
        <v>154</v>
      </c>
      <c r="L110" s="3" t="s">
        <v>155</v>
      </c>
      <c r="M110" s="3" t="s">
        <v>791</v>
      </c>
      <c r="N110" s="20">
        <v>3449</v>
      </c>
      <c r="O110" s="3" t="s">
        <v>800</v>
      </c>
      <c r="P110" s="3" t="s">
        <v>663</v>
      </c>
      <c r="Q110" s="5"/>
      <c r="R110" s="3" t="s">
        <v>802</v>
      </c>
      <c r="S110" s="6">
        <v>46295</v>
      </c>
      <c r="T110" s="24"/>
      <c r="U110" s="3" t="b">
        <v>1</v>
      </c>
      <c r="V110" s="5"/>
      <c r="W110" s="64"/>
      <c r="X110" s="64"/>
      <c r="Y110" s="64"/>
      <c r="Z110" s="64"/>
      <c r="AA110" s="59" t="s">
        <v>803</v>
      </c>
      <c r="AB110" s="65"/>
      <c r="AC110" s="68"/>
      <c r="AD110" s="65"/>
      <c r="AE110" s="68"/>
      <c r="AF110" s="66"/>
      <c r="AG110" s="68"/>
      <c r="AH110" s="67"/>
      <c r="AI110" s="69"/>
      <c r="AJ110" s="69"/>
      <c r="AK110" s="69"/>
      <c r="AL110" s="86"/>
      <c r="AM110" s="88"/>
      <c r="AN110" s="88"/>
      <c r="AO110" s="88"/>
      <c r="AP110" s="59"/>
      <c r="AQ110" s="68"/>
      <c r="AR110" s="59"/>
      <c r="AS110" s="68"/>
      <c r="AT110" s="59"/>
      <c r="AU110" s="68"/>
    </row>
    <row r="111" spans="1:47" ht="45" customHeight="1">
      <c r="A111" s="3" t="s">
        <v>148</v>
      </c>
      <c r="B111" s="3" t="s">
        <v>789</v>
      </c>
      <c r="C111" s="6" t="s">
        <v>767</v>
      </c>
      <c r="D111" s="3" t="s">
        <v>804</v>
      </c>
      <c r="E111" s="3" t="s">
        <v>791</v>
      </c>
      <c r="F111" s="20">
        <f>LEN(G111)</f>
        <v>56</v>
      </c>
      <c r="G111" s="3" t="s">
        <v>805</v>
      </c>
      <c r="H111" s="24" t="s">
        <v>793</v>
      </c>
      <c r="I111" s="24"/>
      <c r="J111" s="3" t="s">
        <v>154</v>
      </c>
      <c r="K111" s="3" t="s">
        <v>154</v>
      </c>
      <c r="L111" s="3" t="s">
        <v>155</v>
      </c>
      <c r="M111" s="3" t="s">
        <v>791</v>
      </c>
      <c r="N111" s="20">
        <v>3449</v>
      </c>
      <c r="O111" s="3" t="s">
        <v>804</v>
      </c>
      <c r="P111" s="3" t="s">
        <v>663</v>
      </c>
      <c r="Q111" s="5"/>
      <c r="R111" s="3" t="s">
        <v>806</v>
      </c>
      <c r="S111" s="6">
        <v>46295</v>
      </c>
      <c r="T111" s="24"/>
      <c r="U111" s="3" t="b">
        <v>1</v>
      </c>
      <c r="V111" s="5"/>
      <c r="W111" s="64"/>
      <c r="X111" s="64"/>
      <c r="Y111" s="64"/>
      <c r="Z111" s="64"/>
      <c r="AA111" s="59" t="s">
        <v>807</v>
      </c>
      <c r="AB111" s="65"/>
      <c r="AC111" s="68"/>
      <c r="AD111" s="65"/>
      <c r="AE111" s="68"/>
      <c r="AF111" s="66"/>
      <c r="AG111" s="68"/>
      <c r="AH111" s="67"/>
      <c r="AI111" s="69"/>
      <c r="AJ111" s="69"/>
      <c r="AK111" s="69"/>
      <c r="AL111" s="86"/>
      <c r="AM111" s="88"/>
      <c r="AN111" s="88"/>
      <c r="AO111" s="88"/>
      <c r="AP111" s="59"/>
      <c r="AQ111" s="68"/>
      <c r="AR111" s="59"/>
      <c r="AS111" s="68"/>
      <c r="AT111" s="59"/>
      <c r="AU111" s="68"/>
    </row>
    <row r="112" spans="1:47" ht="45" customHeight="1">
      <c r="A112" s="3" t="s">
        <v>148</v>
      </c>
      <c r="B112" s="3" t="s">
        <v>789</v>
      </c>
      <c r="C112" s="6" t="s">
        <v>767</v>
      </c>
      <c r="D112" s="3" t="s">
        <v>808</v>
      </c>
      <c r="E112" s="3" t="s">
        <v>791</v>
      </c>
      <c r="F112" s="20">
        <f>LEN(G112)</f>
        <v>56</v>
      </c>
      <c r="G112" s="3" t="s">
        <v>809</v>
      </c>
      <c r="H112" s="24" t="s">
        <v>793</v>
      </c>
      <c r="I112" s="24"/>
      <c r="J112" s="3" t="s">
        <v>154</v>
      </c>
      <c r="K112" s="3" t="s">
        <v>154</v>
      </c>
      <c r="L112" s="3" t="s">
        <v>155</v>
      </c>
      <c r="M112" s="3" t="s">
        <v>791</v>
      </c>
      <c r="N112" s="20">
        <v>3449</v>
      </c>
      <c r="O112" s="3" t="s">
        <v>808</v>
      </c>
      <c r="P112" s="3" t="s">
        <v>663</v>
      </c>
      <c r="Q112" s="5"/>
      <c r="R112" s="3" t="s">
        <v>810</v>
      </c>
      <c r="S112" s="6">
        <v>46295</v>
      </c>
      <c r="T112" s="24"/>
      <c r="U112" s="3" t="b">
        <v>1</v>
      </c>
      <c r="V112" s="5"/>
      <c r="W112" s="64"/>
      <c r="X112" s="64"/>
      <c r="Y112" s="64"/>
      <c r="Z112" s="64"/>
      <c r="AA112" s="59" t="s">
        <v>811</v>
      </c>
      <c r="AB112" s="65"/>
      <c r="AC112" s="68"/>
      <c r="AD112" s="65"/>
      <c r="AE112" s="68"/>
      <c r="AF112" s="66"/>
      <c r="AG112" s="68"/>
      <c r="AH112" s="67"/>
      <c r="AI112" s="69"/>
      <c r="AJ112" s="69"/>
      <c r="AK112" s="69"/>
      <c r="AL112" s="86"/>
      <c r="AM112" s="88"/>
      <c r="AN112" s="88"/>
      <c r="AO112" s="88"/>
      <c r="AP112" s="59"/>
      <c r="AQ112" s="68"/>
      <c r="AR112" s="59"/>
      <c r="AS112" s="68"/>
      <c r="AT112" s="59"/>
      <c r="AU112" s="68"/>
    </row>
    <row r="113" spans="1:47" ht="45" customHeight="1">
      <c r="A113" s="3" t="s">
        <v>148</v>
      </c>
      <c r="B113" s="3" t="s">
        <v>789</v>
      </c>
      <c r="C113" s="6" t="s">
        <v>767</v>
      </c>
      <c r="D113" s="3" t="s">
        <v>812</v>
      </c>
      <c r="E113" s="3" t="s">
        <v>791</v>
      </c>
      <c r="F113" s="20">
        <f>LEN(G113)</f>
        <v>49</v>
      </c>
      <c r="G113" s="3" t="s">
        <v>813</v>
      </c>
      <c r="H113" s="24" t="s">
        <v>793</v>
      </c>
      <c r="I113" s="24"/>
      <c r="J113" s="3" t="s">
        <v>154</v>
      </c>
      <c r="K113" s="3" t="s">
        <v>154</v>
      </c>
      <c r="L113" s="3" t="s">
        <v>155</v>
      </c>
      <c r="M113" s="3" t="s">
        <v>791</v>
      </c>
      <c r="N113" s="20">
        <v>3449</v>
      </c>
      <c r="O113" s="3" t="s">
        <v>812</v>
      </c>
      <c r="P113" s="3" t="s">
        <v>663</v>
      </c>
      <c r="Q113" s="5"/>
      <c r="R113" s="3" t="s">
        <v>814</v>
      </c>
      <c r="S113" s="6">
        <v>46295</v>
      </c>
      <c r="T113" s="24"/>
      <c r="U113" s="3" t="b">
        <v>1</v>
      </c>
      <c r="V113" s="5"/>
      <c r="W113" s="64"/>
      <c r="X113" s="64"/>
      <c r="Y113" s="64"/>
      <c r="Z113" s="64"/>
      <c r="AA113" s="59" t="s">
        <v>815</v>
      </c>
      <c r="AB113" s="65"/>
      <c r="AC113" s="68"/>
      <c r="AD113" s="65"/>
      <c r="AE113" s="68"/>
      <c r="AF113" s="66"/>
      <c r="AG113" s="68"/>
      <c r="AH113" s="67"/>
      <c r="AI113" s="69"/>
      <c r="AJ113" s="69"/>
      <c r="AK113" s="69"/>
      <c r="AL113" s="86"/>
      <c r="AM113" s="88"/>
      <c r="AN113" s="88"/>
      <c r="AO113" s="88"/>
      <c r="AP113" s="59"/>
      <c r="AQ113" s="68"/>
      <c r="AR113" s="59"/>
      <c r="AS113" s="68"/>
      <c r="AT113" s="59"/>
      <c r="AU113" s="68"/>
    </row>
    <row r="114" spans="1:47" ht="120" customHeight="1">
      <c r="A114" s="3" t="s">
        <v>148</v>
      </c>
      <c r="B114" s="3" t="s">
        <v>816</v>
      </c>
      <c r="C114" s="6" t="s">
        <v>767</v>
      </c>
      <c r="D114" s="3" t="s">
        <v>817</v>
      </c>
      <c r="E114" s="3" t="s">
        <v>818</v>
      </c>
      <c r="F114" s="20">
        <f>LEN(G114)</f>
        <v>85</v>
      </c>
      <c r="G114" s="3" t="s">
        <v>819</v>
      </c>
      <c r="H114" s="24" t="s">
        <v>820</v>
      </c>
      <c r="I114" s="5"/>
      <c r="J114" s="3" t="s">
        <v>154</v>
      </c>
      <c r="K114" s="3" t="s">
        <v>154</v>
      </c>
      <c r="L114" s="3" t="s">
        <v>155</v>
      </c>
      <c r="M114" s="3" t="s">
        <v>821</v>
      </c>
      <c r="N114" s="20">
        <v>15189</v>
      </c>
      <c r="O114" s="3" t="s">
        <v>822</v>
      </c>
      <c r="P114" s="3" t="s">
        <v>157</v>
      </c>
      <c r="Q114" s="3" t="s">
        <v>823</v>
      </c>
      <c r="R114" s="5"/>
      <c r="S114" s="5"/>
      <c r="T114" s="24" t="s">
        <v>824</v>
      </c>
      <c r="U114" s="3" t="b">
        <v>0</v>
      </c>
      <c r="V114" s="5"/>
      <c r="W114" s="64"/>
      <c r="X114" s="64" t="s">
        <v>825</v>
      </c>
      <c r="Y114" s="64" t="s">
        <v>826</v>
      </c>
      <c r="Z114" s="64" t="s">
        <v>822</v>
      </c>
      <c r="AA114" s="59" t="s">
        <v>827</v>
      </c>
      <c r="AB114" s="65"/>
      <c r="AC114" s="68" t="s">
        <v>213</v>
      </c>
      <c r="AD114" s="65" t="s">
        <v>828</v>
      </c>
      <c r="AE114" s="68" t="s">
        <v>829</v>
      </c>
      <c r="AF114" s="66" t="s">
        <v>830</v>
      </c>
      <c r="AG114" s="68" t="s">
        <v>831</v>
      </c>
      <c r="AH114" s="67"/>
      <c r="AI114" s="69"/>
      <c r="AJ114" s="69"/>
      <c r="AK114" s="69"/>
      <c r="AL114" s="86" t="s">
        <v>218</v>
      </c>
      <c r="AM114" s="88"/>
      <c r="AN114" s="88"/>
      <c r="AO114" s="89" t="str">
        <f>HYPERLINK("https://www.manutan.fr/fr/maf/sangle-d-arrimage-a-crochets-et-tendeur-a-cliquet-tmu-2500-kg","https://www.manutan.fr/fr/maf/sangle-d-arrimage-a-crochets-et-tendeur-a-cliquet-tmu-2500-kg")</f>
        <v>https://www.manutan.fr/fr/maf/sangle-d-arrimage-a-crochets-et-tendeur-a-cliquet-tmu-2500-kg</v>
      </c>
      <c r="AP114" s="59" t="s">
        <v>72</v>
      </c>
      <c r="AQ114" s="68" t="s">
        <v>832</v>
      </c>
      <c r="AR114" s="59"/>
      <c r="AS114" s="68" t="s">
        <v>746</v>
      </c>
      <c r="AT114" s="59"/>
      <c r="AU114" s="68" t="s">
        <v>747</v>
      </c>
    </row>
    <row r="115" spans="1:47" ht="45" customHeight="1">
      <c r="A115" s="3" t="s">
        <v>148</v>
      </c>
      <c r="B115" s="3" t="s">
        <v>656</v>
      </c>
      <c r="C115" s="6" t="s">
        <v>833</v>
      </c>
      <c r="D115" s="3" t="s">
        <v>834</v>
      </c>
      <c r="E115" s="3" t="s">
        <v>835</v>
      </c>
      <c r="F115" s="20">
        <f>LEN(G115)</f>
        <v>51</v>
      </c>
      <c r="G115" s="3" t="s">
        <v>836</v>
      </c>
      <c r="H115" s="24" t="s">
        <v>837</v>
      </c>
      <c r="I115" s="24"/>
      <c r="J115" s="3" t="s">
        <v>154</v>
      </c>
      <c r="K115" s="3" t="s">
        <v>154</v>
      </c>
      <c r="L115" s="3" t="s">
        <v>155</v>
      </c>
      <c r="M115" s="3" t="s">
        <v>835</v>
      </c>
      <c r="N115" s="20">
        <v>33193</v>
      </c>
      <c r="O115" s="3" t="s">
        <v>834</v>
      </c>
      <c r="P115" s="3" t="s">
        <v>663</v>
      </c>
      <c r="Q115" s="5"/>
      <c r="R115" s="3" t="s">
        <v>838</v>
      </c>
      <c r="S115" s="6">
        <v>46295</v>
      </c>
      <c r="T115" s="24"/>
      <c r="U115" s="3" t="b">
        <v>1</v>
      </c>
      <c r="V115" s="5"/>
      <c r="W115" s="64"/>
      <c r="X115" s="64"/>
      <c r="Y115" s="64"/>
      <c r="Z115" s="64"/>
      <c r="AA115" s="59" t="s">
        <v>839</v>
      </c>
      <c r="AB115" s="65"/>
      <c r="AC115" s="68"/>
      <c r="AD115" s="65"/>
      <c r="AE115" s="68"/>
      <c r="AF115" s="66"/>
      <c r="AG115" s="68"/>
      <c r="AH115" s="67"/>
      <c r="AI115" s="69"/>
      <c r="AJ115" s="69"/>
      <c r="AK115" s="69"/>
      <c r="AL115" s="86"/>
      <c r="AM115" s="88"/>
      <c r="AN115" s="88"/>
      <c r="AO115" s="88"/>
      <c r="AP115" s="59"/>
      <c r="AQ115" s="68"/>
      <c r="AR115" s="59"/>
      <c r="AS115" s="68"/>
      <c r="AT115" s="59"/>
      <c r="AU115" s="68"/>
    </row>
    <row r="116" spans="1:47" ht="45" customHeight="1">
      <c r="A116" s="3" t="s">
        <v>148</v>
      </c>
      <c r="B116" s="3" t="s">
        <v>656</v>
      </c>
      <c r="C116" s="6" t="s">
        <v>833</v>
      </c>
      <c r="D116" s="3" t="s">
        <v>840</v>
      </c>
      <c r="E116" s="3" t="s">
        <v>841</v>
      </c>
      <c r="F116" s="20">
        <f>LEN(G116)</f>
        <v>21</v>
      </c>
      <c r="G116" s="3" t="s">
        <v>842</v>
      </c>
      <c r="H116" s="24" t="s">
        <v>843</v>
      </c>
      <c r="I116" s="24"/>
      <c r="J116" s="3" t="s">
        <v>154</v>
      </c>
      <c r="K116" s="3" t="s">
        <v>154</v>
      </c>
      <c r="L116" s="3" t="s">
        <v>155</v>
      </c>
      <c r="M116" s="3" t="s">
        <v>841</v>
      </c>
      <c r="N116" s="20">
        <v>92179</v>
      </c>
      <c r="O116" s="3" t="s">
        <v>840</v>
      </c>
      <c r="P116" s="3" t="s">
        <v>663</v>
      </c>
      <c r="Q116" s="5"/>
      <c r="R116" s="3" t="s">
        <v>844</v>
      </c>
      <c r="S116" s="6">
        <v>46295</v>
      </c>
      <c r="T116" s="24"/>
      <c r="U116" s="3" t="b">
        <v>1</v>
      </c>
      <c r="V116" s="5"/>
      <c r="W116" s="64"/>
      <c r="X116" s="64"/>
      <c r="Y116" s="64"/>
      <c r="Z116" s="64"/>
      <c r="AA116" s="59" t="s">
        <v>845</v>
      </c>
      <c r="AB116" s="65"/>
      <c r="AC116" s="68"/>
      <c r="AD116" s="65"/>
      <c r="AE116" s="68"/>
      <c r="AF116" s="66"/>
      <c r="AG116" s="68"/>
      <c r="AH116" s="67"/>
      <c r="AI116" s="69"/>
      <c r="AJ116" s="69"/>
      <c r="AK116" s="69"/>
      <c r="AL116" s="86"/>
      <c r="AM116" s="88"/>
      <c r="AN116" s="88"/>
      <c r="AO116" s="88"/>
      <c r="AP116" s="59"/>
      <c r="AQ116" s="68"/>
      <c r="AR116" s="59"/>
      <c r="AS116" s="68"/>
      <c r="AT116" s="59"/>
      <c r="AU116" s="68"/>
    </row>
    <row r="117" spans="1:47" ht="45" customHeight="1">
      <c r="A117" s="3" t="s">
        <v>148</v>
      </c>
      <c r="B117" s="3" t="s">
        <v>160</v>
      </c>
      <c r="C117" s="6">
        <v>46267</v>
      </c>
      <c r="D117" s="3" t="s">
        <v>846</v>
      </c>
      <c r="E117" s="3" t="s">
        <v>847</v>
      </c>
      <c r="F117" s="20">
        <f>LEN(G117)</f>
        <v>93</v>
      </c>
      <c r="G117" s="3" t="s">
        <v>848</v>
      </c>
      <c r="H117" s="24" t="s">
        <v>849</v>
      </c>
      <c r="I117" s="24"/>
      <c r="J117" s="3" t="s">
        <v>154</v>
      </c>
      <c r="K117" s="3" t="s">
        <v>154</v>
      </c>
      <c r="L117" s="3" t="s">
        <v>155</v>
      </c>
      <c r="M117" s="3" t="s">
        <v>850</v>
      </c>
      <c r="N117" s="20">
        <v>38849</v>
      </c>
      <c r="O117" s="3" t="s">
        <v>846</v>
      </c>
      <c r="P117" s="3" t="s">
        <v>157</v>
      </c>
      <c r="Q117" s="3" t="s">
        <v>851</v>
      </c>
      <c r="R117" s="3" t="s">
        <v>852</v>
      </c>
      <c r="S117" s="6">
        <v>46274</v>
      </c>
      <c r="T117" s="24"/>
      <c r="U117" s="3" t="b">
        <v>1</v>
      </c>
      <c r="V117" s="5"/>
      <c r="W117" s="64"/>
      <c r="X117" s="64"/>
      <c r="Y117" s="64"/>
      <c r="Z117" s="64"/>
      <c r="AA117" s="59" t="s">
        <v>853</v>
      </c>
      <c r="AB117" s="65"/>
      <c r="AC117" s="68"/>
      <c r="AD117" s="65"/>
      <c r="AE117" s="68"/>
      <c r="AF117" s="66"/>
      <c r="AG117" s="68"/>
      <c r="AH117" s="67"/>
      <c r="AI117" s="69"/>
      <c r="AJ117" s="69"/>
      <c r="AK117" s="69"/>
      <c r="AL117" s="86"/>
      <c r="AM117" s="88"/>
      <c r="AN117" s="88"/>
      <c r="AO117" s="88"/>
      <c r="AP117" s="59"/>
      <c r="AQ117" s="68"/>
      <c r="AR117" s="59"/>
      <c r="AS117" s="68"/>
      <c r="AT117" s="59"/>
      <c r="AU117" s="68"/>
    </row>
    <row r="118" spans="1:47" ht="45" customHeight="1">
      <c r="A118" s="3" t="s">
        <v>148</v>
      </c>
      <c r="B118" s="3" t="s">
        <v>160</v>
      </c>
      <c r="C118" s="6">
        <v>46267</v>
      </c>
      <c r="D118" s="3" t="s">
        <v>854</v>
      </c>
      <c r="E118" s="3" t="s">
        <v>855</v>
      </c>
      <c r="F118" s="20">
        <f>LEN(G118)</f>
        <v>77</v>
      </c>
      <c r="G118" s="3" t="s">
        <v>856</v>
      </c>
      <c r="H118" s="24" t="s">
        <v>302</v>
      </c>
      <c r="I118" s="24" t="s">
        <v>857</v>
      </c>
      <c r="J118" s="3" t="s">
        <v>154</v>
      </c>
      <c r="K118" s="3" t="s">
        <v>154</v>
      </c>
      <c r="L118" s="3" t="s">
        <v>155</v>
      </c>
      <c r="M118" s="3" t="s">
        <v>858</v>
      </c>
      <c r="N118" s="20">
        <v>5977</v>
      </c>
      <c r="O118" s="3" t="s">
        <v>854</v>
      </c>
      <c r="P118" s="3" t="s">
        <v>157</v>
      </c>
      <c r="Q118" s="5"/>
      <c r="R118" s="3" t="s">
        <v>859</v>
      </c>
      <c r="S118" s="6">
        <v>46274</v>
      </c>
      <c r="T118" s="24"/>
      <c r="U118" s="3" t="b">
        <v>1</v>
      </c>
      <c r="V118" s="5"/>
      <c r="W118" s="64"/>
      <c r="X118" s="64"/>
      <c r="Y118" s="64"/>
      <c r="Z118" s="64"/>
      <c r="AA118" s="59" t="s">
        <v>860</v>
      </c>
      <c r="AB118" s="65"/>
      <c r="AC118" s="68"/>
      <c r="AD118" s="65"/>
      <c r="AE118" s="68"/>
      <c r="AF118" s="66"/>
      <c r="AG118" s="68"/>
      <c r="AH118" s="67"/>
      <c r="AI118" s="69"/>
      <c r="AJ118" s="69"/>
      <c r="AK118" s="69"/>
      <c r="AL118" s="86"/>
      <c r="AM118" s="88"/>
      <c r="AN118" s="88"/>
      <c r="AO118" s="88"/>
      <c r="AP118" s="59"/>
      <c r="AQ118" s="68"/>
      <c r="AR118" s="59"/>
      <c r="AS118" s="68"/>
      <c r="AT118" s="59"/>
      <c r="AU118" s="68"/>
    </row>
    <row r="119" spans="1:47" ht="45" customHeight="1">
      <c r="A119" s="3" t="s">
        <v>148</v>
      </c>
      <c r="B119" s="3" t="s">
        <v>160</v>
      </c>
      <c r="C119" s="6">
        <v>46267</v>
      </c>
      <c r="D119" s="3" t="s">
        <v>861</v>
      </c>
      <c r="E119" s="3" t="s">
        <v>862</v>
      </c>
      <c r="F119" s="20">
        <f>LEN(G119)</f>
        <v>47</v>
      </c>
      <c r="G119" s="3" t="s">
        <v>863</v>
      </c>
      <c r="H119" s="24" t="s">
        <v>864</v>
      </c>
      <c r="I119" s="24" t="s">
        <v>857</v>
      </c>
      <c r="J119" s="3" t="s">
        <v>154</v>
      </c>
      <c r="K119" s="3" t="s">
        <v>154</v>
      </c>
      <c r="L119" s="3" t="s">
        <v>155</v>
      </c>
      <c r="M119" s="3" t="s">
        <v>865</v>
      </c>
      <c r="N119" s="20">
        <v>72459</v>
      </c>
      <c r="O119" s="3" t="s">
        <v>861</v>
      </c>
      <c r="P119" s="3" t="s">
        <v>157</v>
      </c>
      <c r="Q119" s="5"/>
      <c r="R119" s="3" t="s">
        <v>866</v>
      </c>
      <c r="S119" s="6">
        <v>46272</v>
      </c>
      <c r="T119" s="24"/>
      <c r="U119" s="3" t="b">
        <v>1</v>
      </c>
      <c r="V119" s="5"/>
      <c r="W119" s="64"/>
      <c r="X119" s="64"/>
      <c r="Y119" s="64"/>
      <c r="Z119" s="64"/>
      <c r="AA119" s="59" t="s">
        <v>867</v>
      </c>
      <c r="AB119" s="65"/>
      <c r="AC119" s="68"/>
      <c r="AD119" s="65"/>
      <c r="AE119" s="68"/>
      <c r="AF119" s="66"/>
      <c r="AG119" s="68"/>
      <c r="AH119" s="67"/>
      <c r="AI119" s="69"/>
      <c r="AJ119" s="69"/>
      <c r="AK119" s="69"/>
      <c r="AL119" s="86"/>
      <c r="AM119" s="88"/>
      <c r="AN119" s="88"/>
      <c r="AO119" s="88"/>
      <c r="AP119" s="59"/>
      <c r="AQ119" s="68"/>
      <c r="AR119" s="59"/>
      <c r="AS119" s="68"/>
      <c r="AT119" s="59"/>
      <c r="AU119" s="68"/>
    </row>
    <row r="120" spans="1:47" ht="45" customHeight="1">
      <c r="A120" s="3" t="s">
        <v>148</v>
      </c>
      <c r="B120" s="3" t="s">
        <v>160</v>
      </c>
      <c r="C120" s="6">
        <v>46267</v>
      </c>
      <c r="D120" s="3" t="s">
        <v>868</v>
      </c>
      <c r="E120" s="3" t="s">
        <v>869</v>
      </c>
      <c r="F120" s="20">
        <f>LEN(G120)</f>
        <v>81</v>
      </c>
      <c r="G120" s="3" t="s">
        <v>870</v>
      </c>
      <c r="H120" s="24" t="s">
        <v>313</v>
      </c>
      <c r="I120" s="24" t="s">
        <v>857</v>
      </c>
      <c r="J120" s="3" t="s">
        <v>154</v>
      </c>
      <c r="K120" s="3" t="s">
        <v>154</v>
      </c>
      <c r="L120" s="3" t="s">
        <v>155</v>
      </c>
      <c r="M120" s="3" t="s">
        <v>871</v>
      </c>
      <c r="N120" s="20">
        <v>14456</v>
      </c>
      <c r="O120" s="3" t="s">
        <v>868</v>
      </c>
      <c r="P120" s="3" t="s">
        <v>157</v>
      </c>
      <c r="Q120" s="5"/>
      <c r="R120" s="3" t="s">
        <v>872</v>
      </c>
      <c r="S120" s="6">
        <v>46274</v>
      </c>
      <c r="T120" s="24"/>
      <c r="U120" s="3" t="b">
        <v>1</v>
      </c>
      <c r="V120" s="5"/>
      <c r="W120" s="64"/>
      <c r="X120" s="64"/>
      <c r="Y120" s="64"/>
      <c r="Z120" s="64"/>
      <c r="AA120" s="59" t="s">
        <v>873</v>
      </c>
      <c r="AB120" s="65"/>
      <c r="AC120" s="68"/>
      <c r="AD120" s="65"/>
      <c r="AE120" s="68"/>
      <c r="AF120" s="66"/>
      <c r="AG120" s="68"/>
      <c r="AH120" s="67"/>
      <c r="AI120" s="69"/>
      <c r="AJ120" s="69"/>
      <c r="AK120" s="69"/>
      <c r="AL120" s="86"/>
      <c r="AM120" s="88"/>
      <c r="AN120" s="88"/>
      <c r="AO120" s="88"/>
      <c r="AP120" s="59"/>
      <c r="AQ120" s="68"/>
      <c r="AR120" s="59"/>
      <c r="AS120" s="68"/>
      <c r="AT120" s="59"/>
      <c r="AU120" s="68"/>
    </row>
    <row r="121" spans="1:47" ht="45" customHeight="1">
      <c r="A121" s="3" t="s">
        <v>148</v>
      </c>
      <c r="B121" s="3" t="s">
        <v>176</v>
      </c>
      <c r="C121" s="6">
        <v>46267</v>
      </c>
      <c r="D121" s="3" t="s">
        <v>874</v>
      </c>
      <c r="E121" s="3" t="s">
        <v>875</v>
      </c>
      <c r="F121" s="20">
        <f>LEN(G121)</f>
        <v>41</v>
      </c>
      <c r="G121" s="3" t="s">
        <v>876</v>
      </c>
      <c r="H121" s="24" t="s">
        <v>877</v>
      </c>
      <c r="I121" s="24"/>
      <c r="J121" s="3" t="s">
        <v>154</v>
      </c>
      <c r="K121" s="3" t="s">
        <v>154</v>
      </c>
      <c r="L121" s="3" t="s">
        <v>155</v>
      </c>
      <c r="M121" s="3" t="s">
        <v>875</v>
      </c>
      <c r="N121" s="20">
        <v>18133</v>
      </c>
      <c r="O121" s="3"/>
      <c r="P121" s="3" t="s">
        <v>183</v>
      </c>
      <c r="Q121" s="5"/>
      <c r="R121" s="3" t="s">
        <v>878</v>
      </c>
      <c r="S121" s="6">
        <v>46282</v>
      </c>
      <c r="T121" s="24"/>
      <c r="U121" s="3" t="b">
        <v>1</v>
      </c>
      <c r="V121" s="3" t="s">
        <v>185</v>
      </c>
      <c r="W121" s="64"/>
      <c r="X121" s="64"/>
      <c r="Y121" s="64"/>
      <c r="Z121" s="64"/>
      <c r="AA121" s="59" t="s">
        <v>879</v>
      </c>
      <c r="AB121" s="65"/>
      <c r="AC121" s="68"/>
      <c r="AD121" s="65"/>
      <c r="AE121" s="68"/>
      <c r="AF121" s="66"/>
      <c r="AG121" s="68"/>
      <c r="AH121" s="67"/>
      <c r="AI121" s="69"/>
      <c r="AJ121" s="69"/>
      <c r="AK121" s="69"/>
      <c r="AL121" s="86"/>
      <c r="AM121" s="88"/>
      <c r="AN121" s="88"/>
      <c r="AO121" s="88"/>
      <c r="AP121" s="59"/>
      <c r="AQ121" s="68"/>
      <c r="AR121" s="59"/>
      <c r="AS121" s="68"/>
      <c r="AT121" s="59"/>
      <c r="AU121" s="68"/>
    </row>
    <row r="122" spans="1:47" ht="45" customHeight="1">
      <c r="A122" s="3" t="s">
        <v>148</v>
      </c>
      <c r="B122" s="3" t="s">
        <v>666</v>
      </c>
      <c r="C122" s="6">
        <v>46267</v>
      </c>
      <c r="D122" s="3" t="s">
        <v>880</v>
      </c>
      <c r="E122" s="3" t="s">
        <v>881</v>
      </c>
      <c r="F122" s="20">
        <f>LEN(G122)</f>
        <v>55</v>
      </c>
      <c r="G122" s="3" t="s">
        <v>882</v>
      </c>
      <c r="H122" s="24" t="s">
        <v>883</v>
      </c>
      <c r="I122" s="24" t="s">
        <v>884</v>
      </c>
      <c r="J122" s="3" t="s">
        <v>154</v>
      </c>
      <c r="K122" s="3" t="s">
        <v>154</v>
      </c>
      <c r="L122" s="3" t="s">
        <v>155</v>
      </c>
      <c r="M122" s="3" t="s">
        <v>885</v>
      </c>
      <c r="N122" s="20">
        <v>62552</v>
      </c>
      <c r="O122" s="3" t="s">
        <v>880</v>
      </c>
      <c r="P122" s="3" t="s">
        <v>672</v>
      </c>
      <c r="Q122" s="5"/>
      <c r="R122" s="3" t="s">
        <v>886</v>
      </c>
      <c r="S122" s="6">
        <v>46281</v>
      </c>
      <c r="T122" s="24"/>
      <c r="U122" s="3" t="b">
        <v>1</v>
      </c>
      <c r="V122" s="5"/>
      <c r="W122" s="64"/>
      <c r="X122" s="64"/>
      <c r="Y122" s="64"/>
      <c r="Z122" s="64"/>
      <c r="AA122" s="59" t="s">
        <v>887</v>
      </c>
      <c r="AB122" s="65"/>
      <c r="AC122" s="68"/>
      <c r="AD122" s="65"/>
      <c r="AE122" s="68"/>
      <c r="AF122" s="66"/>
      <c r="AG122" s="68"/>
      <c r="AH122" s="67"/>
      <c r="AI122" s="69"/>
      <c r="AJ122" s="69"/>
      <c r="AK122" s="69"/>
      <c r="AL122" s="86"/>
      <c r="AM122" s="88"/>
      <c r="AN122" s="88"/>
      <c r="AO122" s="88"/>
      <c r="AP122" s="59"/>
      <c r="AQ122" s="68"/>
      <c r="AR122" s="59"/>
      <c r="AS122" s="68"/>
      <c r="AT122" s="59"/>
      <c r="AU122" s="68"/>
    </row>
    <row r="123" spans="1:47" ht="45" customHeight="1">
      <c r="A123" s="3" t="s">
        <v>148</v>
      </c>
      <c r="B123" s="3" t="s">
        <v>529</v>
      </c>
      <c r="C123" s="6">
        <v>46267</v>
      </c>
      <c r="D123" s="3" t="s">
        <v>888</v>
      </c>
      <c r="E123" s="3" t="s">
        <v>889</v>
      </c>
      <c r="F123" s="20">
        <f>LEN(G123)</f>
        <v>33</v>
      </c>
      <c r="G123" s="3" t="s">
        <v>890</v>
      </c>
      <c r="H123" s="24" t="s">
        <v>891</v>
      </c>
      <c r="I123" s="24" t="s">
        <v>892</v>
      </c>
      <c r="J123" s="3" t="s">
        <v>154</v>
      </c>
      <c r="K123" s="3" t="s">
        <v>154</v>
      </c>
      <c r="L123" s="3" t="s">
        <v>155</v>
      </c>
      <c r="M123" s="3" t="s">
        <v>889</v>
      </c>
      <c r="N123" s="20">
        <v>954013</v>
      </c>
      <c r="O123" s="3" t="s">
        <v>888</v>
      </c>
      <c r="P123" s="3" t="s">
        <v>535</v>
      </c>
      <c r="Q123" s="3" t="s">
        <v>893</v>
      </c>
      <c r="R123" s="3" t="s">
        <v>894</v>
      </c>
      <c r="S123" s="6">
        <v>46273</v>
      </c>
      <c r="T123" s="24"/>
      <c r="U123" s="3" t="b">
        <v>1</v>
      </c>
      <c r="V123" s="5"/>
      <c r="W123" s="64"/>
      <c r="X123" s="64"/>
      <c r="Y123" s="64"/>
      <c r="Z123" s="64"/>
      <c r="AA123" s="59" t="s">
        <v>895</v>
      </c>
      <c r="AB123" s="65"/>
      <c r="AC123" s="68"/>
      <c r="AD123" s="65"/>
      <c r="AE123" s="68"/>
      <c r="AF123" s="66"/>
      <c r="AG123" s="68"/>
      <c r="AH123" s="67"/>
      <c r="AI123" s="69"/>
      <c r="AJ123" s="69"/>
      <c r="AK123" s="69"/>
      <c r="AL123" s="86"/>
      <c r="AM123" s="88"/>
      <c r="AN123" s="88"/>
      <c r="AO123" s="88"/>
      <c r="AP123" s="59"/>
      <c r="AQ123" s="68"/>
      <c r="AR123" s="59"/>
      <c r="AS123" s="68"/>
      <c r="AT123" s="59"/>
      <c r="AU123" s="68"/>
    </row>
    <row r="124" spans="1:47" ht="45" customHeight="1">
      <c r="A124" s="3" t="s">
        <v>148</v>
      </c>
      <c r="B124" s="3" t="s">
        <v>529</v>
      </c>
      <c r="C124" s="6">
        <v>46267</v>
      </c>
      <c r="D124" s="3" t="s">
        <v>896</v>
      </c>
      <c r="E124" s="3" t="s">
        <v>889</v>
      </c>
      <c r="F124" s="20">
        <f>LEN(G124)</f>
        <v>31</v>
      </c>
      <c r="G124" s="3" t="s">
        <v>897</v>
      </c>
      <c r="H124" s="24" t="s">
        <v>891</v>
      </c>
      <c r="I124" s="24" t="s">
        <v>892</v>
      </c>
      <c r="J124" s="3" t="s">
        <v>154</v>
      </c>
      <c r="K124" s="3" t="s">
        <v>154</v>
      </c>
      <c r="L124" s="3" t="s">
        <v>155</v>
      </c>
      <c r="M124" s="3" t="s">
        <v>889</v>
      </c>
      <c r="N124" s="20">
        <v>954013</v>
      </c>
      <c r="O124" s="3" t="s">
        <v>896</v>
      </c>
      <c r="P124" s="3" t="s">
        <v>535</v>
      </c>
      <c r="Q124" s="3" t="s">
        <v>898</v>
      </c>
      <c r="R124" s="3" t="s">
        <v>899</v>
      </c>
      <c r="S124" s="6">
        <v>46274</v>
      </c>
      <c r="T124" s="24"/>
      <c r="U124" s="3" t="b">
        <v>1</v>
      </c>
      <c r="V124" s="5"/>
      <c r="W124" s="64"/>
      <c r="X124" s="64"/>
      <c r="Y124" s="64"/>
      <c r="Z124" s="64"/>
      <c r="AA124" s="59" t="s">
        <v>900</v>
      </c>
      <c r="AB124" s="65"/>
      <c r="AC124" s="68"/>
      <c r="AD124" s="65"/>
      <c r="AE124" s="68"/>
      <c r="AF124" s="66"/>
      <c r="AG124" s="68"/>
      <c r="AH124" s="67"/>
      <c r="AI124" s="69"/>
      <c r="AJ124" s="69"/>
      <c r="AK124" s="69"/>
      <c r="AL124" s="86"/>
      <c r="AM124" s="88"/>
      <c r="AN124" s="88"/>
      <c r="AO124" s="88"/>
      <c r="AP124" s="59"/>
      <c r="AQ124" s="68"/>
      <c r="AR124" s="59"/>
      <c r="AS124" s="68"/>
      <c r="AT124" s="59"/>
      <c r="AU124" s="68"/>
    </row>
    <row r="125" spans="1:47" ht="45" customHeight="1">
      <c r="A125" s="3" t="s">
        <v>148</v>
      </c>
      <c r="B125" s="3" t="s">
        <v>529</v>
      </c>
      <c r="C125" s="6">
        <v>46267</v>
      </c>
      <c r="D125" s="3" t="s">
        <v>901</v>
      </c>
      <c r="E125" s="3" t="s">
        <v>889</v>
      </c>
      <c r="F125" s="20">
        <f>LEN(G125)</f>
        <v>13</v>
      </c>
      <c r="G125" s="3" t="s">
        <v>902</v>
      </c>
      <c r="H125" s="24" t="s">
        <v>891</v>
      </c>
      <c r="I125" s="24" t="s">
        <v>892</v>
      </c>
      <c r="J125" s="3" t="s">
        <v>154</v>
      </c>
      <c r="K125" s="3" t="s">
        <v>154</v>
      </c>
      <c r="L125" s="3" t="s">
        <v>155</v>
      </c>
      <c r="M125" s="3" t="s">
        <v>889</v>
      </c>
      <c r="N125" s="20">
        <v>954013</v>
      </c>
      <c r="O125" s="3" t="s">
        <v>901</v>
      </c>
      <c r="P125" s="3" t="s">
        <v>535</v>
      </c>
      <c r="Q125" s="3" t="s">
        <v>893</v>
      </c>
      <c r="R125" s="3" t="s">
        <v>903</v>
      </c>
      <c r="S125" s="6">
        <v>46274</v>
      </c>
      <c r="T125" s="24"/>
      <c r="U125" s="3" t="b">
        <v>1</v>
      </c>
      <c r="V125" s="5"/>
      <c r="W125" s="64"/>
      <c r="X125" s="64"/>
      <c r="Y125" s="64"/>
      <c r="Z125" s="64"/>
      <c r="AA125" s="59" t="s">
        <v>904</v>
      </c>
      <c r="AB125" s="65"/>
      <c r="AC125" s="68"/>
      <c r="AD125" s="65"/>
      <c r="AE125" s="68"/>
      <c r="AF125" s="66"/>
      <c r="AG125" s="68"/>
      <c r="AH125" s="67"/>
      <c r="AI125" s="69"/>
      <c r="AJ125" s="69"/>
      <c r="AK125" s="69"/>
      <c r="AL125" s="86"/>
      <c r="AM125" s="88"/>
      <c r="AN125" s="88"/>
      <c r="AO125" s="88"/>
      <c r="AP125" s="59"/>
      <c r="AQ125" s="68"/>
      <c r="AR125" s="59"/>
      <c r="AS125" s="68"/>
      <c r="AT125" s="59"/>
      <c r="AU125" s="68"/>
    </row>
    <row r="126" spans="1:47" ht="45" customHeight="1">
      <c r="A126" s="3" t="s">
        <v>148</v>
      </c>
      <c r="B126" s="3" t="s">
        <v>905</v>
      </c>
      <c r="C126" s="6">
        <v>46267</v>
      </c>
      <c r="D126" s="3" t="s">
        <v>906</v>
      </c>
      <c r="E126" s="3" t="s">
        <v>907</v>
      </c>
      <c r="F126" s="20">
        <f>LEN(G126)</f>
        <v>24</v>
      </c>
      <c r="G126" s="3" t="s">
        <v>908</v>
      </c>
      <c r="H126" s="24" t="s">
        <v>738</v>
      </c>
      <c r="I126" s="5"/>
      <c r="J126" s="3" t="s">
        <v>154</v>
      </c>
      <c r="K126" s="3" t="s">
        <v>154</v>
      </c>
      <c r="L126" s="3" t="s">
        <v>155</v>
      </c>
      <c r="M126" s="3" t="s">
        <v>909</v>
      </c>
      <c r="N126" s="20">
        <v>154532</v>
      </c>
      <c r="O126" s="3" t="s">
        <v>906</v>
      </c>
      <c r="P126" s="3" t="s">
        <v>910</v>
      </c>
      <c r="Q126" s="5"/>
      <c r="R126" s="3" t="s">
        <v>911</v>
      </c>
      <c r="S126" s="3">
        <v>46281</v>
      </c>
      <c r="T126" s="24"/>
      <c r="U126" s="3" t="b">
        <v>0</v>
      </c>
      <c r="V126" s="5"/>
      <c r="W126" s="64"/>
      <c r="X126" s="64"/>
      <c r="Y126" s="64"/>
      <c r="Z126" s="64"/>
      <c r="AA126" s="59" t="s">
        <v>912</v>
      </c>
      <c r="AB126" s="65"/>
      <c r="AC126" s="68"/>
      <c r="AD126" s="65"/>
      <c r="AE126" s="68"/>
      <c r="AF126" s="66"/>
      <c r="AG126" s="68"/>
      <c r="AH126" s="67"/>
      <c r="AI126" s="69"/>
      <c r="AJ126" s="69"/>
      <c r="AK126" s="69"/>
      <c r="AL126" s="86"/>
      <c r="AM126" s="88"/>
      <c r="AN126" s="88"/>
      <c r="AO126" s="88"/>
      <c r="AP126" s="59"/>
      <c r="AQ126" s="68"/>
      <c r="AR126" s="59"/>
      <c r="AS126" s="68"/>
      <c r="AT126" s="59"/>
      <c r="AU126" s="68"/>
    </row>
    <row r="127" spans="1:47" ht="45" customHeight="1">
      <c r="A127" s="3" t="s">
        <v>148</v>
      </c>
      <c r="B127" s="3" t="s">
        <v>160</v>
      </c>
      <c r="C127" s="6">
        <v>46268</v>
      </c>
      <c r="D127" s="3" t="s">
        <v>913</v>
      </c>
      <c r="E127" s="3" t="s">
        <v>914</v>
      </c>
      <c r="F127" s="20">
        <f>LEN(G127)</f>
        <v>66</v>
      </c>
      <c r="G127" s="3" t="s">
        <v>915</v>
      </c>
      <c r="H127" s="24" t="s">
        <v>916</v>
      </c>
      <c r="I127" s="24" t="s">
        <v>917</v>
      </c>
      <c r="J127" s="3" t="s">
        <v>154</v>
      </c>
      <c r="K127" s="3" t="s">
        <v>154</v>
      </c>
      <c r="L127" s="3" t="s">
        <v>155</v>
      </c>
      <c r="M127" s="3" t="s">
        <v>918</v>
      </c>
      <c r="N127" s="20">
        <v>48611</v>
      </c>
      <c r="O127" s="3" t="s">
        <v>913</v>
      </c>
      <c r="P127" s="3" t="s">
        <v>157</v>
      </c>
      <c r="Q127" s="3" t="s">
        <v>919</v>
      </c>
      <c r="R127" s="3" t="s">
        <v>920</v>
      </c>
      <c r="S127" s="6">
        <v>46274</v>
      </c>
      <c r="T127" s="24"/>
      <c r="U127" s="3" t="b">
        <v>1</v>
      </c>
      <c r="V127" s="5"/>
      <c r="W127" s="64"/>
      <c r="X127" s="64"/>
      <c r="Y127" s="64"/>
      <c r="Z127" s="64"/>
      <c r="AA127" s="59" t="s">
        <v>921</v>
      </c>
      <c r="AB127" s="65"/>
      <c r="AC127" s="68"/>
      <c r="AD127" s="65"/>
      <c r="AE127" s="68"/>
      <c r="AF127" s="66"/>
      <c r="AG127" s="68"/>
      <c r="AH127" s="67"/>
      <c r="AI127" s="69"/>
      <c r="AJ127" s="69"/>
      <c r="AK127" s="69"/>
      <c r="AL127" s="86"/>
      <c r="AM127" s="88"/>
      <c r="AN127" s="88"/>
      <c r="AO127" s="88"/>
      <c r="AP127" s="59"/>
      <c r="AQ127" s="68"/>
      <c r="AR127" s="59"/>
      <c r="AS127" s="68"/>
      <c r="AT127" s="59"/>
      <c r="AU127" s="68"/>
    </row>
    <row r="128" spans="1:47" ht="45" customHeight="1">
      <c r="A128" s="3" t="s">
        <v>148</v>
      </c>
      <c r="B128" s="3" t="s">
        <v>160</v>
      </c>
      <c r="C128" s="6">
        <v>46268</v>
      </c>
      <c r="D128" s="3" t="s">
        <v>922</v>
      </c>
      <c r="E128" s="3" t="s">
        <v>923</v>
      </c>
      <c r="F128" s="20">
        <f>LEN(G128)</f>
        <v>92</v>
      </c>
      <c r="G128" s="3" t="s">
        <v>924</v>
      </c>
      <c r="H128" s="24" t="s">
        <v>925</v>
      </c>
      <c r="I128" s="24"/>
      <c r="J128" s="3" t="s">
        <v>154</v>
      </c>
      <c r="K128" s="3" t="s">
        <v>154</v>
      </c>
      <c r="L128" s="3" t="s">
        <v>155</v>
      </c>
      <c r="M128" s="3" t="s">
        <v>926</v>
      </c>
      <c r="N128" s="20">
        <v>17145</v>
      </c>
      <c r="O128" s="3" t="s">
        <v>922</v>
      </c>
      <c r="P128" s="3" t="s">
        <v>157</v>
      </c>
      <c r="Q128" s="3" t="s">
        <v>927</v>
      </c>
      <c r="R128" s="3" t="s">
        <v>928</v>
      </c>
      <c r="S128" s="6">
        <v>46274</v>
      </c>
      <c r="T128" s="24"/>
      <c r="U128" s="3" t="b">
        <v>1</v>
      </c>
      <c r="V128" s="5"/>
      <c r="W128" s="64"/>
      <c r="X128" s="64"/>
      <c r="Y128" s="64"/>
      <c r="Z128" s="64"/>
      <c r="AA128" s="59" t="s">
        <v>929</v>
      </c>
      <c r="AB128" s="65"/>
      <c r="AC128" s="68"/>
      <c r="AD128" s="65"/>
      <c r="AE128" s="68"/>
      <c r="AF128" s="66"/>
      <c r="AG128" s="68"/>
      <c r="AH128" s="67"/>
      <c r="AI128" s="69"/>
      <c r="AJ128" s="69"/>
      <c r="AK128" s="69"/>
      <c r="AL128" s="86"/>
      <c r="AM128" s="88"/>
      <c r="AN128" s="88"/>
      <c r="AO128" s="88"/>
      <c r="AP128" s="59"/>
      <c r="AQ128" s="68"/>
      <c r="AR128" s="59"/>
      <c r="AS128" s="68"/>
      <c r="AT128" s="59"/>
      <c r="AU128" s="68"/>
    </row>
    <row r="129" spans="1:47" ht="45" customHeight="1">
      <c r="A129" s="3" t="s">
        <v>148</v>
      </c>
      <c r="B129" s="3" t="s">
        <v>176</v>
      </c>
      <c r="C129" s="6">
        <v>46268</v>
      </c>
      <c r="D129" s="3" t="s">
        <v>930</v>
      </c>
      <c r="E129" s="3" t="s">
        <v>931</v>
      </c>
      <c r="F129" s="20">
        <f>LEN(G129)</f>
        <v>84</v>
      </c>
      <c r="G129" s="3" t="s">
        <v>932</v>
      </c>
      <c r="H129" s="24" t="s">
        <v>336</v>
      </c>
      <c r="I129" s="5"/>
      <c r="J129" s="3" t="s">
        <v>154</v>
      </c>
      <c r="K129" s="3" t="s">
        <v>154</v>
      </c>
      <c r="L129" s="3" t="s">
        <v>155</v>
      </c>
      <c r="M129" s="3" t="s">
        <v>933</v>
      </c>
      <c r="N129" s="20">
        <v>27358</v>
      </c>
      <c r="O129" s="3" t="s">
        <v>930</v>
      </c>
      <c r="P129" s="3" t="s">
        <v>183</v>
      </c>
      <c r="Q129" s="3" t="s">
        <v>185</v>
      </c>
      <c r="R129" s="3" t="s">
        <v>934</v>
      </c>
      <c r="S129" s="3">
        <v>46275</v>
      </c>
      <c r="T129" s="24"/>
      <c r="U129" s="3" t="b">
        <v>0</v>
      </c>
      <c r="V129" s="3" t="s">
        <v>185</v>
      </c>
      <c r="W129" s="64"/>
      <c r="X129" s="64"/>
      <c r="Y129" s="64"/>
      <c r="Z129" s="64"/>
      <c r="AA129" s="59" t="s">
        <v>935</v>
      </c>
      <c r="AB129" s="65"/>
      <c r="AC129" s="68"/>
      <c r="AD129" s="65"/>
      <c r="AE129" s="68"/>
      <c r="AF129" s="66"/>
      <c r="AG129" s="68"/>
      <c r="AH129" s="67"/>
      <c r="AI129" s="69"/>
      <c r="AJ129" s="69"/>
      <c r="AK129" s="69"/>
      <c r="AL129" s="86"/>
      <c r="AM129" s="88"/>
      <c r="AN129" s="88"/>
      <c r="AO129" s="88"/>
      <c r="AP129" s="59"/>
      <c r="AQ129" s="68"/>
      <c r="AR129" s="59"/>
      <c r="AS129" s="68"/>
      <c r="AT129" s="59"/>
      <c r="AU129" s="68"/>
    </row>
    <row r="130" spans="1:47" ht="45" customHeight="1">
      <c r="A130" s="3" t="s">
        <v>148</v>
      </c>
      <c r="B130" s="3" t="s">
        <v>936</v>
      </c>
      <c r="C130" s="6">
        <v>46269</v>
      </c>
      <c r="D130" s="3" t="s">
        <v>937</v>
      </c>
      <c r="E130" s="3" t="s">
        <v>938</v>
      </c>
      <c r="F130" s="20">
        <f>LEN(G130)</f>
        <v>50</v>
      </c>
      <c r="G130" s="3" t="s">
        <v>939</v>
      </c>
      <c r="H130" s="24" t="s">
        <v>940</v>
      </c>
      <c r="I130" s="3" t="s">
        <v>941</v>
      </c>
      <c r="J130" s="3" t="s">
        <v>154</v>
      </c>
      <c r="K130" s="3" t="s">
        <v>154</v>
      </c>
      <c r="L130" s="3" t="s">
        <v>155</v>
      </c>
      <c r="M130" s="3" t="s">
        <v>942</v>
      </c>
      <c r="N130" s="20">
        <v>106838</v>
      </c>
      <c r="O130" s="3" t="s">
        <v>937</v>
      </c>
      <c r="P130" s="3" t="s">
        <v>943</v>
      </c>
      <c r="Q130" s="3" t="s">
        <v>944</v>
      </c>
      <c r="R130" s="3" t="s">
        <v>945</v>
      </c>
      <c r="S130" s="3">
        <v>46281</v>
      </c>
      <c r="T130" s="24"/>
      <c r="U130" s="3" t="b">
        <v>0</v>
      </c>
      <c r="V130" s="3" t="s">
        <v>946</v>
      </c>
      <c r="W130" s="64"/>
      <c r="X130" s="64"/>
      <c r="Y130" s="64"/>
      <c r="Z130" s="64"/>
      <c r="AA130" s="59" t="s">
        <v>947</v>
      </c>
      <c r="AB130" s="65"/>
      <c r="AC130" s="68"/>
      <c r="AD130" s="65"/>
      <c r="AE130" s="68"/>
      <c r="AF130" s="66"/>
      <c r="AG130" s="68"/>
      <c r="AH130" s="67"/>
      <c r="AI130" s="69"/>
      <c r="AJ130" s="69"/>
      <c r="AK130" s="69"/>
      <c r="AL130" s="86"/>
      <c r="AM130" s="88"/>
      <c r="AN130" s="88"/>
      <c r="AO130" s="88"/>
      <c r="AP130" s="59"/>
      <c r="AQ130" s="68"/>
      <c r="AR130" s="59"/>
      <c r="AS130" s="68"/>
      <c r="AT130" s="59"/>
      <c r="AU130" s="68"/>
    </row>
    <row r="131" spans="1:47" ht="45" customHeight="1">
      <c r="A131" s="3" t="s">
        <v>148</v>
      </c>
      <c r="B131" s="3" t="s">
        <v>936</v>
      </c>
      <c r="C131" s="6">
        <v>46269</v>
      </c>
      <c r="D131" s="3" t="s">
        <v>948</v>
      </c>
      <c r="E131" s="3" t="s">
        <v>938</v>
      </c>
      <c r="F131" s="20">
        <f>LEN(G131)</f>
        <v>48</v>
      </c>
      <c r="G131" s="3" t="s">
        <v>949</v>
      </c>
      <c r="H131" s="24" t="s">
        <v>940</v>
      </c>
      <c r="I131" s="3" t="s">
        <v>941</v>
      </c>
      <c r="J131" s="3" t="s">
        <v>154</v>
      </c>
      <c r="K131" s="3" t="s">
        <v>154</v>
      </c>
      <c r="L131" s="3" t="s">
        <v>155</v>
      </c>
      <c r="M131" s="3" t="s">
        <v>942</v>
      </c>
      <c r="N131" s="20">
        <v>106838</v>
      </c>
      <c r="O131" s="3" t="s">
        <v>948</v>
      </c>
      <c r="P131" s="3" t="s">
        <v>943</v>
      </c>
      <c r="Q131" s="3" t="s">
        <v>944</v>
      </c>
      <c r="R131" s="3" t="s">
        <v>950</v>
      </c>
      <c r="S131" s="3">
        <v>46281</v>
      </c>
      <c r="T131" s="24"/>
      <c r="U131" s="3" t="b">
        <v>0</v>
      </c>
      <c r="V131" s="5"/>
      <c r="W131" s="64"/>
      <c r="X131" s="64"/>
      <c r="Y131" s="64"/>
      <c r="Z131" s="64"/>
      <c r="AA131" s="59" t="s">
        <v>951</v>
      </c>
      <c r="AB131" s="65"/>
      <c r="AC131" s="68"/>
      <c r="AD131" s="65"/>
      <c r="AE131" s="68"/>
      <c r="AF131" s="66"/>
      <c r="AG131" s="68"/>
      <c r="AH131" s="67"/>
      <c r="AI131" s="69"/>
      <c r="AJ131" s="69"/>
      <c r="AK131" s="69"/>
      <c r="AL131" s="86"/>
      <c r="AM131" s="88"/>
      <c r="AN131" s="88"/>
      <c r="AO131" s="88"/>
      <c r="AP131" s="59"/>
      <c r="AQ131" s="68"/>
      <c r="AR131" s="59"/>
      <c r="AS131" s="68"/>
      <c r="AT131" s="59"/>
      <c r="AU131" s="68"/>
    </row>
    <row r="132" spans="1:47" ht="45" customHeight="1">
      <c r="A132" s="3" t="s">
        <v>148</v>
      </c>
      <c r="B132" s="3" t="s">
        <v>905</v>
      </c>
      <c r="C132" s="6">
        <v>46272</v>
      </c>
      <c r="D132" s="3" t="s">
        <v>952</v>
      </c>
      <c r="E132" s="3" t="s">
        <v>953</v>
      </c>
      <c r="F132" s="20">
        <f>LEN(G132)</f>
        <v>30</v>
      </c>
      <c r="G132" s="3" t="s">
        <v>954</v>
      </c>
      <c r="H132" s="24" t="s">
        <v>955</v>
      </c>
      <c r="I132" s="5"/>
      <c r="J132" s="3" t="s">
        <v>154</v>
      </c>
      <c r="K132" s="3" t="s">
        <v>154</v>
      </c>
      <c r="L132" s="3" t="s">
        <v>155</v>
      </c>
      <c r="M132" s="3" t="s">
        <v>909</v>
      </c>
      <c r="N132" s="20">
        <v>154532</v>
      </c>
      <c r="O132" s="3" t="s">
        <v>952</v>
      </c>
      <c r="P132" s="3" t="s">
        <v>910</v>
      </c>
      <c r="Q132" s="5"/>
      <c r="R132" s="3" t="s">
        <v>956</v>
      </c>
      <c r="S132" s="3">
        <v>46281</v>
      </c>
      <c r="T132" s="24"/>
      <c r="U132" s="3" t="b">
        <v>0</v>
      </c>
      <c r="V132" s="5"/>
      <c r="W132" s="64"/>
      <c r="X132" s="64"/>
      <c r="Y132" s="64"/>
      <c r="Z132" s="64"/>
      <c r="AA132" s="59" t="s">
        <v>957</v>
      </c>
      <c r="AB132" s="65"/>
      <c r="AC132" s="68"/>
      <c r="AD132" s="65"/>
      <c r="AE132" s="68"/>
      <c r="AF132" s="66"/>
      <c r="AG132" s="68"/>
      <c r="AH132" s="67"/>
      <c r="AI132" s="69"/>
      <c r="AJ132" s="69"/>
      <c r="AK132" s="69"/>
      <c r="AL132" s="86"/>
      <c r="AM132" s="88"/>
      <c r="AN132" s="88"/>
      <c r="AO132" s="88"/>
      <c r="AP132" s="59"/>
      <c r="AQ132" s="68"/>
      <c r="AR132" s="59"/>
      <c r="AS132" s="68"/>
      <c r="AT132" s="59"/>
      <c r="AU132" s="68"/>
    </row>
    <row r="133" spans="1:47" ht="45" customHeight="1">
      <c r="A133" s="3" t="s">
        <v>148</v>
      </c>
      <c r="B133" s="3" t="s">
        <v>176</v>
      </c>
      <c r="C133" s="6">
        <v>46272</v>
      </c>
      <c r="D133" s="3" t="s">
        <v>958</v>
      </c>
      <c r="E133" s="3" t="s">
        <v>697</v>
      </c>
      <c r="F133" s="20">
        <f>LEN(G133)</f>
        <v>37</v>
      </c>
      <c r="G133" s="3" t="s">
        <v>959</v>
      </c>
      <c r="H133" s="24" t="s">
        <v>960</v>
      </c>
      <c r="I133" s="24" t="s">
        <v>961</v>
      </c>
      <c r="J133" s="3" t="s">
        <v>154</v>
      </c>
      <c r="K133" s="3" t="s">
        <v>154</v>
      </c>
      <c r="L133" s="3" t="s">
        <v>155</v>
      </c>
      <c r="M133" s="3" t="s">
        <v>697</v>
      </c>
      <c r="N133" s="20">
        <v>6034</v>
      </c>
      <c r="O133" s="3" t="s">
        <v>958</v>
      </c>
      <c r="P133" s="3" t="s">
        <v>183</v>
      </c>
      <c r="Q133" s="3" t="s">
        <v>962</v>
      </c>
      <c r="R133" s="3" t="s">
        <v>963</v>
      </c>
      <c r="S133" s="6">
        <v>46281</v>
      </c>
      <c r="T133" s="24"/>
      <c r="U133" s="3" t="b">
        <v>1</v>
      </c>
      <c r="V133" s="3" t="s">
        <v>185</v>
      </c>
      <c r="W133" s="64"/>
      <c r="X133" s="64"/>
      <c r="Y133" s="64"/>
      <c r="Z133" s="64"/>
      <c r="AA133" s="59" t="s">
        <v>964</v>
      </c>
      <c r="AB133" s="65"/>
      <c r="AC133" s="68"/>
      <c r="AD133" s="65"/>
      <c r="AE133" s="68"/>
      <c r="AF133" s="66"/>
      <c r="AG133" s="68"/>
      <c r="AH133" s="67"/>
      <c r="AI133" s="69"/>
      <c r="AJ133" s="69"/>
      <c r="AK133" s="69"/>
      <c r="AL133" s="86"/>
      <c r="AM133" s="88"/>
      <c r="AN133" s="88"/>
      <c r="AO133" s="88"/>
      <c r="AP133" s="59"/>
      <c r="AQ133" s="68"/>
      <c r="AR133" s="59"/>
      <c r="AS133" s="68"/>
      <c r="AT133" s="59"/>
      <c r="AU133" s="68"/>
    </row>
    <row r="134" spans="1:47" ht="45" customHeight="1">
      <c r="A134" s="3" t="s">
        <v>148</v>
      </c>
      <c r="B134" s="3" t="s">
        <v>965</v>
      </c>
      <c r="C134" s="6">
        <v>46273</v>
      </c>
      <c r="D134" s="3" t="s">
        <v>966</v>
      </c>
      <c r="E134" s="3" t="s">
        <v>669</v>
      </c>
      <c r="F134" s="20">
        <f>LEN(G134)</f>
        <v>29</v>
      </c>
      <c r="G134" s="3" t="s">
        <v>967</v>
      </c>
      <c r="H134" s="24" t="s">
        <v>677</v>
      </c>
      <c r="I134" s="24"/>
      <c r="J134" s="3" t="s">
        <v>154</v>
      </c>
      <c r="K134" s="3" t="s">
        <v>154</v>
      </c>
      <c r="L134" s="3" t="s">
        <v>155</v>
      </c>
      <c r="M134" s="3" t="s">
        <v>669</v>
      </c>
      <c r="N134" s="20" t="s">
        <v>968</v>
      </c>
      <c r="O134" s="3" t="s">
        <v>966</v>
      </c>
      <c r="P134" s="3" t="s">
        <v>969</v>
      </c>
      <c r="Q134" s="5"/>
      <c r="R134" s="3" t="s">
        <v>970</v>
      </c>
      <c r="S134" s="6">
        <v>46275</v>
      </c>
      <c r="T134" s="24"/>
      <c r="U134" s="3" t="b">
        <v>1</v>
      </c>
      <c r="V134" s="5"/>
      <c r="W134" s="64"/>
      <c r="X134" s="64"/>
      <c r="Y134" s="64"/>
      <c r="Z134" s="64"/>
      <c r="AA134" s="59" t="s">
        <v>971</v>
      </c>
      <c r="AB134" s="65"/>
      <c r="AC134" s="68"/>
      <c r="AD134" s="65"/>
      <c r="AE134" s="68"/>
      <c r="AF134" s="66"/>
      <c r="AG134" s="68"/>
      <c r="AH134" s="67"/>
      <c r="AI134" s="69"/>
      <c r="AJ134" s="69"/>
      <c r="AK134" s="69"/>
      <c r="AL134" s="86"/>
      <c r="AM134" s="88"/>
      <c r="AN134" s="88"/>
      <c r="AO134" s="88"/>
      <c r="AP134" s="59"/>
      <c r="AQ134" s="68"/>
      <c r="AR134" s="59"/>
      <c r="AS134" s="68"/>
      <c r="AT134" s="59"/>
      <c r="AU134" s="68"/>
    </row>
    <row r="135" spans="1:47" ht="45" customHeight="1">
      <c r="A135" s="3" t="s">
        <v>148</v>
      </c>
      <c r="B135" s="3" t="s">
        <v>965</v>
      </c>
      <c r="C135" s="6">
        <v>46273</v>
      </c>
      <c r="D135" s="3" t="s">
        <v>972</v>
      </c>
      <c r="E135" s="3" t="s">
        <v>973</v>
      </c>
      <c r="F135" s="20">
        <f>LEN(G135)</f>
        <v>30</v>
      </c>
      <c r="G135" s="3" t="s">
        <v>974</v>
      </c>
      <c r="H135" s="24" t="s">
        <v>389</v>
      </c>
      <c r="I135" s="24" t="s">
        <v>975</v>
      </c>
      <c r="J135" s="3" t="s">
        <v>154</v>
      </c>
      <c r="K135" s="3" t="s">
        <v>154</v>
      </c>
      <c r="L135" s="3" t="s">
        <v>155</v>
      </c>
      <c r="M135" s="3" t="s">
        <v>973</v>
      </c>
      <c r="N135" s="20" t="s">
        <v>976</v>
      </c>
      <c r="O135" s="3" t="s">
        <v>977</v>
      </c>
      <c r="P135" s="3" t="s">
        <v>969</v>
      </c>
      <c r="Q135" s="5"/>
      <c r="R135" s="3" t="s">
        <v>978</v>
      </c>
      <c r="S135" s="6">
        <v>46282</v>
      </c>
      <c r="T135" s="24"/>
      <c r="U135" s="3" t="b">
        <v>1</v>
      </c>
      <c r="V135" s="5"/>
      <c r="W135" s="64"/>
      <c r="X135" s="64"/>
      <c r="Y135" s="64"/>
      <c r="Z135" s="64"/>
      <c r="AA135" s="59" t="s">
        <v>979</v>
      </c>
      <c r="AB135" s="65"/>
      <c r="AC135" s="68"/>
      <c r="AD135" s="65"/>
      <c r="AE135" s="68"/>
      <c r="AF135" s="66"/>
      <c r="AG135" s="68"/>
      <c r="AH135" s="67"/>
      <c r="AI135" s="69"/>
      <c r="AJ135" s="69"/>
      <c r="AK135" s="69"/>
      <c r="AL135" s="86"/>
      <c r="AM135" s="88"/>
      <c r="AN135" s="88"/>
      <c r="AO135" s="88"/>
      <c r="AP135" s="59"/>
      <c r="AQ135" s="68"/>
      <c r="AR135" s="59"/>
      <c r="AS135" s="68"/>
      <c r="AT135" s="59"/>
      <c r="AU135" s="68"/>
    </row>
    <row r="136" spans="1:47" ht="45" customHeight="1">
      <c r="A136" s="3" t="s">
        <v>148</v>
      </c>
      <c r="B136" s="3" t="s">
        <v>980</v>
      </c>
      <c r="C136" s="6">
        <v>46273</v>
      </c>
      <c r="D136" s="3" t="s">
        <v>981</v>
      </c>
      <c r="E136" s="3" t="s">
        <v>697</v>
      </c>
      <c r="F136" s="20">
        <f>LEN(G136)</f>
        <v>68</v>
      </c>
      <c r="G136" s="3" t="s">
        <v>982</v>
      </c>
      <c r="H136" s="24" t="s">
        <v>960</v>
      </c>
      <c r="I136" s="3" t="s">
        <v>961</v>
      </c>
      <c r="J136" s="3" t="s">
        <v>154</v>
      </c>
      <c r="K136" s="3" t="s">
        <v>154</v>
      </c>
      <c r="L136" s="3" t="s">
        <v>155</v>
      </c>
      <c r="M136" s="3" t="s">
        <v>697</v>
      </c>
      <c r="N136" s="20">
        <v>6034</v>
      </c>
      <c r="O136" s="3" t="s">
        <v>981</v>
      </c>
      <c r="P136" s="3" t="s">
        <v>183</v>
      </c>
      <c r="Q136" s="3" t="s">
        <v>983</v>
      </c>
      <c r="R136" s="3" t="s">
        <v>984</v>
      </c>
      <c r="S136" s="5"/>
      <c r="T136" s="24" t="s">
        <v>985</v>
      </c>
      <c r="U136" s="3" t="b">
        <v>0</v>
      </c>
      <c r="V136" s="3" t="s">
        <v>185</v>
      </c>
      <c r="W136" s="64"/>
      <c r="X136" s="64"/>
      <c r="Y136" s="64"/>
      <c r="Z136" s="64"/>
      <c r="AA136" s="59" t="s">
        <v>986</v>
      </c>
      <c r="AB136" s="65"/>
      <c r="AC136" s="68"/>
      <c r="AD136" s="65"/>
      <c r="AE136" s="68"/>
      <c r="AF136" s="66"/>
      <c r="AG136" s="68"/>
      <c r="AH136" s="67"/>
      <c r="AI136" s="69"/>
      <c r="AJ136" s="69"/>
      <c r="AK136" s="69"/>
      <c r="AL136" s="86"/>
      <c r="AM136" s="88"/>
      <c r="AN136" s="88"/>
      <c r="AO136" s="88"/>
      <c r="AP136" s="59"/>
      <c r="AQ136" s="68"/>
      <c r="AR136" s="59"/>
      <c r="AS136" s="68"/>
      <c r="AT136" s="59"/>
      <c r="AU136" s="68"/>
    </row>
    <row r="137" spans="1:47" ht="45" customHeight="1">
      <c r="A137" s="3" t="s">
        <v>148</v>
      </c>
      <c r="B137" s="3" t="s">
        <v>980</v>
      </c>
      <c r="C137" s="6">
        <v>46273</v>
      </c>
      <c r="D137" s="3" t="s">
        <v>987</v>
      </c>
      <c r="E137" s="3" t="s">
        <v>988</v>
      </c>
      <c r="F137" s="20">
        <f>LEN(G137)</f>
        <v>16</v>
      </c>
      <c r="G137" s="3" t="s">
        <v>989</v>
      </c>
      <c r="H137" s="24" t="s">
        <v>990</v>
      </c>
      <c r="I137" s="3" t="s">
        <v>991</v>
      </c>
      <c r="J137" s="3" t="s">
        <v>154</v>
      </c>
      <c r="K137" s="3" t="s">
        <v>154</v>
      </c>
      <c r="L137" s="3" t="s">
        <v>155</v>
      </c>
      <c r="M137" s="3" t="s">
        <v>992</v>
      </c>
      <c r="N137" s="20">
        <v>109526</v>
      </c>
      <c r="O137" s="3" t="s">
        <v>987</v>
      </c>
      <c r="P137" s="3" t="s">
        <v>183</v>
      </c>
      <c r="Q137" s="3" t="s">
        <v>993</v>
      </c>
      <c r="R137" s="3" t="s">
        <v>994</v>
      </c>
      <c r="S137" s="3">
        <v>46281</v>
      </c>
      <c r="T137" s="24"/>
      <c r="U137" s="3" t="b">
        <v>0</v>
      </c>
      <c r="V137" s="3" t="s">
        <v>185</v>
      </c>
      <c r="W137" s="64"/>
      <c r="X137" s="64"/>
      <c r="Y137" s="64"/>
      <c r="Z137" s="64"/>
      <c r="AA137" s="59" t="s">
        <v>995</v>
      </c>
      <c r="AB137" s="65"/>
      <c r="AC137" s="68"/>
      <c r="AD137" s="65"/>
      <c r="AE137" s="68"/>
      <c r="AF137" s="66"/>
      <c r="AG137" s="68"/>
      <c r="AH137" s="67"/>
      <c r="AI137" s="69"/>
      <c r="AJ137" s="69"/>
      <c r="AK137" s="69"/>
      <c r="AL137" s="86"/>
      <c r="AM137" s="88"/>
      <c r="AN137" s="88"/>
      <c r="AO137" s="88"/>
      <c r="AP137" s="59"/>
      <c r="AQ137" s="68"/>
      <c r="AR137" s="59"/>
      <c r="AS137" s="68"/>
      <c r="AT137" s="59"/>
      <c r="AU137" s="68"/>
    </row>
    <row r="138" spans="1:47" ht="45" customHeight="1">
      <c r="A138" s="3" t="s">
        <v>148</v>
      </c>
      <c r="B138" s="3" t="s">
        <v>980</v>
      </c>
      <c r="C138" s="6">
        <v>46273</v>
      </c>
      <c r="D138" s="3" t="s">
        <v>996</v>
      </c>
      <c r="E138" s="3" t="s">
        <v>988</v>
      </c>
      <c r="F138" s="20">
        <f>LEN(G138)</f>
        <v>5</v>
      </c>
      <c r="G138" s="3" t="s">
        <v>997</v>
      </c>
      <c r="H138" s="24" t="s">
        <v>990</v>
      </c>
      <c r="I138" s="3" t="s">
        <v>991</v>
      </c>
      <c r="J138" s="3" t="s">
        <v>154</v>
      </c>
      <c r="K138" s="3" t="s">
        <v>154</v>
      </c>
      <c r="L138" s="3" t="s">
        <v>155</v>
      </c>
      <c r="M138" s="3" t="s">
        <v>992</v>
      </c>
      <c r="N138" s="20">
        <v>109526</v>
      </c>
      <c r="O138" s="3" t="s">
        <v>996</v>
      </c>
      <c r="P138" s="3" t="s">
        <v>183</v>
      </c>
      <c r="Q138" s="3" t="s">
        <v>993</v>
      </c>
      <c r="R138" s="3" t="s">
        <v>998</v>
      </c>
      <c r="S138" s="3">
        <v>46281</v>
      </c>
      <c r="T138" s="24"/>
      <c r="U138" s="3" t="b">
        <v>0</v>
      </c>
      <c r="V138" s="3" t="s">
        <v>185</v>
      </c>
      <c r="W138" s="64"/>
      <c r="X138" s="64"/>
      <c r="Y138" s="64"/>
      <c r="Z138" s="64"/>
      <c r="AA138" s="59" t="s">
        <v>999</v>
      </c>
      <c r="AB138" s="65"/>
      <c r="AC138" s="68"/>
      <c r="AD138" s="65"/>
      <c r="AE138" s="68"/>
      <c r="AF138" s="66"/>
      <c r="AG138" s="68"/>
      <c r="AH138" s="67"/>
      <c r="AI138" s="69"/>
      <c r="AJ138" s="69"/>
      <c r="AK138" s="69"/>
      <c r="AL138" s="86"/>
      <c r="AM138" s="88"/>
      <c r="AN138" s="88"/>
      <c r="AO138" s="88"/>
      <c r="AP138" s="59"/>
      <c r="AQ138" s="68"/>
      <c r="AR138" s="59"/>
      <c r="AS138" s="68"/>
      <c r="AT138" s="59"/>
      <c r="AU138" s="68"/>
    </row>
    <row r="139" spans="1:47" ht="45" customHeight="1">
      <c r="A139" s="3" t="s">
        <v>148</v>
      </c>
      <c r="B139" s="3" t="s">
        <v>176</v>
      </c>
      <c r="C139" s="6">
        <v>46273</v>
      </c>
      <c r="D139" s="3" t="s">
        <v>1000</v>
      </c>
      <c r="E139" s="3" t="s">
        <v>1001</v>
      </c>
      <c r="F139" s="20">
        <f>LEN(G139)</f>
        <v>35</v>
      </c>
      <c r="G139" s="3" t="s">
        <v>1002</v>
      </c>
      <c r="H139" s="24" t="s">
        <v>1003</v>
      </c>
      <c r="I139" s="24"/>
      <c r="J139" s="3" t="s">
        <v>154</v>
      </c>
      <c r="K139" s="3" t="s">
        <v>154</v>
      </c>
      <c r="L139" s="3" t="s">
        <v>155</v>
      </c>
      <c r="M139" s="3" t="s">
        <v>933</v>
      </c>
      <c r="N139" s="20">
        <v>27358</v>
      </c>
      <c r="O139" s="3" t="s">
        <v>1000</v>
      </c>
      <c r="P139" s="3" t="s">
        <v>183</v>
      </c>
      <c r="Q139" s="5"/>
      <c r="R139" s="3" t="s">
        <v>1004</v>
      </c>
      <c r="S139" s="6">
        <v>46282</v>
      </c>
      <c r="T139" s="24"/>
      <c r="U139" s="3" t="b">
        <v>1</v>
      </c>
      <c r="V139" s="3" t="s">
        <v>185</v>
      </c>
      <c r="W139" s="64"/>
      <c r="X139" s="64"/>
      <c r="Y139" s="64"/>
      <c r="Z139" s="64"/>
      <c r="AA139" s="59" t="s">
        <v>1005</v>
      </c>
      <c r="AB139" s="65"/>
      <c r="AC139" s="68"/>
      <c r="AD139" s="65"/>
      <c r="AE139" s="68"/>
      <c r="AF139" s="66"/>
      <c r="AG139" s="68"/>
      <c r="AH139" s="67"/>
      <c r="AI139" s="69"/>
      <c r="AJ139" s="69"/>
      <c r="AK139" s="69"/>
      <c r="AL139" s="86"/>
      <c r="AM139" s="88"/>
      <c r="AN139" s="88"/>
      <c r="AO139" s="88"/>
      <c r="AP139" s="59"/>
      <c r="AQ139" s="68"/>
      <c r="AR139" s="59"/>
      <c r="AS139" s="68"/>
      <c r="AT139" s="59"/>
      <c r="AU139" s="68"/>
    </row>
    <row r="140" spans="1:47" ht="45" customHeight="1">
      <c r="A140" s="3" t="s">
        <v>148</v>
      </c>
      <c r="B140" s="3" t="s">
        <v>176</v>
      </c>
      <c r="C140" s="6">
        <v>46273</v>
      </c>
      <c r="D140" s="3" t="s">
        <v>1006</v>
      </c>
      <c r="E140" s="3" t="s">
        <v>648</v>
      </c>
      <c r="F140" s="20">
        <f>LEN(G140)</f>
        <v>87</v>
      </c>
      <c r="G140" s="3" t="s">
        <v>1007</v>
      </c>
      <c r="H140" s="24" t="s">
        <v>1008</v>
      </c>
      <c r="I140" s="24"/>
      <c r="J140" s="3" t="s">
        <v>154</v>
      </c>
      <c r="K140" s="3" t="s">
        <v>154</v>
      </c>
      <c r="L140" s="3" t="s">
        <v>155</v>
      </c>
      <c r="M140" s="3" t="s">
        <v>648</v>
      </c>
      <c r="N140" s="20">
        <v>25475</v>
      </c>
      <c r="O140" s="3" t="s">
        <v>1006</v>
      </c>
      <c r="P140" s="3" t="s">
        <v>183</v>
      </c>
      <c r="Q140" s="5"/>
      <c r="R140" s="3" t="s">
        <v>1009</v>
      </c>
      <c r="S140" s="6">
        <v>46274</v>
      </c>
      <c r="T140" s="24"/>
      <c r="U140" s="3" t="b">
        <v>1</v>
      </c>
      <c r="V140" s="3" t="s">
        <v>185</v>
      </c>
      <c r="W140" s="64"/>
      <c r="X140" s="64"/>
      <c r="Y140" s="64"/>
      <c r="Z140" s="64"/>
      <c r="AA140" s="59" t="s">
        <v>1010</v>
      </c>
      <c r="AB140" s="65"/>
      <c r="AC140" s="68"/>
      <c r="AD140" s="65"/>
      <c r="AE140" s="68"/>
      <c r="AF140" s="66"/>
      <c r="AG140" s="68"/>
      <c r="AH140" s="67"/>
      <c r="AI140" s="69"/>
      <c r="AJ140" s="69"/>
      <c r="AK140" s="69"/>
      <c r="AL140" s="86"/>
      <c r="AM140" s="88"/>
      <c r="AN140" s="88"/>
      <c r="AO140" s="88"/>
      <c r="AP140" s="59"/>
      <c r="AQ140" s="68"/>
      <c r="AR140" s="59"/>
      <c r="AS140" s="68"/>
      <c r="AT140" s="59"/>
      <c r="AU140" s="68"/>
    </row>
    <row r="141" spans="1:47" ht="45" customHeight="1">
      <c r="A141" s="3" t="s">
        <v>148</v>
      </c>
      <c r="B141" s="3" t="s">
        <v>176</v>
      </c>
      <c r="C141" s="6">
        <v>46273</v>
      </c>
      <c r="D141" s="3" t="s">
        <v>1011</v>
      </c>
      <c r="E141" s="3" t="s">
        <v>648</v>
      </c>
      <c r="F141" s="20">
        <f>LEN(G141)</f>
        <v>83</v>
      </c>
      <c r="G141" s="3" t="s">
        <v>1012</v>
      </c>
      <c r="H141" s="24" t="s">
        <v>1008</v>
      </c>
      <c r="I141" s="24"/>
      <c r="J141" s="3" t="s">
        <v>154</v>
      </c>
      <c r="K141" s="3" t="s">
        <v>154</v>
      </c>
      <c r="L141" s="3" t="s">
        <v>155</v>
      </c>
      <c r="M141" s="3" t="s">
        <v>648</v>
      </c>
      <c r="N141" s="20">
        <v>25475</v>
      </c>
      <c r="O141" s="3" t="s">
        <v>1011</v>
      </c>
      <c r="P141" s="3" t="s">
        <v>183</v>
      </c>
      <c r="Q141" s="5"/>
      <c r="R141" s="3" t="s">
        <v>1013</v>
      </c>
      <c r="S141" s="6">
        <v>46274</v>
      </c>
      <c r="T141" s="24"/>
      <c r="U141" s="3" t="b">
        <v>1</v>
      </c>
      <c r="V141" s="3" t="s">
        <v>185</v>
      </c>
      <c r="W141" s="64"/>
      <c r="X141" s="64"/>
      <c r="Y141" s="64"/>
      <c r="Z141" s="64"/>
      <c r="AA141" s="59" t="s">
        <v>1014</v>
      </c>
      <c r="AB141" s="65"/>
      <c r="AC141" s="68"/>
      <c r="AD141" s="65"/>
      <c r="AE141" s="68"/>
      <c r="AF141" s="66"/>
      <c r="AG141" s="68"/>
      <c r="AH141" s="67"/>
      <c r="AI141" s="69"/>
      <c r="AJ141" s="69"/>
      <c r="AK141" s="69"/>
      <c r="AL141" s="86"/>
      <c r="AM141" s="88"/>
      <c r="AN141" s="88"/>
      <c r="AO141" s="88"/>
      <c r="AP141" s="59"/>
      <c r="AQ141" s="68"/>
      <c r="AR141" s="59"/>
      <c r="AS141" s="68"/>
      <c r="AT141" s="59"/>
      <c r="AU141" s="68"/>
    </row>
    <row r="142" spans="1:47" ht="45" customHeight="1">
      <c r="A142" s="3" t="s">
        <v>148</v>
      </c>
      <c r="B142" s="3" t="s">
        <v>666</v>
      </c>
      <c r="C142" s="6">
        <v>46274</v>
      </c>
      <c r="D142" s="3" t="s">
        <v>1015</v>
      </c>
      <c r="E142" s="3" t="s">
        <v>648</v>
      </c>
      <c r="F142" s="20">
        <f>LEN(G142)</f>
        <v>51</v>
      </c>
      <c r="G142" s="3" t="s">
        <v>1016</v>
      </c>
      <c r="H142" s="24" t="s">
        <v>1017</v>
      </c>
      <c r="I142" s="24"/>
      <c r="J142" s="3" t="s">
        <v>154</v>
      </c>
      <c r="K142" s="3" t="s">
        <v>154</v>
      </c>
      <c r="L142" s="3" t="s">
        <v>155</v>
      </c>
      <c r="M142" s="3" t="s">
        <v>648</v>
      </c>
      <c r="N142" s="20" t="s">
        <v>1018</v>
      </c>
      <c r="O142" s="3" t="s">
        <v>1019</v>
      </c>
      <c r="P142" s="3" t="s">
        <v>672</v>
      </c>
      <c r="Q142" s="5"/>
      <c r="R142" s="3" t="s">
        <v>1020</v>
      </c>
      <c r="S142" s="6">
        <v>46275</v>
      </c>
      <c r="T142" s="24"/>
      <c r="U142" s="3" t="b">
        <v>1</v>
      </c>
      <c r="V142" s="5"/>
      <c r="W142" s="64"/>
      <c r="X142" s="64"/>
      <c r="Y142" s="64"/>
      <c r="Z142" s="64"/>
      <c r="AA142" s="59" t="s">
        <v>1021</v>
      </c>
      <c r="AB142" s="65"/>
      <c r="AC142" s="68"/>
      <c r="AD142" s="65"/>
      <c r="AE142" s="68"/>
      <c r="AF142" s="66"/>
      <c r="AG142" s="68"/>
      <c r="AH142" s="67"/>
      <c r="AI142" s="69"/>
      <c r="AJ142" s="69"/>
      <c r="AK142" s="69"/>
      <c r="AL142" s="86"/>
      <c r="AM142" s="88"/>
      <c r="AN142" s="88"/>
      <c r="AO142" s="88"/>
      <c r="AP142" s="59"/>
      <c r="AQ142" s="68"/>
      <c r="AR142" s="59"/>
      <c r="AS142" s="68"/>
      <c r="AT142" s="59"/>
      <c r="AU142" s="68"/>
    </row>
    <row r="143" spans="1:47" ht="45" customHeight="1">
      <c r="A143" s="3" t="s">
        <v>148</v>
      </c>
      <c r="B143" s="3" t="s">
        <v>905</v>
      </c>
      <c r="C143" s="6">
        <v>46274</v>
      </c>
      <c r="D143" s="3" t="s">
        <v>1022</v>
      </c>
      <c r="E143" s="3" t="s">
        <v>669</v>
      </c>
      <c r="F143" s="20">
        <f>LEN(G143)</f>
        <v>25</v>
      </c>
      <c r="G143" s="3" t="s">
        <v>1023</v>
      </c>
      <c r="H143" s="24" t="s">
        <v>677</v>
      </c>
      <c r="I143" s="24"/>
      <c r="J143" s="3" t="s">
        <v>154</v>
      </c>
      <c r="K143" s="3" t="s">
        <v>154</v>
      </c>
      <c r="L143" s="3" t="s">
        <v>155</v>
      </c>
      <c r="M143" s="3" t="s">
        <v>669</v>
      </c>
      <c r="N143" s="20">
        <v>14436</v>
      </c>
      <c r="O143" s="3" t="s">
        <v>1022</v>
      </c>
      <c r="P143" s="3" t="s">
        <v>910</v>
      </c>
      <c r="Q143" s="5"/>
      <c r="R143" s="3" t="s">
        <v>1024</v>
      </c>
      <c r="S143" s="6">
        <v>46275</v>
      </c>
      <c r="T143" s="24"/>
      <c r="U143" s="3" t="b">
        <v>1</v>
      </c>
      <c r="V143" s="5"/>
      <c r="W143" s="64"/>
      <c r="X143" s="64"/>
      <c r="Y143" s="64"/>
      <c r="Z143" s="64"/>
      <c r="AA143" s="59" t="s">
        <v>1025</v>
      </c>
      <c r="AB143" s="65"/>
      <c r="AC143" s="68"/>
      <c r="AD143" s="65"/>
      <c r="AE143" s="68"/>
      <c r="AF143" s="66"/>
      <c r="AG143" s="68"/>
      <c r="AH143" s="67"/>
      <c r="AI143" s="69"/>
      <c r="AJ143" s="69"/>
      <c r="AK143" s="69"/>
      <c r="AL143" s="86"/>
      <c r="AM143" s="88"/>
      <c r="AN143" s="88"/>
      <c r="AO143" s="88"/>
      <c r="AP143" s="59"/>
      <c r="AQ143" s="68"/>
      <c r="AR143" s="59"/>
      <c r="AS143" s="68"/>
      <c r="AT143" s="59"/>
      <c r="AU143" s="68"/>
    </row>
    <row r="144" spans="1:47" ht="45" customHeight="1">
      <c r="A144" s="3" t="s">
        <v>148</v>
      </c>
      <c r="B144" s="3" t="s">
        <v>1026</v>
      </c>
      <c r="C144" s="6">
        <v>46274</v>
      </c>
      <c r="D144" s="3" t="s">
        <v>1027</v>
      </c>
      <c r="E144" s="3" t="s">
        <v>182</v>
      </c>
      <c r="F144" s="20">
        <f>LEN(G144)</f>
        <v>26</v>
      </c>
      <c r="G144" s="3" t="s">
        <v>1028</v>
      </c>
      <c r="H144" s="24" t="s">
        <v>1029</v>
      </c>
      <c r="I144" s="5"/>
      <c r="J144" s="3" t="s">
        <v>154</v>
      </c>
      <c r="K144" s="3" t="s">
        <v>154</v>
      </c>
      <c r="L144" s="3" t="s">
        <v>155</v>
      </c>
      <c r="M144" s="3" t="s">
        <v>182</v>
      </c>
      <c r="N144" s="20">
        <v>5974</v>
      </c>
      <c r="O144" s="3" t="s">
        <v>1027</v>
      </c>
      <c r="P144" s="3" t="s">
        <v>943</v>
      </c>
      <c r="Q144" s="5"/>
      <c r="R144" s="3" t="s">
        <v>1030</v>
      </c>
      <c r="S144" s="5"/>
      <c r="T144" s="24" t="s">
        <v>1031</v>
      </c>
      <c r="U144" s="3" t="b">
        <v>0</v>
      </c>
      <c r="V144" s="5"/>
      <c r="W144" s="64"/>
      <c r="X144" s="64"/>
      <c r="Y144" s="64"/>
      <c r="Z144" s="64"/>
      <c r="AA144" s="59" t="s">
        <v>1032</v>
      </c>
      <c r="AB144" s="65"/>
      <c r="AC144" s="68"/>
      <c r="AD144" s="65"/>
      <c r="AE144" s="68"/>
      <c r="AF144" s="66"/>
      <c r="AG144" s="68"/>
      <c r="AH144" s="67"/>
      <c r="AI144" s="69"/>
      <c r="AJ144" s="69"/>
      <c r="AK144" s="69"/>
      <c r="AL144" s="86"/>
      <c r="AM144" s="88"/>
      <c r="AN144" s="88"/>
      <c r="AO144" s="88"/>
      <c r="AP144" s="59"/>
      <c r="AQ144" s="68"/>
      <c r="AR144" s="59"/>
      <c r="AS144" s="68"/>
      <c r="AT144" s="59"/>
      <c r="AU144" s="68"/>
    </row>
    <row r="145" spans="1:47" ht="45" customHeight="1">
      <c r="A145" s="3" t="s">
        <v>148</v>
      </c>
      <c r="B145" s="3" t="s">
        <v>905</v>
      </c>
      <c r="C145" s="6">
        <v>46275</v>
      </c>
      <c r="D145" s="3" t="s">
        <v>1033</v>
      </c>
      <c r="E145" s="3" t="s">
        <v>1034</v>
      </c>
      <c r="F145" s="20">
        <f>LEN(G145)</f>
        <v>30</v>
      </c>
      <c r="G145" s="3" t="s">
        <v>1035</v>
      </c>
      <c r="H145" s="24" t="s">
        <v>714</v>
      </c>
      <c r="I145" s="24"/>
      <c r="J145" s="3" t="s">
        <v>154</v>
      </c>
      <c r="K145" s="3" t="s">
        <v>154</v>
      </c>
      <c r="L145" s="3" t="s">
        <v>155</v>
      </c>
      <c r="M145" s="3" t="s">
        <v>1034</v>
      </c>
      <c r="N145" s="20">
        <v>147604</v>
      </c>
      <c r="O145" s="3" t="s">
        <v>1033</v>
      </c>
      <c r="P145" s="3" t="s">
        <v>910</v>
      </c>
      <c r="Q145" s="5"/>
      <c r="R145" s="3" t="s">
        <v>1036</v>
      </c>
      <c r="S145" s="6">
        <v>46282</v>
      </c>
      <c r="T145" s="24"/>
      <c r="U145" s="3" t="b">
        <v>1</v>
      </c>
      <c r="V145" s="5"/>
      <c r="W145" s="64"/>
      <c r="X145" s="64"/>
      <c r="Y145" s="64"/>
      <c r="Z145" s="64"/>
      <c r="AA145" s="59" t="s">
        <v>1037</v>
      </c>
      <c r="AB145" s="65"/>
      <c r="AC145" s="68"/>
      <c r="AD145" s="65"/>
      <c r="AE145" s="68"/>
      <c r="AF145" s="66"/>
      <c r="AG145" s="68"/>
      <c r="AH145" s="67"/>
      <c r="AI145" s="69"/>
      <c r="AJ145" s="69"/>
      <c r="AK145" s="69"/>
      <c r="AL145" s="86"/>
      <c r="AM145" s="88"/>
      <c r="AN145" s="88"/>
      <c r="AO145" s="88"/>
      <c r="AP145" s="59"/>
      <c r="AQ145" s="68"/>
      <c r="AR145" s="59"/>
      <c r="AS145" s="68"/>
      <c r="AT145" s="59"/>
      <c r="AU145" s="68"/>
    </row>
    <row r="146" spans="1:47" ht="45" customHeight="1">
      <c r="A146" s="3" t="s">
        <v>148</v>
      </c>
      <c r="B146" s="3" t="s">
        <v>905</v>
      </c>
      <c r="C146" s="6">
        <v>46275</v>
      </c>
      <c r="D146" s="3" t="s">
        <v>1038</v>
      </c>
      <c r="E146" s="3" t="s">
        <v>1034</v>
      </c>
      <c r="F146" s="20">
        <f>LEN(G146)</f>
        <v>34</v>
      </c>
      <c r="G146" s="3" t="s">
        <v>1039</v>
      </c>
      <c r="H146" s="24" t="s">
        <v>1040</v>
      </c>
      <c r="I146" s="24"/>
      <c r="J146" s="3" t="s">
        <v>154</v>
      </c>
      <c r="K146" s="3" t="s">
        <v>154</v>
      </c>
      <c r="L146" s="3" t="s">
        <v>155</v>
      </c>
      <c r="M146" s="3" t="s">
        <v>1034</v>
      </c>
      <c r="N146" s="20">
        <v>147604</v>
      </c>
      <c r="O146" s="3" t="s">
        <v>1038</v>
      </c>
      <c r="P146" s="3" t="s">
        <v>910</v>
      </c>
      <c r="Q146" s="5"/>
      <c r="R146" s="3" t="s">
        <v>1041</v>
      </c>
      <c r="S146" s="6">
        <v>46282</v>
      </c>
      <c r="T146" s="24"/>
      <c r="U146" s="3" t="b">
        <v>1</v>
      </c>
      <c r="V146" s="5"/>
      <c r="W146" s="64"/>
      <c r="X146" s="64"/>
      <c r="Y146" s="64"/>
      <c r="Z146" s="64"/>
      <c r="AA146" s="59" t="s">
        <v>1042</v>
      </c>
      <c r="AB146" s="65"/>
      <c r="AC146" s="68"/>
      <c r="AD146" s="65"/>
      <c r="AE146" s="68"/>
      <c r="AF146" s="66"/>
      <c r="AG146" s="68"/>
      <c r="AH146" s="67"/>
      <c r="AI146" s="69"/>
      <c r="AJ146" s="69"/>
      <c r="AK146" s="69"/>
      <c r="AL146" s="86"/>
      <c r="AM146" s="88"/>
      <c r="AN146" s="88"/>
      <c r="AO146" s="88"/>
      <c r="AP146" s="59"/>
      <c r="AQ146" s="68"/>
      <c r="AR146" s="59"/>
      <c r="AS146" s="68"/>
      <c r="AT146" s="59"/>
      <c r="AU146" s="68"/>
    </row>
    <row r="147" spans="1:47" ht="45" customHeight="1">
      <c r="A147" s="3" t="s">
        <v>148</v>
      </c>
      <c r="B147" s="3" t="s">
        <v>905</v>
      </c>
      <c r="C147" s="6">
        <v>46275</v>
      </c>
      <c r="D147" s="3" t="s">
        <v>1043</v>
      </c>
      <c r="E147" s="3" t="s">
        <v>1034</v>
      </c>
      <c r="F147" s="20">
        <f>LEN(G147)</f>
        <v>45</v>
      </c>
      <c r="G147" s="3" t="s">
        <v>1044</v>
      </c>
      <c r="H147" s="24" t="s">
        <v>677</v>
      </c>
      <c r="I147" s="24"/>
      <c r="J147" s="3" t="s">
        <v>154</v>
      </c>
      <c r="K147" s="3" t="s">
        <v>154</v>
      </c>
      <c r="L147" s="3" t="s">
        <v>155</v>
      </c>
      <c r="M147" s="3" t="s">
        <v>1034</v>
      </c>
      <c r="N147" s="20">
        <v>147604</v>
      </c>
      <c r="O147" s="3" t="s">
        <v>1043</v>
      </c>
      <c r="P147" s="3" t="s">
        <v>910</v>
      </c>
      <c r="Q147" s="5"/>
      <c r="R147" s="3" t="s">
        <v>1045</v>
      </c>
      <c r="S147" s="6">
        <v>46282</v>
      </c>
      <c r="T147" s="24"/>
      <c r="U147" s="3" t="b">
        <v>1</v>
      </c>
      <c r="V147" s="5"/>
      <c r="W147" s="64"/>
      <c r="X147" s="64"/>
      <c r="Y147" s="64"/>
      <c r="Z147" s="64"/>
      <c r="AA147" s="59" t="s">
        <v>1046</v>
      </c>
      <c r="AB147" s="65"/>
      <c r="AC147" s="68"/>
      <c r="AD147" s="65"/>
      <c r="AE147" s="68"/>
      <c r="AF147" s="66"/>
      <c r="AG147" s="68"/>
      <c r="AH147" s="67"/>
      <c r="AI147" s="69"/>
      <c r="AJ147" s="69"/>
      <c r="AK147" s="69"/>
      <c r="AL147" s="86"/>
      <c r="AM147" s="88"/>
      <c r="AN147" s="88"/>
      <c r="AO147" s="88"/>
      <c r="AP147" s="59"/>
      <c r="AQ147" s="68"/>
      <c r="AR147" s="59"/>
      <c r="AS147" s="68"/>
      <c r="AT147" s="59"/>
      <c r="AU147" s="68"/>
    </row>
    <row r="148" spans="1:47" ht="45" customHeight="1">
      <c r="A148" s="3" t="s">
        <v>148</v>
      </c>
      <c r="B148" s="3" t="s">
        <v>905</v>
      </c>
      <c r="C148" s="6">
        <v>46275</v>
      </c>
      <c r="D148" s="3" t="s">
        <v>1047</v>
      </c>
      <c r="E148" s="3" t="s">
        <v>1034</v>
      </c>
      <c r="F148" s="20">
        <f>LEN(G148)</f>
        <v>45</v>
      </c>
      <c r="G148" s="3" t="s">
        <v>1048</v>
      </c>
      <c r="H148" s="24" t="s">
        <v>1049</v>
      </c>
      <c r="I148" s="24"/>
      <c r="J148" s="3" t="s">
        <v>154</v>
      </c>
      <c r="K148" s="3" t="s">
        <v>154</v>
      </c>
      <c r="L148" s="3" t="s">
        <v>155</v>
      </c>
      <c r="M148" s="3" t="s">
        <v>1034</v>
      </c>
      <c r="N148" s="20">
        <v>147604</v>
      </c>
      <c r="O148" s="3" t="s">
        <v>1047</v>
      </c>
      <c r="P148" s="3" t="s">
        <v>910</v>
      </c>
      <c r="Q148" s="5"/>
      <c r="R148" s="3" t="s">
        <v>1050</v>
      </c>
      <c r="S148" s="6">
        <v>46286</v>
      </c>
      <c r="T148" s="24"/>
      <c r="U148" s="3" t="b">
        <v>1</v>
      </c>
      <c r="V148" s="5"/>
      <c r="W148" s="64"/>
      <c r="X148" s="64"/>
      <c r="Y148" s="64"/>
      <c r="Z148" s="64"/>
      <c r="AA148" s="59" t="s">
        <v>1051</v>
      </c>
      <c r="AB148" s="65"/>
      <c r="AC148" s="68"/>
      <c r="AD148" s="65"/>
      <c r="AE148" s="68"/>
      <c r="AF148" s="66"/>
      <c r="AG148" s="68"/>
      <c r="AH148" s="67"/>
      <c r="AI148" s="69"/>
      <c r="AJ148" s="69"/>
      <c r="AK148" s="69"/>
      <c r="AL148" s="86"/>
      <c r="AM148" s="88"/>
      <c r="AN148" s="88"/>
      <c r="AO148" s="88"/>
      <c r="AP148" s="59"/>
      <c r="AQ148" s="68"/>
      <c r="AR148" s="59"/>
      <c r="AS148" s="68"/>
      <c r="AT148" s="59"/>
      <c r="AU148" s="68"/>
    </row>
    <row r="149" spans="1:47" ht="45" customHeight="1">
      <c r="A149" s="5"/>
      <c r="B149" s="3" t="s">
        <v>905</v>
      </c>
      <c r="C149" s="6">
        <v>46275</v>
      </c>
      <c r="D149" s="3" t="s">
        <v>1052</v>
      </c>
      <c r="E149" s="3" t="s">
        <v>1034</v>
      </c>
      <c r="F149" s="20">
        <f>LEN(G149)</f>
        <v>32</v>
      </c>
      <c r="G149" s="3" t="s">
        <v>1053</v>
      </c>
      <c r="H149" s="24" t="s">
        <v>1054</v>
      </c>
      <c r="I149" s="24"/>
      <c r="J149" s="3" t="s">
        <v>154</v>
      </c>
      <c r="K149" s="3" t="s">
        <v>154</v>
      </c>
      <c r="L149" s="3" t="s">
        <v>155</v>
      </c>
      <c r="M149" s="3" t="s">
        <v>1034</v>
      </c>
      <c r="N149" s="20">
        <v>147604</v>
      </c>
      <c r="O149" s="3" t="s">
        <v>1052</v>
      </c>
      <c r="P149" s="3" t="s">
        <v>910</v>
      </c>
      <c r="Q149" s="5"/>
      <c r="R149" s="3" t="s">
        <v>1055</v>
      </c>
      <c r="S149" s="6">
        <v>46286</v>
      </c>
      <c r="T149" s="24"/>
      <c r="U149" s="3" t="b">
        <v>1</v>
      </c>
      <c r="V149" s="5"/>
      <c r="W149" s="64"/>
      <c r="X149" s="64"/>
      <c r="Y149" s="64"/>
      <c r="Z149" s="64"/>
      <c r="AA149" s="59" t="s">
        <v>1056</v>
      </c>
      <c r="AB149" s="65"/>
      <c r="AC149" s="68"/>
      <c r="AD149" s="65"/>
      <c r="AE149" s="68"/>
      <c r="AF149" s="66"/>
      <c r="AG149" s="68"/>
      <c r="AH149" s="67"/>
      <c r="AI149" s="69"/>
      <c r="AJ149" s="69"/>
      <c r="AK149" s="69"/>
      <c r="AL149" s="86"/>
      <c r="AM149" s="88"/>
      <c r="AN149" s="88"/>
      <c r="AO149" s="88"/>
      <c r="AP149" s="59"/>
      <c r="AQ149" s="68"/>
      <c r="AR149" s="59"/>
      <c r="AS149" s="68"/>
      <c r="AT149" s="59"/>
      <c r="AU149" s="68"/>
    </row>
    <row r="150" spans="1:47" ht="45" customHeight="1">
      <c r="A150" s="3" t="s">
        <v>148</v>
      </c>
      <c r="B150" s="3" t="s">
        <v>905</v>
      </c>
      <c r="C150" s="6">
        <v>46275</v>
      </c>
      <c r="D150" s="3" t="s">
        <v>1057</v>
      </c>
      <c r="E150" s="3" t="s">
        <v>1034</v>
      </c>
      <c r="F150" s="20">
        <f>LEN(G150)</f>
        <v>40</v>
      </c>
      <c r="G150" s="3" t="s">
        <v>1058</v>
      </c>
      <c r="H150" s="24" t="s">
        <v>1059</v>
      </c>
      <c r="I150" s="24"/>
      <c r="J150" s="3" t="s">
        <v>154</v>
      </c>
      <c r="K150" s="3" t="s">
        <v>154</v>
      </c>
      <c r="L150" s="3" t="s">
        <v>155</v>
      </c>
      <c r="M150" s="3" t="s">
        <v>1034</v>
      </c>
      <c r="N150" s="20">
        <v>147604</v>
      </c>
      <c r="O150" s="3" t="s">
        <v>1057</v>
      </c>
      <c r="P150" s="3" t="s">
        <v>910</v>
      </c>
      <c r="Q150" s="5"/>
      <c r="R150" s="3" t="s">
        <v>1060</v>
      </c>
      <c r="S150" s="6">
        <v>46286</v>
      </c>
      <c r="T150" s="24"/>
      <c r="U150" s="3" t="b">
        <v>1</v>
      </c>
      <c r="V150" s="5"/>
      <c r="W150" s="64"/>
      <c r="X150" s="64"/>
      <c r="Y150" s="64"/>
      <c r="Z150" s="64"/>
      <c r="AA150" s="59" t="s">
        <v>1061</v>
      </c>
      <c r="AB150" s="65"/>
      <c r="AC150" s="68"/>
      <c r="AD150" s="65"/>
      <c r="AE150" s="68"/>
      <c r="AF150" s="66"/>
      <c r="AG150" s="68"/>
      <c r="AH150" s="67"/>
      <c r="AI150" s="69"/>
      <c r="AJ150" s="69"/>
      <c r="AK150" s="69"/>
      <c r="AL150" s="86"/>
      <c r="AM150" s="88"/>
      <c r="AN150" s="88"/>
      <c r="AO150" s="88"/>
      <c r="AP150" s="59"/>
      <c r="AQ150" s="68"/>
      <c r="AR150" s="59"/>
      <c r="AS150" s="68"/>
      <c r="AT150" s="59"/>
      <c r="AU150" s="68"/>
    </row>
    <row r="151" spans="1:47" ht="98.25" customHeight="1">
      <c r="A151" s="3" t="s">
        <v>148</v>
      </c>
      <c r="B151" s="3" t="s">
        <v>176</v>
      </c>
      <c r="C151" s="6">
        <v>46275</v>
      </c>
      <c r="D151" s="3" t="s">
        <v>1062</v>
      </c>
      <c r="E151" s="3" t="s">
        <v>1063</v>
      </c>
      <c r="F151" s="20">
        <f>LEN(G151)</f>
        <v>51</v>
      </c>
      <c r="G151" s="3" t="s">
        <v>1064</v>
      </c>
      <c r="H151" s="25" t="s">
        <v>1065</v>
      </c>
      <c r="I151" s="3" t="s">
        <v>1066</v>
      </c>
      <c r="J151" s="3" t="s">
        <v>154</v>
      </c>
      <c r="K151" s="3" t="s">
        <v>154</v>
      </c>
      <c r="L151" s="3" t="s">
        <v>1067</v>
      </c>
      <c r="M151" s="3" t="s">
        <v>1063</v>
      </c>
      <c r="N151" s="20">
        <v>166439</v>
      </c>
      <c r="O151" s="3" t="s">
        <v>1062</v>
      </c>
      <c r="P151" s="3" t="s">
        <v>183</v>
      </c>
      <c r="Q151" s="3" t="s">
        <v>1068</v>
      </c>
      <c r="R151" s="5" t="inlineStr">
        <is>
          <t xml:space="preserve">087330</t>
        </is>
      </c>
      <c r="S151" s="5">
        <v>46302</v>
      </c>
      <c r="T151" s="24" t="inlineStr">
        <is>
          <t xml:space="preserve">Merci de mettre la famille</t>
        </is>
      </c>
      <c r="U151" s="3" t="b">
        <v>0</v>
      </c>
      <c r="V151" s="3" t="s">
        <v>1070</v>
      </c>
      <c r="W151" s="64"/>
      <c r="X151" s="64"/>
      <c r="Y151" s="64" t="s">
        <v>1071</v>
      </c>
      <c r="Z151" s="64"/>
      <c r="AA151" s="59" t="s">
        <v>1072</v>
      </c>
      <c r="AB151" s="65"/>
      <c r="AC151" s="68" t="s">
        <v>213</v>
      </c>
      <c r="AD151" s="65" t="s">
        <v>1073</v>
      </c>
      <c r="AE151" s="68" t="s">
        <v>786</v>
      </c>
      <c r="AF151" s="66" t="s">
        <v>1074</v>
      </c>
      <c r="AG151" s="68" t="s">
        <v>1075</v>
      </c>
      <c r="AH151" s="67"/>
      <c r="AI151" s="69"/>
      <c r="AJ151" s="69"/>
      <c r="AK151" s="69"/>
      <c r="AL151" s="86" t="s">
        <v>218</v>
      </c>
      <c r="AM151" s="88"/>
      <c r="AN151" s="88"/>
      <c r="AO151" s="88"/>
      <c r="AP151" s="59" t="s">
        <v>74</v>
      </c>
      <c r="AQ151" s="68" t="s">
        <v>1076</v>
      </c>
      <c r="AR151" s="59"/>
      <c r="AS151" s="68" t="s">
        <v>788</v>
      </c>
      <c r="AT151" s="59"/>
      <c r="AU151" s="68" t="s">
        <v>1077</v>
      </c>
    </row>
    <row r="152" spans="1:47" ht="45" customHeight="1">
      <c r="A152" s="3" t="s">
        <v>148</v>
      </c>
      <c r="B152" s="3" t="s">
        <v>965</v>
      </c>
      <c r="C152" s="6">
        <v>46276</v>
      </c>
      <c r="D152" s="3" t="s">
        <v>1078</v>
      </c>
      <c r="E152" s="3" t="s">
        <v>889</v>
      </c>
      <c r="F152" s="20">
        <f>LEN(G152)</f>
        <v>23</v>
      </c>
      <c r="G152" s="3" t="s">
        <v>1079</v>
      </c>
      <c r="H152" s="24" t="s">
        <v>891</v>
      </c>
      <c r="I152" s="24"/>
      <c r="J152" s="3" t="s">
        <v>154</v>
      </c>
      <c r="K152" s="3" t="s">
        <v>154</v>
      </c>
      <c r="L152" s="3" t="s">
        <v>155</v>
      </c>
      <c r="M152" s="3" t="s">
        <v>1080</v>
      </c>
      <c r="N152" s="20" t="s">
        <v>1081</v>
      </c>
      <c r="O152" s="3" t="s">
        <v>1082</v>
      </c>
      <c r="P152" s="3" t="s">
        <v>969</v>
      </c>
      <c r="Q152" s="5"/>
      <c r="R152" s="3" t="s">
        <v>1083</v>
      </c>
      <c r="S152" s="6">
        <v>46281</v>
      </c>
      <c r="T152" s="24"/>
      <c r="U152" s="3" t="b">
        <v>1</v>
      </c>
      <c r="V152" s="5"/>
      <c r="W152" s="64"/>
      <c r="X152" s="64"/>
      <c r="Y152" s="64"/>
      <c r="Z152" s="64"/>
      <c r="AA152" s="59" t="s">
        <v>1084</v>
      </c>
      <c r="AB152" s="65"/>
      <c r="AC152" s="68"/>
      <c r="AD152" s="65"/>
      <c r="AE152" s="68"/>
      <c r="AF152" s="66"/>
      <c r="AG152" s="68"/>
      <c r="AH152" s="67"/>
      <c r="AI152" s="69"/>
      <c r="AJ152" s="69"/>
      <c r="AK152" s="69"/>
      <c r="AL152" s="86"/>
      <c r="AM152" s="88"/>
      <c r="AN152" s="88"/>
      <c r="AO152" s="88"/>
      <c r="AP152" s="59"/>
      <c r="AQ152" s="68"/>
      <c r="AR152" s="59"/>
      <c r="AS152" s="68"/>
      <c r="AT152" s="59"/>
      <c r="AU152" s="68"/>
    </row>
    <row r="153" spans="1:47" ht="45" customHeight="1">
      <c r="A153" s="3" t="s">
        <v>148</v>
      </c>
      <c r="B153" s="3" t="s">
        <v>160</v>
      </c>
      <c r="C153" s="6">
        <v>46276</v>
      </c>
      <c r="D153" s="3" t="s">
        <v>1085</v>
      </c>
      <c r="E153" s="3" t="s">
        <v>162</v>
      </c>
      <c r="F153" s="20">
        <f>LEN(G153)</f>
        <v>81</v>
      </c>
      <c r="G153" s="3" t="s">
        <v>1086</v>
      </c>
      <c r="H153" s="24" t="s">
        <v>1087</v>
      </c>
      <c r="I153" s="24" t="s">
        <v>1088</v>
      </c>
      <c r="J153" s="3" t="s">
        <v>154</v>
      </c>
      <c r="K153" s="3" t="s">
        <v>154</v>
      </c>
      <c r="L153" s="3" t="s">
        <v>155</v>
      </c>
      <c r="M153" s="3" t="s">
        <v>162</v>
      </c>
      <c r="N153" s="20">
        <v>6914</v>
      </c>
      <c r="O153" s="3" t="s">
        <v>1085</v>
      </c>
      <c r="P153" s="3" t="s">
        <v>157</v>
      </c>
      <c r="Q153" s="3" t="s">
        <v>1089</v>
      </c>
      <c r="R153" s="3" t="s">
        <v>1090</v>
      </c>
      <c r="S153" s="6">
        <v>46287</v>
      </c>
      <c r="T153" s="24"/>
      <c r="U153" s="3" t="b">
        <v>1</v>
      </c>
      <c r="V153" s="3" t="s">
        <v>1091</v>
      </c>
      <c r="W153" s="64"/>
      <c r="X153" s="64"/>
      <c r="Y153" s="64"/>
      <c r="Z153" s="64"/>
      <c r="AA153" s="59" t="s">
        <v>1092</v>
      </c>
      <c r="AB153" s="65"/>
      <c r="AC153" s="68"/>
      <c r="AD153" s="65"/>
      <c r="AE153" s="68"/>
      <c r="AF153" s="66"/>
      <c r="AG153" s="68"/>
      <c r="AH153" s="67"/>
      <c r="AI153" s="69"/>
      <c r="AJ153" s="69"/>
      <c r="AK153" s="69"/>
      <c r="AL153" s="86"/>
      <c r="AM153" s="88"/>
      <c r="AN153" s="88"/>
      <c r="AO153" s="88"/>
      <c r="AP153" s="59"/>
      <c r="AQ153" s="68"/>
      <c r="AR153" s="59"/>
      <c r="AS153" s="68"/>
      <c r="AT153" s="59"/>
      <c r="AU153" s="68"/>
    </row>
    <row r="154" spans="1:47" ht="45" customHeight="1">
      <c r="A154" s="3" t="s">
        <v>148</v>
      </c>
      <c r="B154" s="3" t="s">
        <v>160</v>
      </c>
      <c r="C154" s="6">
        <v>46276</v>
      </c>
      <c r="D154" s="3" t="s">
        <v>1093</v>
      </c>
      <c r="E154" s="3" t="s">
        <v>1094</v>
      </c>
      <c r="F154" s="20">
        <f>LEN(G154)</f>
        <v>41</v>
      </c>
      <c r="G154" s="3" t="s">
        <v>1095</v>
      </c>
      <c r="H154" s="24" t="s">
        <v>1096</v>
      </c>
      <c r="I154" s="24" t="s">
        <v>857</v>
      </c>
      <c r="J154" s="3" t="s">
        <v>154</v>
      </c>
      <c r="K154" s="3" t="s">
        <v>154</v>
      </c>
      <c r="L154" s="3" t="s">
        <v>155</v>
      </c>
      <c r="M154" s="3" t="s">
        <v>1097</v>
      </c>
      <c r="N154" s="20">
        <v>37088</v>
      </c>
      <c r="O154" s="3" t="s">
        <v>1093</v>
      </c>
      <c r="P154" s="3" t="s">
        <v>157</v>
      </c>
      <c r="Q154" s="3" t="s">
        <v>1098</v>
      </c>
      <c r="R154" s="3" t="s">
        <v>1099</v>
      </c>
      <c r="S154" s="6">
        <v>46287</v>
      </c>
      <c r="T154" s="24"/>
      <c r="U154" s="3" t="b">
        <v>1</v>
      </c>
      <c r="V154" s="3" t="s">
        <v>1100</v>
      </c>
      <c r="W154" s="64"/>
      <c r="X154" s="64"/>
      <c r="Y154" s="64"/>
      <c r="Z154" s="64"/>
      <c r="AA154" s="59" t="s">
        <v>1101</v>
      </c>
      <c r="AB154" s="65"/>
      <c r="AC154" s="68"/>
      <c r="AD154" s="65"/>
      <c r="AE154" s="68"/>
      <c r="AF154" s="66"/>
      <c r="AG154" s="68"/>
      <c r="AH154" s="67"/>
      <c r="AI154" s="69"/>
      <c r="AJ154" s="69"/>
      <c r="AK154" s="69"/>
      <c r="AL154" s="86"/>
      <c r="AM154" s="88"/>
      <c r="AN154" s="88"/>
      <c r="AO154" s="88"/>
      <c r="AP154" s="59"/>
      <c r="AQ154" s="68"/>
      <c r="AR154" s="59"/>
      <c r="AS154" s="68"/>
      <c r="AT154" s="59"/>
      <c r="AU154" s="68"/>
    </row>
    <row r="155" spans="1:47" ht="45" customHeight="1">
      <c r="A155" s="3" t="s">
        <v>148</v>
      </c>
      <c r="B155" s="3" t="s">
        <v>160</v>
      </c>
      <c r="C155" s="6">
        <v>46276</v>
      </c>
      <c r="D155" s="3" t="s">
        <v>1102</v>
      </c>
      <c r="E155" s="3" t="s">
        <v>1094</v>
      </c>
      <c r="F155" s="20">
        <f>LEN(G155)</f>
        <v>17</v>
      </c>
      <c r="G155" s="3" t="s">
        <v>1103</v>
      </c>
      <c r="H155" s="24" t="s">
        <v>1096</v>
      </c>
      <c r="I155" s="3" t="s">
        <v>857</v>
      </c>
      <c r="J155" s="3" t="s">
        <v>154</v>
      </c>
      <c r="K155" s="3" t="s">
        <v>154</v>
      </c>
      <c r="L155" s="3" t="s">
        <v>155</v>
      </c>
      <c r="M155" s="3" t="s">
        <v>1097</v>
      </c>
      <c r="N155" s="20">
        <v>37088</v>
      </c>
      <c r="O155" s="3" t="s">
        <v>1102</v>
      </c>
      <c r="P155" s="3" t="s">
        <v>157</v>
      </c>
      <c r="Q155" s="5"/>
      <c r="R155" s="3" t="s">
        <v>1104</v>
      </c>
      <c r="S155" s="5"/>
      <c r="T155" s="24" t="s">
        <v>1105</v>
      </c>
      <c r="U155" s="3" t="b">
        <v>0</v>
      </c>
      <c r="V155" s="3" t="s">
        <v>1100</v>
      </c>
      <c r="W155" s="64"/>
      <c r="X155" s="64"/>
      <c r="Y155" s="64"/>
      <c r="Z155" s="64"/>
      <c r="AA155" s="59" t="s">
        <v>1106</v>
      </c>
      <c r="AB155" s="65"/>
      <c r="AC155" s="68"/>
      <c r="AD155" s="65"/>
      <c r="AE155" s="68"/>
      <c r="AF155" s="66"/>
      <c r="AG155" s="68"/>
      <c r="AH155" s="67"/>
      <c r="AI155" s="69"/>
      <c r="AJ155" s="69"/>
      <c r="AK155" s="69"/>
      <c r="AL155" s="86"/>
      <c r="AM155" s="88"/>
      <c r="AN155" s="88"/>
      <c r="AO155" s="88"/>
      <c r="AP155" s="59"/>
      <c r="AQ155" s="68"/>
      <c r="AR155" s="59"/>
      <c r="AS155" s="68"/>
      <c r="AT155" s="59"/>
      <c r="AU155" s="68"/>
    </row>
    <row r="156" spans="1:47" ht="45" customHeight="1">
      <c r="A156" s="3" t="s">
        <v>148</v>
      </c>
      <c r="B156" s="3" t="s">
        <v>160</v>
      </c>
      <c r="C156" s="6">
        <v>46276</v>
      </c>
      <c r="D156" s="3" t="s">
        <v>1107</v>
      </c>
      <c r="E156" s="3" t="s">
        <v>1094</v>
      </c>
      <c r="F156" s="20">
        <f>LEN(G156)</f>
        <v>24</v>
      </c>
      <c r="G156" s="3" t="s">
        <v>1108</v>
      </c>
      <c r="H156" s="24" t="s">
        <v>1096</v>
      </c>
      <c r="I156" s="3" t="s">
        <v>857</v>
      </c>
      <c r="J156" s="3" t="s">
        <v>154</v>
      </c>
      <c r="K156" s="3" t="s">
        <v>154</v>
      </c>
      <c r="L156" s="3" t="s">
        <v>155</v>
      </c>
      <c r="M156" s="3" t="s">
        <v>1097</v>
      </c>
      <c r="N156" s="20">
        <v>37088</v>
      </c>
      <c r="O156" s="3" t="s">
        <v>1107</v>
      </c>
      <c r="P156" s="3" t="s">
        <v>157</v>
      </c>
      <c r="Q156" s="5"/>
      <c r="R156" s="3" t="s">
        <v>1109</v>
      </c>
      <c r="S156" s="3">
        <v>46282</v>
      </c>
      <c r="T156" s="24"/>
      <c r="U156" s="3" t="b">
        <v>0</v>
      </c>
      <c r="V156" s="3" t="s">
        <v>1100</v>
      </c>
      <c r="W156" s="64"/>
      <c r="X156" s="64"/>
      <c r="Y156" s="64"/>
      <c r="Z156" s="64"/>
      <c r="AA156" s="59" t="s">
        <v>1110</v>
      </c>
      <c r="AB156" s="65"/>
      <c r="AC156" s="68"/>
      <c r="AD156" s="65"/>
      <c r="AE156" s="68"/>
      <c r="AF156" s="66"/>
      <c r="AG156" s="68"/>
      <c r="AH156" s="67"/>
      <c r="AI156" s="69"/>
      <c r="AJ156" s="69"/>
      <c r="AK156" s="69"/>
      <c r="AL156" s="86"/>
      <c r="AM156" s="88"/>
      <c r="AN156" s="88"/>
      <c r="AO156" s="88"/>
      <c r="AP156" s="59"/>
      <c r="AQ156" s="68"/>
      <c r="AR156" s="59"/>
      <c r="AS156" s="68"/>
      <c r="AT156" s="59"/>
      <c r="AU156" s="68"/>
    </row>
    <row r="157" spans="1:47" ht="45" customHeight="1">
      <c r="A157" s="3" t="s">
        <v>148</v>
      </c>
      <c r="B157" s="3" t="s">
        <v>160</v>
      </c>
      <c r="C157" s="6">
        <v>46276</v>
      </c>
      <c r="D157" s="3" t="s">
        <v>1111</v>
      </c>
      <c r="E157" s="3" t="s">
        <v>1094</v>
      </c>
      <c r="F157" s="20">
        <f>LEN(G157)</f>
        <v>36</v>
      </c>
      <c r="G157" s="3" t="s">
        <v>1112</v>
      </c>
      <c r="H157" s="24" t="s">
        <v>1096</v>
      </c>
      <c r="I157" s="24" t="s">
        <v>857</v>
      </c>
      <c r="J157" s="3" t="s">
        <v>154</v>
      </c>
      <c r="K157" s="3" t="s">
        <v>154</v>
      </c>
      <c r="L157" s="3" t="s">
        <v>155</v>
      </c>
      <c r="M157" s="3" t="s">
        <v>1097</v>
      </c>
      <c r="N157" s="20">
        <v>37088</v>
      </c>
      <c r="O157" s="3" t="s">
        <v>1111</v>
      </c>
      <c r="P157" s="3" t="s">
        <v>157</v>
      </c>
      <c r="Q157" s="5"/>
      <c r="R157" s="3" t="s">
        <v>1113</v>
      </c>
      <c r="S157" s="6">
        <v>46287</v>
      </c>
      <c r="T157" s="24"/>
      <c r="U157" s="3" t="b">
        <v>1</v>
      </c>
      <c r="V157" s="3" t="s">
        <v>1100</v>
      </c>
      <c r="W157" s="64"/>
      <c r="X157" s="64"/>
      <c r="Y157" s="64"/>
      <c r="Z157" s="64"/>
      <c r="AA157" s="59" t="s">
        <v>1114</v>
      </c>
      <c r="AB157" s="65"/>
      <c r="AC157" s="68"/>
      <c r="AD157" s="65"/>
      <c r="AE157" s="68"/>
      <c r="AF157" s="66"/>
      <c r="AG157" s="68"/>
      <c r="AH157" s="67"/>
      <c r="AI157" s="69"/>
      <c r="AJ157" s="69"/>
      <c r="AK157" s="69"/>
      <c r="AL157" s="86"/>
      <c r="AM157" s="88"/>
      <c r="AN157" s="88"/>
      <c r="AO157" s="88"/>
      <c r="AP157" s="59"/>
      <c r="AQ157" s="68"/>
      <c r="AR157" s="59"/>
      <c r="AS157" s="68"/>
      <c r="AT157" s="59"/>
      <c r="AU157" s="68"/>
    </row>
    <row r="158" spans="1:47" ht="131.25" customHeight="1">
      <c r="A158" s="3" t="s">
        <v>148</v>
      </c>
      <c r="B158" s="3" t="s">
        <v>160</v>
      </c>
      <c r="C158" s="6">
        <v>46276</v>
      </c>
      <c r="D158" s="3" t="s">
        <v>1115</v>
      </c>
      <c r="E158" s="3" t="s">
        <v>1094</v>
      </c>
      <c r="F158" s="20">
        <f>LEN(G158)</f>
        <v>27</v>
      </c>
      <c r="G158" s="3" t="s">
        <v>1116</v>
      </c>
      <c r="H158" s="24" t="s">
        <v>1096</v>
      </c>
      <c r="I158" s="3" t="s">
        <v>857</v>
      </c>
      <c r="J158" s="3" t="s">
        <v>154</v>
      </c>
      <c r="K158" s="3" t="s">
        <v>154</v>
      </c>
      <c r="L158" s="3" t="s">
        <v>155</v>
      </c>
      <c r="M158" s="3" t="s">
        <v>1097</v>
      </c>
      <c r="N158" s="20">
        <v>37088</v>
      </c>
      <c r="O158" s="3" t="s">
        <v>1115</v>
      </c>
      <c r="P158" s="3" t="s">
        <v>157</v>
      </c>
      <c r="Q158" s="5"/>
      <c r="R158" s="5"/>
      <c r="S158" s="5"/>
      <c r="T158" s="24" t="s">
        <v>1117</v>
      </c>
      <c r="U158" s="3" t="b">
        <v>0</v>
      </c>
      <c r="V158" s="3" t="s">
        <v>1100</v>
      </c>
      <c r="W158" s="64"/>
      <c r="X158" s="64"/>
      <c r="Y158" s="64" t="s">
        <v>1118</v>
      </c>
      <c r="Z158" s="64"/>
      <c r="AA158" s="59" t="s">
        <v>212</v>
      </c>
      <c r="AB158" s="65"/>
      <c r="AC158" s="68" t="s">
        <v>213</v>
      </c>
      <c r="AD158" s="65" t="s">
        <v>1119</v>
      </c>
      <c r="AE158" s="68" t="s">
        <v>1120</v>
      </c>
      <c r="AF158" s="66" t="s">
        <v>1116</v>
      </c>
      <c r="AG158" s="68" t="s">
        <v>1121</v>
      </c>
      <c r="AH158" s="67"/>
      <c r="AI158" s="69"/>
      <c r="AJ158" s="69"/>
      <c r="AK158" s="69"/>
      <c r="AL158" s="86" t="s">
        <v>218</v>
      </c>
      <c r="AM158" s="89" t="str">
        <f>HYPERLINK("https://info.nsf.org/USDA/letters/138219.pdf","https://info.nsf.org/USDA/letters/138219.pdf")</f>
        <v>https://info.nsf.org/USDA/letters/138219.pdf</v>
      </c>
      <c r="AN158" s="89" t="str">
        <f>HYPERLINK("https://jbtmarel.com/en/products/lubricants/","https://jbtmarel.com/en/products/lubricants/")</f>
        <v>https://jbtmarel.com/en/products/lubricants/</v>
      </c>
      <c r="AO158" s="88"/>
      <c r="AP158" s="59" t="s">
        <v>74</v>
      </c>
      <c r="AQ158" s="68" t="s">
        <v>1122</v>
      </c>
      <c r="AR158" s="59"/>
      <c r="AS158" s="68" t="s">
        <v>746</v>
      </c>
      <c r="AT158" s="59" t="s">
        <v>857</v>
      </c>
      <c r="AU158" s="68" t="s">
        <v>1077</v>
      </c>
    </row>
    <row r="159" spans="1:47" ht="45" customHeight="1">
      <c r="A159" s="3" t="s">
        <v>148</v>
      </c>
      <c r="B159" s="3" t="s">
        <v>160</v>
      </c>
      <c r="C159" s="6">
        <v>46276</v>
      </c>
      <c r="D159" s="3" t="s">
        <v>1123</v>
      </c>
      <c r="E159" s="3" t="s">
        <v>1094</v>
      </c>
      <c r="F159" s="20">
        <f>LEN(G159)</f>
        <v>40</v>
      </c>
      <c r="G159" s="3" t="s">
        <v>1124</v>
      </c>
      <c r="H159" s="24" t="s">
        <v>1096</v>
      </c>
      <c r="I159" s="24" t="s">
        <v>857</v>
      </c>
      <c r="J159" s="3" t="s">
        <v>154</v>
      </c>
      <c r="K159" s="3" t="s">
        <v>154</v>
      </c>
      <c r="L159" s="3" t="s">
        <v>155</v>
      </c>
      <c r="M159" s="3" t="s">
        <v>1097</v>
      </c>
      <c r="N159" s="20">
        <v>37088</v>
      </c>
      <c r="O159" s="3" t="s">
        <v>1123</v>
      </c>
      <c r="P159" s="3" t="s">
        <v>157</v>
      </c>
      <c r="Q159" s="5"/>
      <c r="R159" s="3" t="s">
        <v>1125</v>
      </c>
      <c r="S159" s="6">
        <v>46287</v>
      </c>
      <c r="T159" s="24"/>
      <c r="U159" s="3" t="b">
        <v>1</v>
      </c>
      <c r="V159" s="3" t="s">
        <v>1100</v>
      </c>
      <c r="W159" s="64"/>
      <c r="X159" s="64"/>
      <c r="Y159" s="64"/>
      <c r="Z159" s="64"/>
      <c r="AA159" s="59" t="s">
        <v>1126</v>
      </c>
      <c r="AB159" s="65"/>
      <c r="AC159" s="68"/>
      <c r="AD159" s="65"/>
      <c r="AE159" s="68"/>
      <c r="AF159" s="66"/>
      <c r="AG159" s="68"/>
      <c r="AH159" s="67"/>
      <c r="AI159" s="69"/>
      <c r="AJ159" s="69"/>
      <c r="AK159" s="69"/>
      <c r="AL159" s="86"/>
      <c r="AM159" s="88"/>
      <c r="AN159" s="88"/>
      <c r="AO159" s="88"/>
      <c r="AP159" s="59"/>
      <c r="AQ159" s="68"/>
      <c r="AR159" s="59"/>
      <c r="AS159" s="68"/>
      <c r="AT159" s="59"/>
      <c r="AU159" s="68"/>
    </row>
    <row r="160" spans="1:47" ht="45" customHeight="1">
      <c r="A160" s="3" t="s">
        <v>148</v>
      </c>
      <c r="B160" s="3" t="s">
        <v>160</v>
      </c>
      <c r="C160" s="6">
        <v>46276</v>
      </c>
      <c r="D160" s="3" t="s">
        <v>1127</v>
      </c>
      <c r="E160" s="3" t="s">
        <v>1094</v>
      </c>
      <c r="F160" s="20">
        <f>LEN(G160)</f>
        <v>36</v>
      </c>
      <c r="G160" s="3" t="s">
        <v>1128</v>
      </c>
      <c r="H160" s="24" t="s">
        <v>1096</v>
      </c>
      <c r="I160" s="24" t="s">
        <v>857</v>
      </c>
      <c r="J160" s="3" t="s">
        <v>154</v>
      </c>
      <c r="K160" s="3" t="s">
        <v>154</v>
      </c>
      <c r="L160" s="3" t="s">
        <v>155</v>
      </c>
      <c r="M160" s="3" t="s">
        <v>1097</v>
      </c>
      <c r="N160" s="20">
        <v>37088</v>
      </c>
      <c r="O160" s="3" t="s">
        <v>1127</v>
      </c>
      <c r="P160" s="3" t="s">
        <v>157</v>
      </c>
      <c r="Q160" s="5"/>
      <c r="R160" s="3" t="s">
        <v>1129</v>
      </c>
      <c r="S160" s="6">
        <v>46282</v>
      </c>
      <c r="T160" s="24"/>
      <c r="U160" s="3" t="b">
        <v>1</v>
      </c>
      <c r="V160" s="3" t="s">
        <v>1100</v>
      </c>
      <c r="W160" s="64"/>
      <c r="X160" s="64"/>
      <c r="Y160" s="64"/>
      <c r="Z160" s="64"/>
      <c r="AA160" s="59" t="s">
        <v>1130</v>
      </c>
      <c r="AB160" s="65"/>
      <c r="AC160" s="68"/>
      <c r="AD160" s="65"/>
      <c r="AE160" s="68"/>
      <c r="AF160" s="66"/>
      <c r="AG160" s="68"/>
      <c r="AH160" s="67"/>
      <c r="AI160" s="69"/>
      <c r="AJ160" s="69"/>
      <c r="AK160" s="69"/>
      <c r="AL160" s="86"/>
      <c r="AM160" s="88"/>
      <c r="AN160" s="88"/>
      <c r="AO160" s="88"/>
      <c r="AP160" s="59"/>
      <c r="AQ160" s="68"/>
      <c r="AR160" s="59"/>
      <c r="AS160" s="68"/>
      <c r="AT160" s="59"/>
      <c r="AU160" s="68"/>
    </row>
    <row r="161" spans="1:47" ht="45" customHeight="1">
      <c r="A161" s="3" t="s">
        <v>148</v>
      </c>
      <c r="B161" s="3" t="s">
        <v>160</v>
      </c>
      <c r="C161" s="6">
        <v>46276</v>
      </c>
      <c r="D161" s="3" t="s">
        <v>1131</v>
      </c>
      <c r="E161" s="3" t="s">
        <v>1094</v>
      </c>
      <c r="F161" s="20">
        <f>LEN(G161)</f>
        <v>42</v>
      </c>
      <c r="G161" s="3" t="s">
        <v>1132</v>
      </c>
      <c r="H161" s="24" t="s">
        <v>1096</v>
      </c>
      <c r="I161" s="24" t="s">
        <v>857</v>
      </c>
      <c r="J161" s="3" t="s">
        <v>154</v>
      </c>
      <c r="K161" s="3" t="s">
        <v>154</v>
      </c>
      <c r="L161" s="3" t="s">
        <v>155</v>
      </c>
      <c r="M161" s="3" t="s">
        <v>1097</v>
      </c>
      <c r="N161" s="20">
        <v>37088</v>
      </c>
      <c r="O161" s="3" t="s">
        <v>1131</v>
      </c>
      <c r="P161" s="3" t="s">
        <v>157</v>
      </c>
      <c r="Q161" s="5"/>
      <c r="R161" s="3" t="s">
        <v>1133</v>
      </c>
      <c r="S161" s="6">
        <v>46282</v>
      </c>
      <c r="T161" s="24"/>
      <c r="U161" s="3" t="b">
        <v>1</v>
      </c>
      <c r="V161" s="3" t="s">
        <v>1100</v>
      </c>
      <c r="W161" s="64"/>
      <c r="X161" s="64"/>
      <c r="Y161" s="64"/>
      <c r="Z161" s="64"/>
      <c r="AA161" s="59" t="s">
        <v>1134</v>
      </c>
      <c r="AB161" s="65"/>
      <c r="AC161" s="68"/>
      <c r="AD161" s="65"/>
      <c r="AE161" s="68"/>
      <c r="AF161" s="66"/>
      <c r="AG161" s="68"/>
      <c r="AH161" s="67"/>
      <c r="AI161" s="69"/>
      <c r="AJ161" s="69"/>
      <c r="AK161" s="69"/>
      <c r="AL161" s="86"/>
      <c r="AM161" s="88"/>
      <c r="AN161" s="88"/>
      <c r="AO161" s="88"/>
      <c r="AP161" s="59"/>
      <c r="AQ161" s="68"/>
      <c r="AR161" s="59"/>
      <c r="AS161" s="68"/>
      <c r="AT161" s="59"/>
      <c r="AU161" s="68"/>
    </row>
    <row r="162" spans="1:47" ht="45" customHeight="1">
      <c r="A162" s="3" t="s">
        <v>148</v>
      </c>
      <c r="B162" s="3" t="s">
        <v>160</v>
      </c>
      <c r="C162" s="6">
        <v>46276</v>
      </c>
      <c r="D162" s="3" t="s">
        <v>1135</v>
      </c>
      <c r="E162" s="3" t="s">
        <v>1094</v>
      </c>
      <c r="F162" s="20">
        <f>LEN(G162)</f>
        <v>20</v>
      </c>
      <c r="G162" s="3" t="s">
        <v>1136</v>
      </c>
      <c r="H162" s="24" t="s">
        <v>1096</v>
      </c>
      <c r="I162" s="24" t="s">
        <v>857</v>
      </c>
      <c r="J162" s="3" t="s">
        <v>154</v>
      </c>
      <c r="K162" s="3" t="s">
        <v>154</v>
      </c>
      <c r="L162" s="3" t="s">
        <v>155</v>
      </c>
      <c r="M162" s="3" t="s">
        <v>1097</v>
      </c>
      <c r="N162" s="20">
        <v>37088</v>
      </c>
      <c r="O162" s="3" t="s">
        <v>1135</v>
      </c>
      <c r="P162" s="3" t="s">
        <v>157</v>
      </c>
      <c r="Q162" s="5"/>
      <c r="R162" s="3" t="s">
        <v>1137</v>
      </c>
      <c r="S162" s="6">
        <v>46282</v>
      </c>
      <c r="T162" s="24"/>
      <c r="U162" s="3" t="b">
        <v>1</v>
      </c>
      <c r="V162" s="3" t="s">
        <v>1100</v>
      </c>
      <c r="W162" s="64"/>
      <c r="X162" s="64"/>
      <c r="Y162" s="64"/>
      <c r="Z162" s="64"/>
      <c r="AA162" s="59" t="s">
        <v>1138</v>
      </c>
      <c r="AB162" s="65"/>
      <c r="AC162" s="68"/>
      <c r="AD162" s="65"/>
      <c r="AE162" s="68"/>
      <c r="AF162" s="66"/>
      <c r="AG162" s="68"/>
      <c r="AH162" s="67"/>
      <c r="AI162" s="69"/>
      <c r="AJ162" s="69"/>
      <c r="AK162" s="69"/>
      <c r="AL162" s="86"/>
      <c r="AM162" s="88"/>
      <c r="AN162" s="88"/>
      <c r="AO162" s="88"/>
      <c r="AP162" s="59"/>
      <c r="AQ162" s="68"/>
      <c r="AR162" s="59"/>
      <c r="AS162" s="68"/>
      <c r="AT162" s="59"/>
      <c r="AU162" s="68"/>
    </row>
    <row r="163" spans="1:47" ht="45" customHeight="1">
      <c r="A163" s="3" t="s">
        <v>148</v>
      </c>
      <c r="B163" s="3" t="s">
        <v>160</v>
      </c>
      <c r="C163" s="6">
        <v>46276</v>
      </c>
      <c r="D163" s="3" t="s">
        <v>1139</v>
      </c>
      <c r="E163" s="3" t="s">
        <v>1094</v>
      </c>
      <c r="F163" s="20">
        <f>LEN(G163)</f>
        <v>20</v>
      </c>
      <c r="G163" s="3" t="s">
        <v>1140</v>
      </c>
      <c r="H163" s="24" t="s">
        <v>1096</v>
      </c>
      <c r="I163" s="24" t="s">
        <v>857</v>
      </c>
      <c r="J163" s="3" t="s">
        <v>154</v>
      </c>
      <c r="K163" s="3" t="s">
        <v>154</v>
      </c>
      <c r="L163" s="3" t="s">
        <v>155</v>
      </c>
      <c r="M163" s="3" t="s">
        <v>1097</v>
      </c>
      <c r="N163" s="20">
        <v>37088</v>
      </c>
      <c r="O163" s="3" t="s">
        <v>1139</v>
      </c>
      <c r="P163" s="3" t="s">
        <v>157</v>
      </c>
      <c r="Q163" s="5"/>
      <c r="R163" s="3" t="s">
        <v>1141</v>
      </c>
      <c r="S163" s="6">
        <v>46286</v>
      </c>
      <c r="T163" s="24"/>
      <c r="U163" s="3" t="b">
        <v>1</v>
      </c>
      <c r="V163" s="3" t="s">
        <v>1100</v>
      </c>
      <c r="W163" s="64"/>
      <c r="X163" s="64"/>
      <c r="Y163" s="64"/>
      <c r="Z163" s="64"/>
      <c r="AA163" s="59" t="s">
        <v>1142</v>
      </c>
      <c r="AB163" s="65"/>
      <c r="AC163" s="68"/>
      <c r="AD163" s="65"/>
      <c r="AE163" s="68"/>
      <c r="AF163" s="66"/>
      <c r="AG163" s="68"/>
      <c r="AH163" s="67"/>
      <c r="AI163" s="69"/>
      <c r="AJ163" s="69"/>
      <c r="AK163" s="69"/>
      <c r="AL163" s="86"/>
      <c r="AM163" s="88"/>
      <c r="AN163" s="88"/>
      <c r="AO163" s="88"/>
      <c r="AP163" s="59"/>
      <c r="AQ163" s="68"/>
      <c r="AR163" s="59"/>
      <c r="AS163" s="68"/>
      <c r="AT163" s="59"/>
      <c r="AU163" s="68"/>
    </row>
    <row r="164" spans="1:47" ht="45" customHeight="1">
      <c r="A164" s="3" t="s">
        <v>148</v>
      </c>
      <c r="B164" s="3" t="s">
        <v>160</v>
      </c>
      <c r="C164" s="6">
        <v>46276</v>
      </c>
      <c r="D164" s="3" t="s">
        <v>1143</v>
      </c>
      <c r="E164" s="3" t="s">
        <v>1094</v>
      </c>
      <c r="F164" s="20">
        <f>LEN(G164)</f>
        <v>30</v>
      </c>
      <c r="G164" s="3" t="s">
        <v>1144</v>
      </c>
      <c r="H164" s="24" t="s">
        <v>1096</v>
      </c>
      <c r="I164" s="24" t="s">
        <v>857</v>
      </c>
      <c r="J164" s="3" t="s">
        <v>154</v>
      </c>
      <c r="K164" s="3" t="s">
        <v>154</v>
      </c>
      <c r="L164" s="3" t="s">
        <v>155</v>
      </c>
      <c r="M164" s="3" t="s">
        <v>1097</v>
      </c>
      <c r="N164" s="20">
        <v>37088</v>
      </c>
      <c r="O164" s="3" t="s">
        <v>1143</v>
      </c>
      <c r="P164" s="3" t="s">
        <v>157</v>
      </c>
      <c r="Q164" s="5"/>
      <c r="R164" s="3" t="s">
        <v>1145</v>
      </c>
      <c r="S164" s="6">
        <v>46287</v>
      </c>
      <c r="T164" s="24"/>
      <c r="U164" s="3" t="b">
        <v>1</v>
      </c>
      <c r="V164" s="3" t="s">
        <v>1100</v>
      </c>
      <c r="W164" s="64"/>
      <c r="X164" s="64"/>
      <c r="Y164" s="64"/>
      <c r="Z164" s="64"/>
      <c r="AA164" s="59" t="s">
        <v>1146</v>
      </c>
      <c r="AB164" s="65"/>
      <c r="AC164" s="68"/>
      <c r="AD164" s="65"/>
      <c r="AE164" s="68"/>
      <c r="AF164" s="66"/>
      <c r="AG164" s="68"/>
      <c r="AH164" s="67"/>
      <c r="AI164" s="69"/>
      <c r="AJ164" s="69"/>
      <c r="AK164" s="69"/>
      <c r="AL164" s="86"/>
      <c r="AM164" s="88"/>
      <c r="AN164" s="88"/>
      <c r="AO164" s="88"/>
      <c r="AP164" s="59"/>
      <c r="AQ164" s="68"/>
      <c r="AR164" s="59"/>
      <c r="AS164" s="68"/>
      <c r="AT164" s="59"/>
      <c r="AU164" s="68"/>
    </row>
    <row r="165" spans="1:47" ht="45" customHeight="1">
      <c r="A165" s="3" t="s">
        <v>148</v>
      </c>
      <c r="B165" s="3" t="s">
        <v>160</v>
      </c>
      <c r="C165" s="6">
        <v>46276</v>
      </c>
      <c r="D165" s="3" t="s">
        <v>1147</v>
      </c>
      <c r="E165" s="3" t="s">
        <v>1094</v>
      </c>
      <c r="F165" s="20">
        <f>LEN(G165)</f>
        <v>28</v>
      </c>
      <c r="G165" s="3" t="s">
        <v>1148</v>
      </c>
      <c r="H165" s="24" t="s">
        <v>1096</v>
      </c>
      <c r="I165" s="3" t="s">
        <v>857</v>
      </c>
      <c r="J165" s="3" t="s">
        <v>154</v>
      </c>
      <c r="K165" s="3" t="s">
        <v>154</v>
      </c>
      <c r="L165" s="3" t="s">
        <v>155</v>
      </c>
      <c r="M165" s="3" t="s">
        <v>1097</v>
      </c>
      <c r="N165" s="20">
        <v>37088</v>
      </c>
      <c r="O165" s="3" t="s">
        <v>1147</v>
      </c>
      <c r="P165" s="3" t="s">
        <v>157</v>
      </c>
      <c r="Q165" s="5"/>
      <c r="R165" s="3" t="s">
        <v>1149</v>
      </c>
      <c r="S165" s="3">
        <v>46286</v>
      </c>
      <c r="T165" s="24"/>
      <c r="U165" s="3" t="b">
        <v>0</v>
      </c>
      <c r="V165" s="3" t="s">
        <v>1100</v>
      </c>
      <c r="W165" s="64"/>
      <c r="X165" s="64"/>
      <c r="Y165" s="64"/>
      <c r="Z165" s="64"/>
      <c r="AA165" s="59" t="s">
        <v>1150</v>
      </c>
      <c r="AB165" s="65"/>
      <c r="AC165" s="68"/>
      <c r="AD165" s="65"/>
      <c r="AE165" s="68"/>
      <c r="AF165" s="66"/>
      <c r="AG165" s="68"/>
      <c r="AH165" s="67"/>
      <c r="AI165" s="69"/>
      <c r="AJ165" s="69"/>
      <c r="AK165" s="69"/>
      <c r="AL165" s="86"/>
      <c r="AM165" s="88"/>
      <c r="AN165" s="88"/>
      <c r="AO165" s="88"/>
      <c r="AP165" s="59"/>
      <c r="AQ165" s="68"/>
      <c r="AR165" s="59"/>
      <c r="AS165" s="68"/>
      <c r="AT165" s="59"/>
      <c r="AU165" s="68"/>
    </row>
    <row r="166" spans="1:47" ht="45" customHeight="1">
      <c r="A166" s="3" t="s">
        <v>148</v>
      </c>
      <c r="B166" s="3" t="s">
        <v>160</v>
      </c>
      <c r="C166" s="6">
        <v>46276</v>
      </c>
      <c r="D166" s="3" t="s">
        <v>1151</v>
      </c>
      <c r="E166" s="3" t="s">
        <v>1094</v>
      </c>
      <c r="F166" s="20">
        <f>LEN(G166)</f>
        <v>23</v>
      </c>
      <c r="G166" s="3" t="s">
        <v>1152</v>
      </c>
      <c r="H166" s="24" t="s">
        <v>1096</v>
      </c>
      <c r="I166" s="24" t="s">
        <v>857</v>
      </c>
      <c r="J166" s="3" t="s">
        <v>154</v>
      </c>
      <c r="K166" s="3" t="s">
        <v>154</v>
      </c>
      <c r="L166" s="3" t="s">
        <v>155</v>
      </c>
      <c r="M166" s="3" t="s">
        <v>1097</v>
      </c>
      <c r="N166" s="20">
        <v>37088</v>
      </c>
      <c r="O166" s="3" t="s">
        <v>1151</v>
      </c>
      <c r="P166" s="3" t="s">
        <v>157</v>
      </c>
      <c r="Q166" s="5"/>
      <c r="R166" s="3" t="s">
        <v>1153</v>
      </c>
      <c r="S166" s="6">
        <v>46287</v>
      </c>
      <c r="T166" s="24"/>
      <c r="U166" s="3" t="b">
        <v>1</v>
      </c>
      <c r="V166" s="3" t="s">
        <v>1100</v>
      </c>
      <c r="W166" s="64"/>
      <c r="X166" s="64"/>
      <c r="Y166" s="64"/>
      <c r="Z166" s="64"/>
      <c r="AA166" s="59" t="s">
        <v>1154</v>
      </c>
      <c r="AB166" s="65"/>
      <c r="AC166" s="68"/>
      <c r="AD166" s="65"/>
      <c r="AE166" s="68"/>
      <c r="AF166" s="66"/>
      <c r="AG166" s="68"/>
      <c r="AH166" s="67"/>
      <c r="AI166" s="69"/>
      <c r="AJ166" s="69"/>
      <c r="AK166" s="69"/>
      <c r="AL166" s="86"/>
      <c r="AM166" s="88"/>
      <c r="AN166" s="88"/>
      <c r="AO166" s="88"/>
      <c r="AP166" s="59"/>
      <c r="AQ166" s="68"/>
      <c r="AR166" s="59"/>
      <c r="AS166" s="68"/>
      <c r="AT166" s="59"/>
      <c r="AU166" s="68"/>
    </row>
    <row r="167" spans="1:47" ht="45" customHeight="1">
      <c r="A167" s="3" t="s">
        <v>148</v>
      </c>
      <c r="B167" s="3" t="s">
        <v>160</v>
      </c>
      <c r="C167" s="6">
        <v>46276</v>
      </c>
      <c r="D167" s="3" t="s">
        <v>1155</v>
      </c>
      <c r="E167" s="3" t="s">
        <v>1094</v>
      </c>
      <c r="F167" s="20">
        <f>LEN(G167)</f>
        <v>15</v>
      </c>
      <c r="G167" s="3" t="s">
        <v>1156</v>
      </c>
      <c r="H167" s="24" t="s">
        <v>1096</v>
      </c>
      <c r="I167" s="24" t="s">
        <v>857</v>
      </c>
      <c r="J167" s="3" t="s">
        <v>154</v>
      </c>
      <c r="K167" s="3" t="s">
        <v>154</v>
      </c>
      <c r="L167" s="3" t="s">
        <v>155</v>
      </c>
      <c r="M167" s="3" t="s">
        <v>1097</v>
      </c>
      <c r="N167" s="20">
        <v>37088</v>
      </c>
      <c r="O167" s="3" t="s">
        <v>1155</v>
      </c>
      <c r="P167" s="3" t="s">
        <v>157</v>
      </c>
      <c r="Q167" s="5"/>
      <c r="R167" s="3" t="s">
        <v>1157</v>
      </c>
      <c r="S167" s="6">
        <v>46287</v>
      </c>
      <c r="T167" s="24"/>
      <c r="U167" s="3" t="b">
        <v>1</v>
      </c>
      <c r="V167" s="3" t="s">
        <v>1100</v>
      </c>
      <c r="W167" s="64"/>
      <c r="X167" s="64"/>
      <c r="Y167" s="64"/>
      <c r="Z167" s="64"/>
      <c r="AA167" s="59" t="s">
        <v>1158</v>
      </c>
      <c r="AB167" s="65"/>
      <c r="AC167" s="68"/>
      <c r="AD167" s="65"/>
      <c r="AE167" s="68"/>
      <c r="AF167" s="66"/>
      <c r="AG167" s="68"/>
      <c r="AH167" s="67"/>
      <c r="AI167" s="69"/>
      <c r="AJ167" s="69"/>
      <c r="AK167" s="69"/>
      <c r="AL167" s="86"/>
      <c r="AM167" s="88"/>
      <c r="AN167" s="88"/>
      <c r="AO167" s="88"/>
      <c r="AP167" s="59"/>
      <c r="AQ167" s="68"/>
      <c r="AR167" s="59"/>
      <c r="AS167" s="68"/>
      <c r="AT167" s="59"/>
      <c r="AU167" s="68"/>
    </row>
    <row r="168" spans="1:47" ht="45" customHeight="1">
      <c r="A168" s="3" t="s">
        <v>148</v>
      </c>
      <c r="B168" s="3" t="s">
        <v>160</v>
      </c>
      <c r="C168" s="6">
        <v>46276</v>
      </c>
      <c r="D168" s="3" t="s">
        <v>1159</v>
      </c>
      <c r="E168" s="3" t="s">
        <v>1094</v>
      </c>
      <c r="F168" s="20">
        <f>LEN(G168)</f>
        <v>13</v>
      </c>
      <c r="G168" s="3" t="s">
        <v>1160</v>
      </c>
      <c r="H168" s="24" t="s">
        <v>1096</v>
      </c>
      <c r="I168" s="24" t="s">
        <v>857</v>
      </c>
      <c r="J168" s="3" t="s">
        <v>154</v>
      </c>
      <c r="K168" s="3" t="s">
        <v>154</v>
      </c>
      <c r="L168" s="3" t="s">
        <v>155</v>
      </c>
      <c r="M168" s="3" t="s">
        <v>1097</v>
      </c>
      <c r="N168" s="20">
        <v>37088</v>
      </c>
      <c r="O168" s="3" t="s">
        <v>1159</v>
      </c>
      <c r="P168" s="3" t="s">
        <v>157</v>
      </c>
      <c r="Q168" s="5"/>
      <c r="R168" s="3" t="s">
        <v>1161</v>
      </c>
      <c r="S168" s="6">
        <v>46287</v>
      </c>
      <c r="T168" s="24"/>
      <c r="U168" s="3" t="b">
        <v>1</v>
      </c>
      <c r="V168" s="3" t="s">
        <v>1100</v>
      </c>
      <c r="W168" s="64"/>
      <c r="X168" s="64"/>
      <c r="Y168" s="64"/>
      <c r="Z168" s="64"/>
      <c r="AA168" s="59" t="s">
        <v>1162</v>
      </c>
      <c r="AB168" s="65"/>
      <c r="AC168" s="68"/>
      <c r="AD168" s="65"/>
      <c r="AE168" s="68"/>
      <c r="AF168" s="66"/>
      <c r="AG168" s="68"/>
      <c r="AH168" s="67"/>
      <c r="AI168" s="69"/>
      <c r="AJ168" s="69"/>
      <c r="AK168" s="69"/>
      <c r="AL168" s="86"/>
      <c r="AM168" s="88"/>
      <c r="AN168" s="88"/>
      <c r="AO168" s="88"/>
      <c r="AP168" s="59"/>
      <c r="AQ168" s="68"/>
      <c r="AR168" s="59"/>
      <c r="AS168" s="68"/>
      <c r="AT168" s="59"/>
      <c r="AU168" s="68"/>
    </row>
    <row r="169" spans="1:47" ht="45" customHeight="1">
      <c r="A169" s="3" t="s">
        <v>148</v>
      </c>
      <c r="B169" s="3" t="s">
        <v>160</v>
      </c>
      <c r="C169" s="6">
        <v>46276</v>
      </c>
      <c r="D169" s="3" t="s">
        <v>1163</v>
      </c>
      <c r="E169" s="3" t="s">
        <v>1094</v>
      </c>
      <c r="F169" s="20">
        <f>LEN(G169)</f>
        <v>14</v>
      </c>
      <c r="G169" s="3" t="s">
        <v>1164</v>
      </c>
      <c r="H169" s="24" t="s">
        <v>1096</v>
      </c>
      <c r="I169" s="24" t="s">
        <v>857</v>
      </c>
      <c r="J169" s="3" t="s">
        <v>154</v>
      </c>
      <c r="K169" s="3" t="s">
        <v>154</v>
      </c>
      <c r="L169" s="3" t="s">
        <v>155</v>
      </c>
      <c r="M169" s="3" t="s">
        <v>1097</v>
      </c>
      <c r="N169" s="20">
        <v>37088</v>
      </c>
      <c r="O169" s="3" t="s">
        <v>1163</v>
      </c>
      <c r="P169" s="3" t="s">
        <v>157</v>
      </c>
      <c r="Q169" s="5"/>
      <c r="R169" s="3" t="s">
        <v>1165</v>
      </c>
      <c r="S169" s="6">
        <v>46287</v>
      </c>
      <c r="T169" s="24"/>
      <c r="U169" s="3" t="b">
        <v>1</v>
      </c>
      <c r="V169" s="3" t="s">
        <v>1100</v>
      </c>
      <c r="W169" s="64"/>
      <c r="X169" s="64"/>
      <c r="Y169" s="64"/>
      <c r="Z169" s="64"/>
      <c r="AA169" s="59" t="s">
        <v>1166</v>
      </c>
      <c r="AB169" s="65"/>
      <c r="AC169" s="68"/>
      <c r="AD169" s="65"/>
      <c r="AE169" s="68"/>
      <c r="AF169" s="66"/>
      <c r="AG169" s="68"/>
      <c r="AH169" s="67"/>
      <c r="AI169" s="69"/>
      <c r="AJ169" s="69"/>
      <c r="AK169" s="69"/>
      <c r="AL169" s="86"/>
      <c r="AM169" s="88"/>
      <c r="AN169" s="88"/>
      <c r="AO169" s="88"/>
      <c r="AP169" s="59"/>
      <c r="AQ169" s="68"/>
      <c r="AR169" s="59"/>
      <c r="AS169" s="68"/>
      <c r="AT169" s="59"/>
      <c r="AU169" s="68"/>
    </row>
    <row r="170" spans="1:47" ht="45" customHeight="1">
      <c r="A170" s="3" t="s">
        <v>148</v>
      </c>
      <c r="B170" s="3" t="s">
        <v>160</v>
      </c>
      <c r="C170" s="6">
        <v>46276</v>
      </c>
      <c r="D170" s="3" t="s">
        <v>1167</v>
      </c>
      <c r="E170" s="3" t="s">
        <v>1094</v>
      </c>
      <c r="F170" s="20">
        <f>LEN(G170)</f>
        <v>23</v>
      </c>
      <c r="G170" s="3" t="s">
        <v>1168</v>
      </c>
      <c r="H170" s="24" t="s">
        <v>1096</v>
      </c>
      <c r="I170" s="24" t="s">
        <v>857</v>
      </c>
      <c r="J170" s="3" t="s">
        <v>154</v>
      </c>
      <c r="K170" s="3" t="s">
        <v>154</v>
      </c>
      <c r="L170" s="3" t="s">
        <v>155</v>
      </c>
      <c r="M170" s="3" t="s">
        <v>1097</v>
      </c>
      <c r="N170" s="20">
        <v>37088</v>
      </c>
      <c r="O170" s="3" t="s">
        <v>1167</v>
      </c>
      <c r="P170" s="3" t="s">
        <v>157</v>
      </c>
      <c r="Q170" s="5"/>
      <c r="R170" s="3" t="s">
        <v>1169</v>
      </c>
      <c r="S170" s="6">
        <v>46287</v>
      </c>
      <c r="T170" s="24"/>
      <c r="U170" s="3" t="b">
        <v>1</v>
      </c>
      <c r="V170" s="3" t="s">
        <v>1100</v>
      </c>
      <c r="W170" s="64"/>
      <c r="X170" s="64"/>
      <c r="Y170" s="64"/>
      <c r="Z170" s="64"/>
      <c r="AA170" s="59" t="s">
        <v>1170</v>
      </c>
      <c r="AB170" s="65"/>
      <c r="AC170" s="68"/>
      <c r="AD170" s="65"/>
      <c r="AE170" s="68"/>
      <c r="AF170" s="66"/>
      <c r="AG170" s="68"/>
      <c r="AH170" s="67"/>
      <c r="AI170" s="69"/>
      <c r="AJ170" s="69"/>
      <c r="AK170" s="69"/>
      <c r="AL170" s="86"/>
      <c r="AM170" s="88"/>
      <c r="AN170" s="88"/>
      <c r="AO170" s="88"/>
      <c r="AP170" s="59"/>
      <c r="AQ170" s="68"/>
      <c r="AR170" s="59"/>
      <c r="AS170" s="68"/>
      <c r="AT170" s="59"/>
      <c r="AU170" s="68"/>
    </row>
    <row r="171" spans="1:47" ht="45" customHeight="1">
      <c r="A171" s="3" t="s">
        <v>148</v>
      </c>
      <c r="B171" s="3" t="s">
        <v>160</v>
      </c>
      <c r="C171" s="6">
        <v>46276</v>
      </c>
      <c r="D171" s="3" t="s">
        <v>1171</v>
      </c>
      <c r="E171" s="3" t="s">
        <v>1094</v>
      </c>
      <c r="F171" s="20">
        <f>LEN(G171)</f>
        <v>32</v>
      </c>
      <c r="G171" s="3" t="s">
        <v>1172</v>
      </c>
      <c r="H171" s="24" t="s">
        <v>1096</v>
      </c>
      <c r="I171" s="24" t="s">
        <v>857</v>
      </c>
      <c r="J171" s="3" t="s">
        <v>154</v>
      </c>
      <c r="K171" s="3" t="s">
        <v>154</v>
      </c>
      <c r="L171" s="3" t="s">
        <v>155</v>
      </c>
      <c r="M171" s="3" t="s">
        <v>1097</v>
      </c>
      <c r="N171" s="20">
        <v>37088</v>
      </c>
      <c r="O171" s="3" t="s">
        <v>1171</v>
      </c>
      <c r="P171" s="3" t="s">
        <v>157</v>
      </c>
      <c r="Q171" s="5"/>
      <c r="R171" s="3" t="s">
        <v>1173</v>
      </c>
      <c r="S171" s="6">
        <v>46287</v>
      </c>
      <c r="T171" s="24"/>
      <c r="U171" s="3" t="b">
        <v>1</v>
      </c>
      <c r="V171" s="3" t="s">
        <v>1100</v>
      </c>
      <c r="W171" s="64"/>
      <c r="X171" s="64"/>
      <c r="Y171" s="64"/>
      <c r="Z171" s="64"/>
      <c r="AA171" s="59" t="s">
        <v>1174</v>
      </c>
      <c r="AB171" s="65"/>
      <c r="AC171" s="68"/>
      <c r="AD171" s="65"/>
      <c r="AE171" s="68"/>
      <c r="AF171" s="66"/>
      <c r="AG171" s="68"/>
      <c r="AH171" s="67"/>
      <c r="AI171" s="69"/>
      <c r="AJ171" s="69"/>
      <c r="AK171" s="69"/>
      <c r="AL171" s="86"/>
      <c r="AM171" s="88"/>
      <c r="AN171" s="88"/>
      <c r="AO171" s="88"/>
      <c r="AP171" s="59"/>
      <c r="AQ171" s="68"/>
      <c r="AR171" s="59"/>
      <c r="AS171" s="68"/>
      <c r="AT171" s="59"/>
      <c r="AU171" s="68"/>
    </row>
    <row r="172" spans="1:47" ht="45" customHeight="1">
      <c r="A172" s="3" t="s">
        <v>148</v>
      </c>
      <c r="B172" s="3" t="s">
        <v>160</v>
      </c>
      <c r="C172" s="6">
        <v>46276</v>
      </c>
      <c r="D172" s="3" t="s">
        <v>1175</v>
      </c>
      <c r="E172" s="3" t="s">
        <v>1094</v>
      </c>
      <c r="F172" s="20">
        <f>LEN(G172)</f>
        <v>37</v>
      </c>
      <c r="G172" s="3" t="s">
        <v>1176</v>
      </c>
      <c r="H172" s="24" t="s">
        <v>1096</v>
      </c>
      <c r="I172" s="24" t="s">
        <v>857</v>
      </c>
      <c r="J172" s="3" t="s">
        <v>154</v>
      </c>
      <c r="K172" s="3" t="s">
        <v>154</v>
      </c>
      <c r="L172" s="3" t="s">
        <v>155</v>
      </c>
      <c r="M172" s="3" t="s">
        <v>1097</v>
      </c>
      <c r="N172" s="20">
        <v>37088</v>
      </c>
      <c r="O172" s="3" t="s">
        <v>1175</v>
      </c>
      <c r="P172" s="3" t="s">
        <v>157</v>
      </c>
      <c r="Q172" s="5"/>
      <c r="R172" s="3" t="s">
        <v>1177</v>
      </c>
      <c r="S172" s="6">
        <v>46287</v>
      </c>
      <c r="T172" s="24"/>
      <c r="U172" s="3" t="b">
        <v>1</v>
      </c>
      <c r="V172" s="3" t="s">
        <v>1100</v>
      </c>
      <c r="W172" s="64"/>
      <c r="X172" s="64"/>
      <c r="Y172" s="64"/>
      <c r="Z172" s="64"/>
      <c r="AA172" s="59" t="s">
        <v>1178</v>
      </c>
      <c r="AB172" s="65"/>
      <c r="AC172" s="68"/>
      <c r="AD172" s="65"/>
      <c r="AE172" s="68"/>
      <c r="AF172" s="66"/>
      <c r="AG172" s="68"/>
      <c r="AH172" s="67"/>
      <c r="AI172" s="69"/>
      <c r="AJ172" s="69"/>
      <c r="AK172" s="69"/>
      <c r="AL172" s="86"/>
      <c r="AM172" s="88"/>
      <c r="AN172" s="88"/>
      <c r="AO172" s="88"/>
      <c r="AP172" s="59"/>
      <c r="AQ172" s="68"/>
      <c r="AR172" s="59"/>
      <c r="AS172" s="68"/>
      <c r="AT172" s="59"/>
      <c r="AU172" s="68"/>
    </row>
    <row r="173" spans="1:47" ht="45" customHeight="1">
      <c r="A173" s="3" t="s">
        <v>148</v>
      </c>
      <c r="B173" s="3" t="s">
        <v>160</v>
      </c>
      <c r="C173" s="6">
        <v>46276</v>
      </c>
      <c r="D173" s="3" t="s">
        <v>1179</v>
      </c>
      <c r="E173" s="3" t="s">
        <v>1094</v>
      </c>
      <c r="F173" s="20">
        <f>LEN(G173)</f>
        <v>41</v>
      </c>
      <c r="G173" s="3" t="s">
        <v>1180</v>
      </c>
      <c r="H173" s="24" t="s">
        <v>1096</v>
      </c>
      <c r="I173" s="24" t="s">
        <v>857</v>
      </c>
      <c r="J173" s="3" t="s">
        <v>154</v>
      </c>
      <c r="K173" s="3" t="s">
        <v>154</v>
      </c>
      <c r="L173" s="3" t="s">
        <v>155</v>
      </c>
      <c r="M173" s="3" t="s">
        <v>1097</v>
      </c>
      <c r="N173" s="20">
        <v>37088</v>
      </c>
      <c r="O173" s="3" t="s">
        <v>1179</v>
      </c>
      <c r="P173" s="3" t="s">
        <v>157</v>
      </c>
      <c r="Q173" s="5"/>
      <c r="R173" s="3" t="s">
        <v>1181</v>
      </c>
      <c r="S173" s="6">
        <v>46287</v>
      </c>
      <c r="T173" s="24"/>
      <c r="U173" s="3" t="b">
        <v>1</v>
      </c>
      <c r="V173" s="3" t="s">
        <v>1100</v>
      </c>
      <c r="W173" s="64"/>
      <c r="X173" s="64"/>
      <c r="Y173" s="64"/>
      <c r="Z173" s="64"/>
      <c r="AA173" s="59" t="s">
        <v>1182</v>
      </c>
      <c r="AB173" s="65"/>
      <c r="AC173" s="68"/>
      <c r="AD173" s="65"/>
      <c r="AE173" s="68"/>
      <c r="AF173" s="66"/>
      <c r="AG173" s="68"/>
      <c r="AH173" s="67"/>
      <c r="AI173" s="69"/>
      <c r="AJ173" s="69"/>
      <c r="AK173" s="69"/>
      <c r="AL173" s="86"/>
      <c r="AM173" s="88"/>
      <c r="AN173" s="88"/>
      <c r="AO173" s="88"/>
      <c r="AP173" s="59"/>
      <c r="AQ173" s="68"/>
      <c r="AR173" s="59"/>
      <c r="AS173" s="68"/>
      <c r="AT173" s="59"/>
      <c r="AU173" s="68"/>
    </row>
    <row r="174" spans="1:47" ht="45" customHeight="1">
      <c r="A174" s="3" t="s">
        <v>148</v>
      </c>
      <c r="B174" s="3" t="s">
        <v>160</v>
      </c>
      <c r="C174" s="6">
        <v>46276</v>
      </c>
      <c r="D174" s="3" t="s">
        <v>1183</v>
      </c>
      <c r="E174" s="3" t="s">
        <v>1094</v>
      </c>
      <c r="F174" s="20">
        <f>LEN(G174)</f>
        <v>22</v>
      </c>
      <c r="G174" s="3" t="s">
        <v>1184</v>
      </c>
      <c r="H174" s="24" t="s">
        <v>1096</v>
      </c>
      <c r="I174" s="24" t="s">
        <v>857</v>
      </c>
      <c r="J174" s="3" t="s">
        <v>154</v>
      </c>
      <c r="K174" s="3" t="s">
        <v>154</v>
      </c>
      <c r="L174" s="3" t="s">
        <v>155</v>
      </c>
      <c r="M174" s="3" t="s">
        <v>1097</v>
      </c>
      <c r="N174" s="20">
        <v>37088</v>
      </c>
      <c r="O174" s="3" t="s">
        <v>1183</v>
      </c>
      <c r="P174" s="3" t="s">
        <v>157</v>
      </c>
      <c r="Q174" s="5"/>
      <c r="R174" s="3" t="s">
        <v>1185</v>
      </c>
      <c r="S174" s="6">
        <v>46287</v>
      </c>
      <c r="T174" s="24"/>
      <c r="U174" s="3" t="b">
        <v>1</v>
      </c>
      <c r="V174" s="3" t="s">
        <v>1100</v>
      </c>
      <c r="W174" s="64"/>
      <c r="X174" s="64"/>
      <c r="Y174" s="64"/>
      <c r="Z174" s="64"/>
      <c r="AA174" s="59" t="s">
        <v>1186</v>
      </c>
      <c r="AB174" s="65"/>
      <c r="AC174" s="68"/>
      <c r="AD174" s="65"/>
      <c r="AE174" s="68"/>
      <c r="AF174" s="66"/>
      <c r="AG174" s="68"/>
      <c r="AH174" s="67"/>
      <c r="AI174" s="69"/>
      <c r="AJ174" s="69"/>
      <c r="AK174" s="69"/>
      <c r="AL174" s="86"/>
      <c r="AM174" s="88"/>
      <c r="AN174" s="88"/>
      <c r="AO174" s="88"/>
      <c r="AP174" s="59"/>
      <c r="AQ174" s="68"/>
      <c r="AR174" s="59"/>
      <c r="AS174" s="68"/>
      <c r="AT174" s="59"/>
      <c r="AU174" s="68"/>
    </row>
    <row r="175" spans="1:47" ht="45" customHeight="1">
      <c r="A175" s="3" t="s">
        <v>148</v>
      </c>
      <c r="B175" s="3" t="s">
        <v>160</v>
      </c>
      <c r="C175" s="6">
        <v>46276</v>
      </c>
      <c r="D175" s="3" t="s">
        <v>1187</v>
      </c>
      <c r="E175" s="3" t="s">
        <v>1094</v>
      </c>
      <c r="F175" s="20">
        <f>LEN(G175)</f>
        <v>33</v>
      </c>
      <c r="G175" s="3" t="s">
        <v>1188</v>
      </c>
      <c r="H175" s="24" t="s">
        <v>1096</v>
      </c>
      <c r="I175" s="24" t="s">
        <v>857</v>
      </c>
      <c r="J175" s="3" t="s">
        <v>154</v>
      </c>
      <c r="K175" s="3" t="s">
        <v>154</v>
      </c>
      <c r="L175" s="3" t="s">
        <v>155</v>
      </c>
      <c r="M175" s="3" t="s">
        <v>1097</v>
      </c>
      <c r="N175" s="20">
        <v>37088</v>
      </c>
      <c r="O175" s="3" t="s">
        <v>1187</v>
      </c>
      <c r="P175" s="3" t="s">
        <v>157</v>
      </c>
      <c r="Q175" s="5"/>
      <c r="R175" s="3" t="s">
        <v>1189</v>
      </c>
      <c r="S175" s="6">
        <v>46287</v>
      </c>
      <c r="T175" s="24"/>
      <c r="U175" s="3" t="b">
        <v>1</v>
      </c>
      <c r="V175" s="3" t="s">
        <v>1100</v>
      </c>
      <c r="W175" s="64"/>
      <c r="X175" s="64"/>
      <c r="Y175" s="64"/>
      <c r="Z175" s="64"/>
      <c r="AA175" s="59" t="s">
        <v>1190</v>
      </c>
      <c r="AB175" s="65"/>
      <c r="AC175" s="68"/>
      <c r="AD175" s="65"/>
      <c r="AE175" s="68"/>
      <c r="AF175" s="66"/>
      <c r="AG175" s="68"/>
      <c r="AH175" s="67"/>
      <c r="AI175" s="69"/>
      <c r="AJ175" s="69"/>
      <c r="AK175" s="69"/>
      <c r="AL175" s="86"/>
      <c r="AM175" s="88"/>
      <c r="AN175" s="88"/>
      <c r="AO175" s="88"/>
      <c r="AP175" s="59"/>
      <c r="AQ175" s="68"/>
      <c r="AR175" s="59"/>
      <c r="AS175" s="68"/>
      <c r="AT175" s="59"/>
      <c r="AU175" s="68"/>
    </row>
    <row r="176" spans="1:47" ht="45" customHeight="1">
      <c r="A176" s="3" t="s">
        <v>148</v>
      </c>
      <c r="B176" s="3" t="s">
        <v>160</v>
      </c>
      <c r="C176" s="6">
        <v>46276</v>
      </c>
      <c r="D176" s="3" t="s">
        <v>1191</v>
      </c>
      <c r="E176" s="3" t="s">
        <v>1094</v>
      </c>
      <c r="F176" s="20">
        <f>LEN(G176)</f>
        <v>38</v>
      </c>
      <c r="G176" s="3" t="s">
        <v>1192</v>
      </c>
      <c r="H176" s="24" t="s">
        <v>1096</v>
      </c>
      <c r="I176" s="3" t="s">
        <v>857</v>
      </c>
      <c r="J176" s="3" t="s">
        <v>154</v>
      </c>
      <c r="K176" s="3" t="s">
        <v>154</v>
      </c>
      <c r="L176" s="3" t="s">
        <v>155</v>
      </c>
      <c r="M176" s="3" t="s">
        <v>1097</v>
      </c>
      <c r="N176" s="20">
        <v>37088</v>
      </c>
      <c r="O176" s="3" t="s">
        <v>1191</v>
      </c>
      <c r="P176" s="3" t="s">
        <v>157</v>
      </c>
      <c r="Q176" s="5"/>
      <c r="R176" s="3" t="s">
        <v>1193</v>
      </c>
      <c r="S176" s="3">
        <v>46287</v>
      </c>
      <c r="T176" s="24"/>
      <c r="U176" s="3" t="b">
        <v>0</v>
      </c>
      <c r="V176" s="3" t="s">
        <v>1100</v>
      </c>
      <c r="W176" s="64"/>
      <c r="X176" s="64"/>
      <c r="Y176" s="64"/>
      <c r="Z176" s="64"/>
      <c r="AA176" s="59" t="s">
        <v>1194</v>
      </c>
      <c r="AB176" s="65"/>
      <c r="AC176" s="68"/>
      <c r="AD176" s="65"/>
      <c r="AE176" s="68"/>
      <c r="AF176" s="66"/>
      <c r="AG176" s="68"/>
      <c r="AH176" s="67"/>
      <c r="AI176" s="69"/>
      <c r="AJ176" s="69"/>
      <c r="AK176" s="69"/>
      <c r="AL176" s="86"/>
      <c r="AM176" s="88"/>
      <c r="AN176" s="88"/>
      <c r="AO176" s="88"/>
      <c r="AP176" s="59"/>
      <c r="AQ176" s="68"/>
      <c r="AR176" s="59"/>
      <c r="AS176" s="68"/>
      <c r="AT176" s="59"/>
      <c r="AU176" s="68"/>
    </row>
    <row r="177" spans="1:47" ht="45" customHeight="1">
      <c r="A177" s="3" t="s">
        <v>148</v>
      </c>
      <c r="B177" s="3" t="s">
        <v>160</v>
      </c>
      <c r="C177" s="6">
        <v>46276</v>
      </c>
      <c r="D177" s="3" t="s">
        <v>1195</v>
      </c>
      <c r="E177" s="3" t="s">
        <v>1094</v>
      </c>
      <c r="F177" s="20">
        <f>LEN(G177)</f>
        <v>35</v>
      </c>
      <c r="G177" s="3" t="s">
        <v>1196</v>
      </c>
      <c r="H177" s="24" t="s">
        <v>1096</v>
      </c>
      <c r="I177" s="24" t="s">
        <v>857</v>
      </c>
      <c r="J177" s="3" t="s">
        <v>154</v>
      </c>
      <c r="K177" s="3" t="s">
        <v>154</v>
      </c>
      <c r="L177" s="3" t="s">
        <v>155</v>
      </c>
      <c r="M177" s="3" t="s">
        <v>1097</v>
      </c>
      <c r="N177" s="20">
        <v>37088</v>
      </c>
      <c r="O177" s="3" t="s">
        <v>1195</v>
      </c>
      <c r="P177" s="3" t="s">
        <v>157</v>
      </c>
      <c r="Q177" s="5"/>
      <c r="R177" s="3" t="s">
        <v>1197</v>
      </c>
      <c r="S177" s="6">
        <v>46287</v>
      </c>
      <c r="T177" s="24"/>
      <c r="U177" s="3" t="b">
        <v>1</v>
      </c>
      <c r="V177" s="3" t="s">
        <v>1100</v>
      </c>
      <c r="W177" s="64"/>
      <c r="X177" s="64"/>
      <c r="Y177" s="64"/>
      <c r="Z177" s="64"/>
      <c r="AA177" s="59" t="s">
        <v>1198</v>
      </c>
      <c r="AB177" s="65"/>
      <c r="AC177" s="68"/>
      <c r="AD177" s="65"/>
      <c r="AE177" s="68"/>
      <c r="AF177" s="66"/>
      <c r="AG177" s="68"/>
      <c r="AH177" s="67"/>
      <c r="AI177" s="69"/>
      <c r="AJ177" s="69"/>
      <c r="AK177" s="69"/>
      <c r="AL177" s="86"/>
      <c r="AM177" s="88"/>
      <c r="AN177" s="88"/>
      <c r="AO177" s="88"/>
      <c r="AP177" s="59"/>
      <c r="AQ177" s="68"/>
      <c r="AR177" s="59"/>
      <c r="AS177" s="68"/>
      <c r="AT177" s="59"/>
      <c r="AU177" s="68"/>
    </row>
    <row r="178" spans="1:47" ht="45" customHeight="1">
      <c r="A178" s="3" t="s">
        <v>148</v>
      </c>
      <c r="B178" s="3" t="s">
        <v>160</v>
      </c>
      <c r="C178" s="6">
        <v>46276</v>
      </c>
      <c r="D178" s="3" t="s">
        <v>1199</v>
      </c>
      <c r="E178" s="3" t="s">
        <v>1094</v>
      </c>
      <c r="F178" s="20">
        <f>LEN(G178)</f>
        <v>35</v>
      </c>
      <c r="G178" s="3" t="s">
        <v>1200</v>
      </c>
      <c r="H178" s="24" t="s">
        <v>1096</v>
      </c>
      <c r="I178" s="24" t="s">
        <v>857</v>
      </c>
      <c r="J178" s="3" t="s">
        <v>154</v>
      </c>
      <c r="K178" s="3" t="s">
        <v>154</v>
      </c>
      <c r="L178" s="3" t="s">
        <v>155</v>
      </c>
      <c r="M178" s="3" t="s">
        <v>1097</v>
      </c>
      <c r="N178" s="20">
        <v>37088</v>
      </c>
      <c r="O178" s="3" t="s">
        <v>1199</v>
      </c>
      <c r="P178" s="3" t="s">
        <v>157</v>
      </c>
      <c r="Q178" s="5"/>
      <c r="R178" s="3" t="s">
        <v>1201</v>
      </c>
      <c r="S178" s="6">
        <v>46287</v>
      </c>
      <c r="T178" s="24"/>
      <c r="U178" s="3" t="b">
        <v>1</v>
      </c>
      <c r="V178" s="3" t="s">
        <v>1100</v>
      </c>
      <c r="W178" s="64"/>
      <c r="X178" s="64"/>
      <c r="Y178" s="64"/>
      <c r="Z178" s="64"/>
      <c r="AA178" s="59" t="s">
        <v>1202</v>
      </c>
      <c r="AB178" s="65"/>
      <c r="AC178" s="68"/>
      <c r="AD178" s="65"/>
      <c r="AE178" s="68"/>
      <c r="AF178" s="66"/>
      <c r="AG178" s="68"/>
      <c r="AH178" s="67"/>
      <c r="AI178" s="69"/>
      <c r="AJ178" s="69"/>
      <c r="AK178" s="69"/>
      <c r="AL178" s="86"/>
      <c r="AM178" s="88"/>
      <c r="AN178" s="88"/>
      <c r="AO178" s="88"/>
      <c r="AP178" s="59"/>
      <c r="AQ178" s="68"/>
      <c r="AR178" s="59"/>
      <c r="AS178" s="68"/>
      <c r="AT178" s="59"/>
      <c r="AU178" s="68"/>
    </row>
    <row r="179" spans="1:47" ht="45" customHeight="1">
      <c r="A179" s="3" t="s">
        <v>148</v>
      </c>
      <c r="B179" s="3" t="s">
        <v>160</v>
      </c>
      <c r="C179" s="6">
        <v>46276</v>
      </c>
      <c r="D179" s="3" t="s">
        <v>1203</v>
      </c>
      <c r="E179" s="3" t="s">
        <v>1094</v>
      </c>
      <c r="F179" s="20">
        <f>LEN(G179)</f>
        <v>36</v>
      </c>
      <c r="G179" s="3" t="s">
        <v>1204</v>
      </c>
      <c r="H179" s="24" t="s">
        <v>1096</v>
      </c>
      <c r="I179" s="24" t="s">
        <v>857</v>
      </c>
      <c r="J179" s="3" t="s">
        <v>154</v>
      </c>
      <c r="K179" s="3" t="s">
        <v>154</v>
      </c>
      <c r="L179" s="3" t="s">
        <v>155</v>
      </c>
      <c r="M179" s="3" t="s">
        <v>1097</v>
      </c>
      <c r="N179" s="20">
        <v>37088</v>
      </c>
      <c r="O179" s="3" t="s">
        <v>1203</v>
      </c>
      <c r="P179" s="3" t="s">
        <v>157</v>
      </c>
      <c r="Q179" s="5"/>
      <c r="R179" s="3" t="s">
        <v>1205</v>
      </c>
      <c r="S179" s="6">
        <v>46287</v>
      </c>
      <c r="T179" s="24"/>
      <c r="U179" s="3" t="b">
        <v>1</v>
      </c>
      <c r="V179" s="3" t="s">
        <v>1100</v>
      </c>
      <c r="W179" s="64"/>
      <c r="X179" s="64"/>
      <c r="Y179" s="64"/>
      <c r="Z179" s="64"/>
      <c r="AA179" s="59" t="s">
        <v>1206</v>
      </c>
      <c r="AB179" s="65"/>
      <c r="AC179" s="68"/>
      <c r="AD179" s="65"/>
      <c r="AE179" s="68"/>
      <c r="AF179" s="66"/>
      <c r="AG179" s="68"/>
      <c r="AH179" s="67"/>
      <c r="AI179" s="69"/>
      <c r="AJ179" s="69"/>
      <c r="AK179" s="69"/>
      <c r="AL179" s="86"/>
      <c r="AM179" s="88"/>
      <c r="AN179" s="88"/>
      <c r="AO179" s="88"/>
      <c r="AP179" s="59"/>
      <c r="AQ179" s="68"/>
      <c r="AR179" s="59"/>
      <c r="AS179" s="68"/>
      <c r="AT179" s="59"/>
      <c r="AU179" s="68"/>
    </row>
    <row r="180" spans="1:47" ht="45" customHeight="1">
      <c r="A180" s="3" t="s">
        <v>148</v>
      </c>
      <c r="B180" s="3" t="s">
        <v>160</v>
      </c>
      <c r="C180" s="6">
        <v>46276</v>
      </c>
      <c r="D180" s="3" t="s">
        <v>1207</v>
      </c>
      <c r="E180" s="3" t="s">
        <v>1094</v>
      </c>
      <c r="F180" s="20">
        <f>LEN(G180)</f>
        <v>23</v>
      </c>
      <c r="G180" s="3" t="s">
        <v>1208</v>
      </c>
      <c r="H180" s="24" t="s">
        <v>1096</v>
      </c>
      <c r="I180" s="24" t="s">
        <v>857</v>
      </c>
      <c r="J180" s="3" t="s">
        <v>154</v>
      </c>
      <c r="K180" s="3" t="s">
        <v>154</v>
      </c>
      <c r="L180" s="3" t="s">
        <v>155</v>
      </c>
      <c r="M180" s="3" t="s">
        <v>1097</v>
      </c>
      <c r="N180" s="20">
        <v>37088</v>
      </c>
      <c r="O180" s="3" t="s">
        <v>1207</v>
      </c>
      <c r="P180" s="3" t="s">
        <v>157</v>
      </c>
      <c r="Q180" s="5"/>
      <c r="R180" s="3" t="s">
        <v>1209</v>
      </c>
      <c r="S180" s="6">
        <v>46287</v>
      </c>
      <c r="T180" s="24"/>
      <c r="U180" s="3" t="b">
        <v>1</v>
      </c>
      <c r="V180" s="3" t="s">
        <v>1100</v>
      </c>
      <c r="W180" s="64"/>
      <c r="X180" s="64"/>
      <c r="Y180" s="64"/>
      <c r="Z180" s="64"/>
      <c r="AA180" s="59" t="s">
        <v>1210</v>
      </c>
      <c r="AB180" s="65"/>
      <c r="AC180" s="68"/>
      <c r="AD180" s="65"/>
      <c r="AE180" s="68"/>
      <c r="AF180" s="66"/>
      <c r="AG180" s="68"/>
      <c r="AH180" s="67"/>
      <c r="AI180" s="69"/>
      <c r="AJ180" s="69"/>
      <c r="AK180" s="69"/>
      <c r="AL180" s="86"/>
      <c r="AM180" s="88"/>
      <c r="AN180" s="88"/>
      <c r="AO180" s="88"/>
      <c r="AP180" s="59"/>
      <c r="AQ180" s="68"/>
      <c r="AR180" s="59"/>
      <c r="AS180" s="68"/>
      <c r="AT180" s="59"/>
      <c r="AU180" s="68"/>
    </row>
    <row r="181" spans="1:47" ht="45" customHeight="1">
      <c r="A181" s="3" t="s">
        <v>148</v>
      </c>
      <c r="B181" s="3" t="s">
        <v>160</v>
      </c>
      <c r="C181" s="6">
        <v>46276</v>
      </c>
      <c r="D181" s="3" t="s">
        <v>1211</v>
      </c>
      <c r="E181" s="3" t="s">
        <v>1094</v>
      </c>
      <c r="F181" s="20">
        <f>LEN(G181)</f>
        <v>42</v>
      </c>
      <c r="G181" s="3" t="s">
        <v>1212</v>
      </c>
      <c r="H181" s="24" t="s">
        <v>1096</v>
      </c>
      <c r="I181" s="24" t="s">
        <v>857</v>
      </c>
      <c r="J181" s="3" t="s">
        <v>154</v>
      </c>
      <c r="K181" s="3" t="s">
        <v>154</v>
      </c>
      <c r="L181" s="3" t="s">
        <v>155</v>
      </c>
      <c r="M181" s="3" t="s">
        <v>1097</v>
      </c>
      <c r="N181" s="20">
        <v>37088</v>
      </c>
      <c r="O181" s="3" t="s">
        <v>1211</v>
      </c>
      <c r="P181" s="3" t="s">
        <v>157</v>
      </c>
      <c r="Q181" s="5"/>
      <c r="R181" s="3" t="s">
        <v>1213</v>
      </c>
      <c r="S181" s="6">
        <v>46287</v>
      </c>
      <c r="T181" s="24"/>
      <c r="U181" s="3" t="b">
        <v>1</v>
      </c>
      <c r="V181" s="3" t="s">
        <v>1100</v>
      </c>
      <c r="W181" s="64"/>
      <c r="X181" s="64"/>
      <c r="Y181" s="64"/>
      <c r="Z181" s="64"/>
      <c r="AA181" s="59" t="s">
        <v>1214</v>
      </c>
      <c r="AB181" s="65"/>
      <c r="AC181" s="68"/>
      <c r="AD181" s="65"/>
      <c r="AE181" s="68"/>
      <c r="AF181" s="66"/>
      <c r="AG181" s="68"/>
      <c r="AH181" s="67"/>
      <c r="AI181" s="69"/>
      <c r="AJ181" s="69"/>
      <c r="AK181" s="69"/>
      <c r="AL181" s="86"/>
      <c r="AM181" s="88"/>
      <c r="AN181" s="88"/>
      <c r="AO181" s="88"/>
      <c r="AP181" s="59"/>
      <c r="AQ181" s="68"/>
      <c r="AR181" s="59"/>
      <c r="AS181" s="68"/>
      <c r="AT181" s="59"/>
      <c r="AU181" s="68"/>
    </row>
    <row r="182" spans="1:47" ht="45" customHeight="1">
      <c r="A182" s="3" t="s">
        <v>148</v>
      </c>
      <c r="B182" s="3" t="s">
        <v>160</v>
      </c>
      <c r="C182" s="6">
        <v>46276</v>
      </c>
      <c r="D182" s="3" t="s">
        <v>1215</v>
      </c>
      <c r="E182" s="3" t="s">
        <v>1094</v>
      </c>
      <c r="F182" s="20">
        <f>LEN(G182)</f>
        <v>36</v>
      </c>
      <c r="G182" s="3" t="s">
        <v>1216</v>
      </c>
      <c r="H182" s="24" t="s">
        <v>1096</v>
      </c>
      <c r="I182" s="24" t="s">
        <v>857</v>
      </c>
      <c r="J182" s="3" t="s">
        <v>154</v>
      </c>
      <c r="K182" s="3" t="s">
        <v>154</v>
      </c>
      <c r="L182" s="3" t="s">
        <v>155</v>
      </c>
      <c r="M182" s="3" t="s">
        <v>1097</v>
      </c>
      <c r="N182" s="20">
        <v>37088</v>
      </c>
      <c r="O182" s="3" t="s">
        <v>1215</v>
      </c>
      <c r="P182" s="3" t="s">
        <v>157</v>
      </c>
      <c r="Q182" s="5"/>
      <c r="R182" s="3" t="s">
        <v>1217</v>
      </c>
      <c r="S182" s="6">
        <v>46287</v>
      </c>
      <c r="T182" s="24"/>
      <c r="U182" s="3" t="b">
        <v>1</v>
      </c>
      <c r="V182" s="3" t="s">
        <v>1100</v>
      </c>
      <c r="W182" s="64"/>
      <c r="X182" s="64"/>
      <c r="Y182" s="64"/>
      <c r="Z182" s="64"/>
      <c r="AA182" s="59" t="s">
        <v>1218</v>
      </c>
      <c r="AB182" s="65"/>
      <c r="AC182" s="68"/>
      <c r="AD182" s="65"/>
      <c r="AE182" s="68"/>
      <c r="AF182" s="66"/>
      <c r="AG182" s="68"/>
      <c r="AH182" s="67"/>
      <c r="AI182" s="69"/>
      <c r="AJ182" s="69"/>
      <c r="AK182" s="69"/>
      <c r="AL182" s="86"/>
      <c r="AM182" s="88"/>
      <c r="AN182" s="88"/>
      <c r="AO182" s="88"/>
      <c r="AP182" s="59"/>
      <c r="AQ182" s="68"/>
      <c r="AR182" s="59"/>
      <c r="AS182" s="68"/>
      <c r="AT182" s="59"/>
      <c r="AU182" s="68"/>
    </row>
    <row r="183" spans="1:47" ht="45" customHeight="1">
      <c r="A183" s="3" t="s">
        <v>148</v>
      </c>
      <c r="B183" s="3" t="s">
        <v>160</v>
      </c>
      <c r="C183" s="6">
        <v>46276</v>
      </c>
      <c r="D183" s="3" t="s">
        <v>1219</v>
      </c>
      <c r="E183" s="3" t="s">
        <v>1094</v>
      </c>
      <c r="F183" s="20">
        <f>LEN(G183)</f>
        <v>18</v>
      </c>
      <c r="G183" s="3" t="s">
        <v>1220</v>
      </c>
      <c r="H183" s="24" t="s">
        <v>1096</v>
      </c>
      <c r="I183" s="24" t="s">
        <v>857</v>
      </c>
      <c r="J183" s="3" t="s">
        <v>154</v>
      </c>
      <c r="K183" s="3" t="s">
        <v>154</v>
      </c>
      <c r="L183" s="3" t="s">
        <v>155</v>
      </c>
      <c r="M183" s="3" t="s">
        <v>1097</v>
      </c>
      <c r="N183" s="20">
        <v>37088</v>
      </c>
      <c r="O183" s="3" t="s">
        <v>1219</v>
      </c>
      <c r="P183" s="3" t="s">
        <v>157</v>
      </c>
      <c r="Q183" s="5"/>
      <c r="R183" s="3" t="s">
        <v>1221</v>
      </c>
      <c r="S183" s="6">
        <v>46287</v>
      </c>
      <c r="T183" s="24"/>
      <c r="U183" s="3" t="b">
        <v>1</v>
      </c>
      <c r="V183" s="3" t="s">
        <v>1100</v>
      </c>
      <c r="W183" s="64"/>
      <c r="X183" s="64"/>
      <c r="Y183" s="64"/>
      <c r="Z183" s="64"/>
      <c r="AA183" s="59" t="s">
        <v>1222</v>
      </c>
      <c r="AB183" s="65"/>
      <c r="AC183" s="68"/>
      <c r="AD183" s="65"/>
      <c r="AE183" s="68"/>
      <c r="AF183" s="66"/>
      <c r="AG183" s="68"/>
      <c r="AH183" s="67"/>
      <c r="AI183" s="69"/>
      <c r="AJ183" s="69"/>
      <c r="AK183" s="69"/>
      <c r="AL183" s="86"/>
      <c r="AM183" s="88"/>
      <c r="AN183" s="88"/>
      <c r="AO183" s="88"/>
      <c r="AP183" s="59"/>
      <c r="AQ183" s="68"/>
      <c r="AR183" s="59"/>
      <c r="AS183" s="68"/>
      <c r="AT183" s="59"/>
      <c r="AU183" s="68"/>
    </row>
    <row r="184" spans="1:47" ht="45" customHeight="1">
      <c r="A184" s="3" t="s">
        <v>148</v>
      </c>
      <c r="B184" s="3" t="s">
        <v>160</v>
      </c>
      <c r="C184" s="6">
        <v>46276</v>
      </c>
      <c r="D184" s="3" t="s">
        <v>1223</v>
      </c>
      <c r="E184" s="3" t="s">
        <v>1094</v>
      </c>
      <c r="F184" s="20">
        <f>LEN(G184)</f>
        <v>17</v>
      </c>
      <c r="G184" s="3" t="s">
        <v>1224</v>
      </c>
      <c r="H184" s="24" t="s">
        <v>1096</v>
      </c>
      <c r="I184" s="24" t="s">
        <v>857</v>
      </c>
      <c r="J184" s="3" t="s">
        <v>154</v>
      </c>
      <c r="K184" s="3" t="s">
        <v>154</v>
      </c>
      <c r="L184" s="3" t="s">
        <v>155</v>
      </c>
      <c r="M184" s="3" t="s">
        <v>1097</v>
      </c>
      <c r="N184" s="20">
        <v>37088</v>
      </c>
      <c r="O184" s="3" t="s">
        <v>1223</v>
      </c>
      <c r="P184" s="3" t="s">
        <v>157</v>
      </c>
      <c r="Q184" s="5"/>
      <c r="R184" s="3" t="s">
        <v>1225</v>
      </c>
      <c r="S184" s="6">
        <v>46287</v>
      </c>
      <c r="T184" s="24"/>
      <c r="U184" s="3" t="b">
        <v>1</v>
      </c>
      <c r="V184" s="3" t="s">
        <v>1100</v>
      </c>
      <c r="W184" s="64"/>
      <c r="X184" s="64"/>
      <c r="Y184" s="64"/>
      <c r="Z184" s="64"/>
      <c r="AA184" s="59" t="s">
        <v>1226</v>
      </c>
      <c r="AB184" s="65"/>
      <c r="AC184" s="68"/>
      <c r="AD184" s="65"/>
      <c r="AE184" s="68"/>
      <c r="AF184" s="66"/>
      <c r="AG184" s="68"/>
      <c r="AH184" s="67"/>
      <c r="AI184" s="69"/>
      <c r="AJ184" s="69"/>
      <c r="AK184" s="69"/>
      <c r="AL184" s="86"/>
      <c r="AM184" s="88"/>
      <c r="AN184" s="88"/>
      <c r="AO184" s="88"/>
      <c r="AP184" s="59"/>
      <c r="AQ184" s="68"/>
      <c r="AR184" s="59"/>
      <c r="AS184" s="68"/>
      <c r="AT184" s="59"/>
      <c r="AU184" s="68"/>
    </row>
    <row r="185" spans="1:47" ht="45" customHeight="1">
      <c r="A185" s="3" t="s">
        <v>148</v>
      </c>
      <c r="B185" s="3" t="s">
        <v>160</v>
      </c>
      <c r="C185" s="6">
        <v>46276</v>
      </c>
      <c r="D185" s="3" t="s">
        <v>1227</v>
      </c>
      <c r="E185" s="3" t="s">
        <v>1094</v>
      </c>
      <c r="F185" s="20">
        <f>LEN(G185)</f>
        <v>43</v>
      </c>
      <c r="G185" s="3" t="s">
        <v>1228</v>
      </c>
      <c r="H185" s="24" t="s">
        <v>1096</v>
      </c>
      <c r="I185" s="24" t="s">
        <v>857</v>
      </c>
      <c r="J185" s="3" t="s">
        <v>154</v>
      </c>
      <c r="K185" s="3" t="s">
        <v>154</v>
      </c>
      <c r="L185" s="3" t="s">
        <v>155</v>
      </c>
      <c r="M185" s="3" t="s">
        <v>1097</v>
      </c>
      <c r="N185" s="20">
        <v>37088</v>
      </c>
      <c r="O185" s="3" t="s">
        <v>1227</v>
      </c>
      <c r="P185" s="3" t="s">
        <v>157</v>
      </c>
      <c r="Q185" s="5"/>
      <c r="R185" s="3" t="s">
        <v>1229</v>
      </c>
      <c r="S185" s="6">
        <v>46287</v>
      </c>
      <c r="T185" s="24"/>
      <c r="U185" s="3" t="b">
        <v>1</v>
      </c>
      <c r="V185" s="3" t="s">
        <v>1100</v>
      </c>
      <c r="W185" s="64"/>
      <c r="X185" s="64"/>
      <c r="Y185" s="64"/>
      <c r="Z185" s="64"/>
      <c r="AA185" s="59" t="s">
        <v>1230</v>
      </c>
      <c r="AB185" s="65"/>
      <c r="AC185" s="68"/>
      <c r="AD185" s="65"/>
      <c r="AE185" s="68"/>
      <c r="AF185" s="66"/>
      <c r="AG185" s="68"/>
      <c r="AH185" s="67"/>
      <c r="AI185" s="69"/>
      <c r="AJ185" s="69"/>
      <c r="AK185" s="69"/>
      <c r="AL185" s="86"/>
      <c r="AM185" s="88"/>
      <c r="AN185" s="88"/>
      <c r="AO185" s="88"/>
      <c r="AP185" s="59"/>
      <c r="AQ185" s="68"/>
      <c r="AR185" s="59"/>
      <c r="AS185" s="68"/>
      <c r="AT185" s="59"/>
      <c r="AU185" s="68"/>
    </row>
    <row r="186" spans="1:47" ht="45" customHeight="1">
      <c r="A186" s="3" t="s">
        <v>148</v>
      </c>
      <c r="B186" s="3" t="s">
        <v>160</v>
      </c>
      <c r="C186" s="6">
        <v>46276</v>
      </c>
      <c r="D186" s="3" t="s">
        <v>1231</v>
      </c>
      <c r="E186" s="3" t="s">
        <v>1094</v>
      </c>
      <c r="F186" s="20">
        <f>LEN(G186)</f>
        <v>33</v>
      </c>
      <c r="G186" s="3" t="s">
        <v>1232</v>
      </c>
      <c r="H186" s="24" t="s">
        <v>1096</v>
      </c>
      <c r="I186" s="24" t="s">
        <v>857</v>
      </c>
      <c r="J186" s="3" t="s">
        <v>154</v>
      </c>
      <c r="K186" s="3" t="s">
        <v>154</v>
      </c>
      <c r="L186" s="3" t="s">
        <v>155</v>
      </c>
      <c r="M186" s="3" t="s">
        <v>1097</v>
      </c>
      <c r="N186" s="20">
        <v>37088</v>
      </c>
      <c r="O186" s="3" t="s">
        <v>1231</v>
      </c>
      <c r="P186" s="3" t="s">
        <v>157</v>
      </c>
      <c r="Q186" s="5"/>
      <c r="R186" s="3" t="s">
        <v>1233</v>
      </c>
      <c r="S186" s="6">
        <v>46287</v>
      </c>
      <c r="T186" s="24"/>
      <c r="U186" s="3" t="b">
        <v>1</v>
      </c>
      <c r="V186" s="3" t="s">
        <v>1100</v>
      </c>
      <c r="W186" s="64"/>
      <c r="X186" s="64"/>
      <c r="Y186" s="64"/>
      <c r="Z186" s="64"/>
      <c r="AA186" s="59" t="s">
        <v>1234</v>
      </c>
      <c r="AB186" s="65"/>
      <c r="AC186" s="68"/>
      <c r="AD186" s="65"/>
      <c r="AE186" s="68"/>
      <c r="AF186" s="66"/>
      <c r="AG186" s="68"/>
      <c r="AH186" s="67"/>
      <c r="AI186" s="69"/>
      <c r="AJ186" s="69"/>
      <c r="AK186" s="69"/>
      <c r="AL186" s="86"/>
      <c r="AM186" s="88"/>
      <c r="AN186" s="88"/>
      <c r="AO186" s="88"/>
      <c r="AP186" s="59"/>
      <c r="AQ186" s="68"/>
      <c r="AR186" s="59"/>
      <c r="AS186" s="68"/>
      <c r="AT186" s="59"/>
      <c r="AU186" s="68"/>
    </row>
    <row r="187" spans="1:47" ht="45" customHeight="1">
      <c r="A187" s="3" t="s">
        <v>148</v>
      </c>
      <c r="B187" s="3" t="s">
        <v>160</v>
      </c>
      <c r="C187" s="6">
        <v>46276</v>
      </c>
      <c r="D187" s="3" t="s">
        <v>1235</v>
      </c>
      <c r="E187" s="3" t="s">
        <v>1094</v>
      </c>
      <c r="F187" s="20">
        <f>LEN(G187)</f>
        <v>55</v>
      </c>
      <c r="G187" s="3" t="s">
        <v>1236</v>
      </c>
      <c r="H187" s="24" t="s">
        <v>1096</v>
      </c>
      <c r="I187" s="24" t="s">
        <v>857</v>
      </c>
      <c r="J187" s="3" t="s">
        <v>154</v>
      </c>
      <c r="K187" s="3" t="s">
        <v>154</v>
      </c>
      <c r="L187" s="3" t="s">
        <v>155</v>
      </c>
      <c r="M187" s="3" t="s">
        <v>1097</v>
      </c>
      <c r="N187" s="20">
        <v>37088</v>
      </c>
      <c r="O187" s="3" t="s">
        <v>1235</v>
      </c>
      <c r="P187" s="3" t="s">
        <v>157</v>
      </c>
      <c r="Q187" s="5"/>
      <c r="R187" s="3" t="s">
        <v>1237</v>
      </c>
      <c r="S187" s="6">
        <v>46287</v>
      </c>
      <c r="T187" s="24"/>
      <c r="U187" s="3" t="b">
        <v>1</v>
      </c>
      <c r="V187" s="3" t="s">
        <v>1100</v>
      </c>
      <c r="W187" s="64"/>
      <c r="X187" s="64"/>
      <c r="Y187" s="64"/>
      <c r="Z187" s="64"/>
      <c r="AA187" s="59" t="s">
        <v>1238</v>
      </c>
      <c r="AB187" s="65"/>
      <c r="AC187" s="68"/>
      <c r="AD187" s="65"/>
      <c r="AE187" s="68"/>
      <c r="AF187" s="66"/>
      <c r="AG187" s="68"/>
      <c r="AH187" s="67"/>
      <c r="AI187" s="69"/>
      <c r="AJ187" s="69"/>
      <c r="AK187" s="69"/>
      <c r="AL187" s="86"/>
      <c r="AM187" s="88"/>
      <c r="AN187" s="88"/>
      <c r="AO187" s="88"/>
      <c r="AP187" s="59"/>
      <c r="AQ187" s="68"/>
      <c r="AR187" s="59"/>
      <c r="AS187" s="68"/>
      <c r="AT187" s="59"/>
      <c r="AU187" s="68"/>
    </row>
    <row r="188" spans="1:47" ht="45" customHeight="1">
      <c r="A188" s="3" t="s">
        <v>148</v>
      </c>
      <c r="B188" s="3" t="s">
        <v>160</v>
      </c>
      <c r="C188" s="6">
        <v>46276</v>
      </c>
      <c r="D188" s="3" t="s">
        <v>1239</v>
      </c>
      <c r="E188" s="3" t="s">
        <v>1094</v>
      </c>
      <c r="F188" s="20">
        <f>LEN(G188)</f>
        <v>43</v>
      </c>
      <c r="G188" s="3" t="s">
        <v>1240</v>
      </c>
      <c r="H188" s="24" t="s">
        <v>1096</v>
      </c>
      <c r="I188" s="24" t="s">
        <v>857</v>
      </c>
      <c r="J188" s="3" t="s">
        <v>615</v>
      </c>
      <c r="K188" s="3" t="s">
        <v>615</v>
      </c>
      <c r="L188" s="3" t="s">
        <v>155</v>
      </c>
      <c r="M188" s="3" t="s">
        <v>1097</v>
      </c>
      <c r="N188" s="20">
        <v>37088</v>
      </c>
      <c r="O188" s="3" t="s">
        <v>1239</v>
      </c>
      <c r="P188" s="3" t="s">
        <v>157</v>
      </c>
      <c r="Q188" s="5"/>
      <c r="R188" s="3" t="s">
        <v>1241</v>
      </c>
      <c r="S188" s="6">
        <v>46286</v>
      </c>
      <c r="T188" s="24"/>
      <c r="U188" s="3" t="b">
        <v>1</v>
      </c>
      <c r="V188" s="3" t="s">
        <v>1100</v>
      </c>
      <c r="W188" s="64"/>
      <c r="X188" s="64"/>
      <c r="Y188" s="64"/>
      <c r="Z188" s="64"/>
      <c r="AA188" s="59" t="s">
        <v>1242</v>
      </c>
      <c r="AB188" s="65"/>
      <c r="AC188" s="68"/>
      <c r="AD188" s="65"/>
      <c r="AE188" s="68"/>
      <c r="AF188" s="66"/>
      <c r="AG188" s="68"/>
      <c r="AH188" s="67"/>
      <c r="AI188" s="69"/>
      <c r="AJ188" s="69"/>
      <c r="AK188" s="69"/>
      <c r="AL188" s="86"/>
      <c r="AM188" s="88"/>
      <c r="AN188" s="88"/>
      <c r="AO188" s="88"/>
      <c r="AP188" s="59"/>
      <c r="AQ188" s="68"/>
      <c r="AR188" s="59"/>
      <c r="AS188" s="68"/>
      <c r="AT188" s="59"/>
      <c r="AU188" s="68"/>
    </row>
    <row r="189" spans="1:47" ht="45" customHeight="1">
      <c r="A189" s="3" t="s">
        <v>148</v>
      </c>
      <c r="B189" s="3" t="s">
        <v>160</v>
      </c>
      <c r="C189" s="6">
        <v>46276</v>
      </c>
      <c r="D189" s="3" t="s">
        <v>1243</v>
      </c>
      <c r="E189" s="3" t="s">
        <v>1094</v>
      </c>
      <c r="F189" s="20">
        <f>LEN(G189)</f>
        <v>39</v>
      </c>
      <c r="G189" s="3" t="s">
        <v>1244</v>
      </c>
      <c r="H189" s="24" t="s">
        <v>1096</v>
      </c>
      <c r="I189" s="24" t="s">
        <v>857</v>
      </c>
      <c r="J189" s="3" t="s">
        <v>154</v>
      </c>
      <c r="K189" s="3" t="s">
        <v>154</v>
      </c>
      <c r="L189" s="3" t="s">
        <v>155</v>
      </c>
      <c r="M189" s="3" t="s">
        <v>1097</v>
      </c>
      <c r="N189" s="20">
        <v>37088</v>
      </c>
      <c r="O189" s="3" t="s">
        <v>1243</v>
      </c>
      <c r="P189" s="3" t="s">
        <v>157</v>
      </c>
      <c r="Q189" s="5"/>
      <c r="R189" s="3" t="s">
        <v>1245</v>
      </c>
      <c r="S189" s="6">
        <v>46287</v>
      </c>
      <c r="T189" s="24"/>
      <c r="U189" s="3" t="b">
        <v>1</v>
      </c>
      <c r="V189" s="3" t="s">
        <v>1100</v>
      </c>
      <c r="W189" s="64"/>
      <c r="X189" s="64"/>
      <c r="Y189" s="64"/>
      <c r="Z189" s="64"/>
      <c r="AA189" s="59" t="s">
        <v>1246</v>
      </c>
      <c r="AB189" s="65"/>
      <c r="AC189" s="68"/>
      <c r="AD189" s="65"/>
      <c r="AE189" s="68"/>
      <c r="AF189" s="66"/>
      <c r="AG189" s="68"/>
      <c r="AH189" s="67"/>
      <c r="AI189" s="69"/>
      <c r="AJ189" s="69"/>
      <c r="AK189" s="69"/>
      <c r="AL189" s="86"/>
      <c r="AM189" s="88"/>
      <c r="AN189" s="88"/>
      <c r="AO189" s="88"/>
      <c r="AP189" s="59"/>
      <c r="AQ189" s="68"/>
      <c r="AR189" s="59"/>
      <c r="AS189" s="68"/>
      <c r="AT189" s="59"/>
      <c r="AU189" s="68"/>
    </row>
    <row r="190" spans="1:47" ht="45" customHeight="1">
      <c r="A190" s="3" t="s">
        <v>148</v>
      </c>
      <c r="B190" s="3" t="s">
        <v>160</v>
      </c>
      <c r="C190" s="6">
        <v>46276</v>
      </c>
      <c r="D190" s="3" t="s">
        <v>1247</v>
      </c>
      <c r="E190" s="3" t="s">
        <v>1094</v>
      </c>
      <c r="F190" s="20">
        <f>LEN(G190)</f>
        <v>23</v>
      </c>
      <c r="G190" s="3" t="s">
        <v>1248</v>
      </c>
      <c r="H190" s="24" t="s">
        <v>1096</v>
      </c>
      <c r="I190" s="24" t="s">
        <v>857</v>
      </c>
      <c r="J190" s="3" t="s">
        <v>154</v>
      </c>
      <c r="K190" s="3" t="s">
        <v>154</v>
      </c>
      <c r="L190" s="3" t="s">
        <v>155</v>
      </c>
      <c r="M190" s="3" t="s">
        <v>1097</v>
      </c>
      <c r="N190" s="20">
        <v>37088</v>
      </c>
      <c r="O190" s="3" t="s">
        <v>1247</v>
      </c>
      <c r="P190" s="3" t="s">
        <v>157</v>
      </c>
      <c r="Q190" s="5"/>
      <c r="R190" s="3" t="s">
        <v>1249</v>
      </c>
      <c r="S190" s="6">
        <v>46287</v>
      </c>
      <c r="T190" s="24"/>
      <c r="U190" s="3" t="b">
        <v>1</v>
      </c>
      <c r="V190" s="3" t="s">
        <v>1100</v>
      </c>
      <c r="W190" s="64"/>
      <c r="X190" s="64"/>
      <c r="Y190" s="64"/>
      <c r="Z190" s="64"/>
      <c r="AA190" s="59" t="s">
        <v>1250</v>
      </c>
      <c r="AB190" s="65"/>
      <c r="AC190" s="68"/>
      <c r="AD190" s="65"/>
      <c r="AE190" s="68"/>
      <c r="AF190" s="66"/>
      <c r="AG190" s="68"/>
      <c r="AH190" s="67"/>
      <c r="AI190" s="69"/>
      <c r="AJ190" s="69"/>
      <c r="AK190" s="69"/>
      <c r="AL190" s="86"/>
      <c r="AM190" s="88"/>
      <c r="AN190" s="88"/>
      <c r="AO190" s="88"/>
      <c r="AP190" s="59"/>
      <c r="AQ190" s="68"/>
      <c r="AR190" s="59"/>
      <c r="AS190" s="68"/>
      <c r="AT190" s="59"/>
      <c r="AU190" s="68"/>
    </row>
    <row r="191" spans="1:47" ht="45" customHeight="1">
      <c r="A191" s="3" t="s">
        <v>148</v>
      </c>
      <c r="B191" s="3" t="s">
        <v>160</v>
      </c>
      <c r="C191" s="6">
        <v>46276</v>
      </c>
      <c r="D191" s="3" t="s">
        <v>1251</v>
      </c>
      <c r="E191" s="3" t="s">
        <v>1094</v>
      </c>
      <c r="F191" s="20">
        <f>LEN(G191)</f>
        <v>40</v>
      </c>
      <c r="G191" s="3" t="s">
        <v>1252</v>
      </c>
      <c r="H191" s="24" t="s">
        <v>1096</v>
      </c>
      <c r="I191" s="3" t="s">
        <v>857</v>
      </c>
      <c r="J191" s="3" t="s">
        <v>154</v>
      </c>
      <c r="K191" s="3" t="s">
        <v>154</v>
      </c>
      <c r="L191" s="3" t="s">
        <v>155</v>
      </c>
      <c r="M191" s="3" t="s">
        <v>1097</v>
      </c>
      <c r="N191" s="20">
        <v>37088</v>
      </c>
      <c r="O191" s="3" t="s">
        <v>1251</v>
      </c>
      <c r="P191" s="3" t="s">
        <v>157</v>
      </c>
      <c r="Q191" s="5"/>
      <c r="R191" s="3" t="s">
        <v>1253</v>
      </c>
      <c r="S191" s="3">
        <v>46287</v>
      </c>
      <c r="T191" s="24"/>
      <c r="U191" s="3" t="b">
        <v>0</v>
      </c>
      <c r="V191" s="3" t="s">
        <v>1100</v>
      </c>
      <c r="W191" s="64"/>
      <c r="X191" s="64"/>
      <c r="Y191" s="64"/>
      <c r="Z191" s="64"/>
      <c r="AA191" s="59" t="s">
        <v>1254</v>
      </c>
      <c r="AB191" s="65"/>
      <c r="AC191" s="68"/>
      <c r="AD191" s="65"/>
      <c r="AE191" s="68"/>
      <c r="AF191" s="66"/>
      <c r="AG191" s="68"/>
      <c r="AH191" s="67"/>
      <c r="AI191" s="69"/>
      <c r="AJ191" s="69"/>
      <c r="AK191" s="69"/>
      <c r="AL191" s="86"/>
      <c r="AM191" s="88"/>
      <c r="AN191" s="88"/>
      <c r="AO191" s="88"/>
      <c r="AP191" s="59"/>
      <c r="AQ191" s="68"/>
      <c r="AR191" s="59"/>
      <c r="AS191" s="68"/>
      <c r="AT191" s="59"/>
      <c r="AU191" s="68"/>
    </row>
    <row r="192" spans="1:47" ht="45" customHeight="1">
      <c r="A192" s="3" t="s">
        <v>148</v>
      </c>
      <c r="B192" s="3" t="s">
        <v>160</v>
      </c>
      <c r="C192" s="6">
        <v>46276</v>
      </c>
      <c r="D192" s="3" t="s">
        <v>1255</v>
      </c>
      <c r="E192" s="3" t="s">
        <v>1094</v>
      </c>
      <c r="F192" s="20">
        <f>LEN(G192)</f>
        <v>24</v>
      </c>
      <c r="G192" s="3" t="s">
        <v>1256</v>
      </c>
      <c r="H192" s="24" t="s">
        <v>1096</v>
      </c>
      <c r="I192" s="24" t="s">
        <v>857</v>
      </c>
      <c r="J192" s="3" t="s">
        <v>154</v>
      </c>
      <c r="K192" s="3" t="s">
        <v>154</v>
      </c>
      <c r="L192" s="3" t="s">
        <v>155</v>
      </c>
      <c r="M192" s="3" t="s">
        <v>1097</v>
      </c>
      <c r="N192" s="20">
        <v>37088</v>
      </c>
      <c r="O192" s="3" t="s">
        <v>1255</v>
      </c>
      <c r="P192" s="3" t="s">
        <v>157</v>
      </c>
      <c r="Q192" s="5"/>
      <c r="R192" s="3" t="s">
        <v>1257</v>
      </c>
      <c r="S192" s="6">
        <v>46286</v>
      </c>
      <c r="T192" s="24"/>
      <c r="U192" s="3" t="b">
        <v>1</v>
      </c>
      <c r="V192" s="3" t="s">
        <v>1100</v>
      </c>
      <c r="W192" s="64"/>
      <c r="X192" s="64"/>
      <c r="Y192" s="64"/>
      <c r="Z192" s="64"/>
      <c r="AA192" s="59" t="s">
        <v>1258</v>
      </c>
      <c r="AB192" s="65"/>
      <c r="AC192" s="68"/>
      <c r="AD192" s="65"/>
      <c r="AE192" s="68"/>
      <c r="AF192" s="66"/>
      <c r="AG192" s="68"/>
      <c r="AH192" s="67"/>
      <c r="AI192" s="69"/>
      <c r="AJ192" s="69"/>
      <c r="AK192" s="69"/>
      <c r="AL192" s="86"/>
      <c r="AM192" s="88"/>
      <c r="AN192" s="88"/>
      <c r="AO192" s="88"/>
      <c r="AP192" s="59"/>
      <c r="AQ192" s="68"/>
      <c r="AR192" s="59"/>
      <c r="AS192" s="68"/>
      <c r="AT192" s="59"/>
      <c r="AU192" s="68"/>
    </row>
    <row r="193" spans="1:47" ht="45" customHeight="1">
      <c r="A193" s="3" t="s">
        <v>148</v>
      </c>
      <c r="B193" s="3" t="s">
        <v>160</v>
      </c>
      <c r="C193" s="6">
        <v>46276</v>
      </c>
      <c r="D193" s="3" t="s">
        <v>1259</v>
      </c>
      <c r="E193" s="3" t="s">
        <v>1094</v>
      </c>
      <c r="F193" s="20">
        <f>LEN(G193)</f>
        <v>29</v>
      </c>
      <c r="G193" s="3" t="s">
        <v>1260</v>
      </c>
      <c r="H193" s="24" t="s">
        <v>1096</v>
      </c>
      <c r="I193" s="24" t="s">
        <v>857</v>
      </c>
      <c r="J193" s="3" t="s">
        <v>154</v>
      </c>
      <c r="K193" s="3" t="s">
        <v>154</v>
      </c>
      <c r="L193" s="3" t="s">
        <v>155</v>
      </c>
      <c r="M193" s="3" t="s">
        <v>1097</v>
      </c>
      <c r="N193" s="20">
        <v>37088</v>
      </c>
      <c r="O193" s="3" t="s">
        <v>1259</v>
      </c>
      <c r="P193" s="3" t="s">
        <v>157</v>
      </c>
      <c r="Q193" s="5"/>
      <c r="R193" s="3" t="s">
        <v>1261</v>
      </c>
      <c r="S193" s="6">
        <v>46287</v>
      </c>
      <c r="T193" s="24"/>
      <c r="U193" s="3" t="b">
        <v>1</v>
      </c>
      <c r="V193" s="3" t="s">
        <v>1100</v>
      </c>
      <c r="W193" s="64"/>
      <c r="X193" s="64"/>
      <c r="Y193" s="64"/>
      <c r="Z193" s="64"/>
      <c r="AA193" s="59" t="s">
        <v>1262</v>
      </c>
      <c r="AB193" s="65"/>
      <c r="AC193" s="68"/>
      <c r="AD193" s="65"/>
      <c r="AE193" s="68"/>
      <c r="AF193" s="66"/>
      <c r="AG193" s="68"/>
      <c r="AH193" s="67"/>
      <c r="AI193" s="69"/>
      <c r="AJ193" s="69"/>
      <c r="AK193" s="69"/>
      <c r="AL193" s="86"/>
      <c r="AM193" s="88"/>
      <c r="AN193" s="88"/>
      <c r="AO193" s="88"/>
      <c r="AP193" s="59"/>
      <c r="AQ193" s="68"/>
      <c r="AR193" s="59"/>
      <c r="AS193" s="68"/>
      <c r="AT193" s="59"/>
      <c r="AU193" s="68"/>
    </row>
    <row r="194" spans="1:47" ht="45" customHeight="1">
      <c r="A194" s="3" t="s">
        <v>148</v>
      </c>
      <c r="B194" s="3" t="s">
        <v>160</v>
      </c>
      <c r="C194" s="6">
        <v>46276</v>
      </c>
      <c r="D194" s="3" t="s">
        <v>1263</v>
      </c>
      <c r="E194" s="3" t="s">
        <v>1094</v>
      </c>
      <c r="F194" s="20">
        <f>LEN(G194)</f>
        <v>29</v>
      </c>
      <c r="G194" s="3" t="s">
        <v>1264</v>
      </c>
      <c r="H194" s="24" t="s">
        <v>1096</v>
      </c>
      <c r="I194" s="24" t="s">
        <v>857</v>
      </c>
      <c r="J194" s="3" t="s">
        <v>154</v>
      </c>
      <c r="K194" s="3" t="s">
        <v>154</v>
      </c>
      <c r="L194" s="3" t="s">
        <v>155</v>
      </c>
      <c r="M194" s="3" t="s">
        <v>1097</v>
      </c>
      <c r="N194" s="20">
        <v>37088</v>
      </c>
      <c r="O194" s="3" t="s">
        <v>1263</v>
      </c>
      <c r="P194" s="3" t="s">
        <v>157</v>
      </c>
      <c r="Q194" s="5"/>
      <c r="R194" s="3" t="s">
        <v>1265</v>
      </c>
      <c r="S194" s="6">
        <v>46287</v>
      </c>
      <c r="T194" s="24"/>
      <c r="U194" s="3" t="b">
        <v>1</v>
      </c>
      <c r="V194" s="3" t="s">
        <v>1100</v>
      </c>
      <c r="W194" s="64"/>
      <c r="X194" s="64"/>
      <c r="Y194" s="64"/>
      <c r="Z194" s="64"/>
      <c r="AA194" s="59" t="s">
        <v>1266</v>
      </c>
      <c r="AB194" s="65"/>
      <c r="AC194" s="68"/>
      <c r="AD194" s="65"/>
      <c r="AE194" s="68"/>
      <c r="AF194" s="66"/>
      <c r="AG194" s="68"/>
      <c r="AH194" s="67"/>
      <c r="AI194" s="69"/>
      <c r="AJ194" s="69"/>
      <c r="AK194" s="69"/>
      <c r="AL194" s="86"/>
      <c r="AM194" s="88"/>
      <c r="AN194" s="88"/>
      <c r="AO194" s="88"/>
      <c r="AP194" s="59"/>
      <c r="AQ194" s="68"/>
      <c r="AR194" s="59"/>
      <c r="AS194" s="68"/>
      <c r="AT194" s="59"/>
      <c r="AU194" s="68"/>
    </row>
    <row r="195" spans="1:47" ht="45" customHeight="1">
      <c r="A195" s="3" t="s">
        <v>148</v>
      </c>
      <c r="B195" s="3" t="s">
        <v>160</v>
      </c>
      <c r="C195" s="6">
        <v>46276</v>
      </c>
      <c r="D195" s="3" t="s">
        <v>1267</v>
      </c>
      <c r="E195" s="3" t="s">
        <v>1094</v>
      </c>
      <c r="F195" s="20">
        <f>LEN(G195)</f>
        <v>29</v>
      </c>
      <c r="G195" s="3" t="s">
        <v>1268</v>
      </c>
      <c r="H195" s="24" t="s">
        <v>1096</v>
      </c>
      <c r="I195" s="24" t="s">
        <v>857</v>
      </c>
      <c r="J195" s="3" t="s">
        <v>154</v>
      </c>
      <c r="K195" s="3" t="s">
        <v>154</v>
      </c>
      <c r="L195" s="3" t="s">
        <v>155</v>
      </c>
      <c r="M195" s="3" t="s">
        <v>1097</v>
      </c>
      <c r="N195" s="20">
        <v>37088</v>
      </c>
      <c r="O195" s="3" t="s">
        <v>1267</v>
      </c>
      <c r="P195" s="3" t="s">
        <v>157</v>
      </c>
      <c r="Q195" s="5"/>
      <c r="R195" s="3" t="s">
        <v>1269</v>
      </c>
      <c r="S195" s="6">
        <v>46287</v>
      </c>
      <c r="T195" s="24"/>
      <c r="U195" s="3" t="b">
        <v>1</v>
      </c>
      <c r="V195" s="3" t="s">
        <v>1100</v>
      </c>
      <c r="W195" s="64"/>
      <c r="X195" s="64"/>
      <c r="Y195" s="64"/>
      <c r="Z195" s="64"/>
      <c r="AA195" s="59" t="s">
        <v>1270</v>
      </c>
      <c r="AB195" s="65"/>
      <c r="AC195" s="68"/>
      <c r="AD195" s="65"/>
      <c r="AE195" s="68"/>
      <c r="AF195" s="66"/>
      <c r="AG195" s="68"/>
      <c r="AH195" s="67"/>
      <c r="AI195" s="69"/>
      <c r="AJ195" s="69"/>
      <c r="AK195" s="69"/>
      <c r="AL195" s="86"/>
      <c r="AM195" s="88"/>
      <c r="AN195" s="88"/>
      <c r="AO195" s="88"/>
      <c r="AP195" s="59"/>
      <c r="AQ195" s="68"/>
      <c r="AR195" s="59"/>
      <c r="AS195" s="68"/>
      <c r="AT195" s="59"/>
      <c r="AU195" s="68"/>
    </row>
    <row r="196" spans="1:47" ht="45" customHeight="1">
      <c r="A196" s="3" t="s">
        <v>148</v>
      </c>
      <c r="B196" s="3" t="s">
        <v>160</v>
      </c>
      <c r="C196" s="6">
        <v>46276</v>
      </c>
      <c r="D196" s="3" t="s">
        <v>1271</v>
      </c>
      <c r="E196" s="3" t="s">
        <v>1094</v>
      </c>
      <c r="F196" s="20">
        <f>LEN(G196)</f>
        <v>29</v>
      </c>
      <c r="G196" s="3" t="s">
        <v>1272</v>
      </c>
      <c r="H196" s="24" t="s">
        <v>1096</v>
      </c>
      <c r="I196" s="24" t="s">
        <v>857</v>
      </c>
      <c r="J196" s="3" t="s">
        <v>154</v>
      </c>
      <c r="K196" s="3" t="s">
        <v>154</v>
      </c>
      <c r="L196" s="3" t="s">
        <v>155</v>
      </c>
      <c r="M196" s="3" t="s">
        <v>1097</v>
      </c>
      <c r="N196" s="20">
        <v>37088</v>
      </c>
      <c r="O196" s="3" t="s">
        <v>1271</v>
      </c>
      <c r="P196" s="3" t="s">
        <v>157</v>
      </c>
      <c r="Q196" s="5"/>
      <c r="R196" s="3" t="s">
        <v>1273</v>
      </c>
      <c r="S196" s="6">
        <v>46287</v>
      </c>
      <c r="T196" s="24"/>
      <c r="U196" s="3" t="b">
        <v>1</v>
      </c>
      <c r="V196" s="3" t="s">
        <v>1100</v>
      </c>
      <c r="W196" s="64"/>
      <c r="X196" s="64"/>
      <c r="Y196" s="64"/>
      <c r="Z196" s="64"/>
      <c r="AA196" s="59" t="s">
        <v>1274</v>
      </c>
      <c r="AB196" s="65"/>
      <c r="AC196" s="68"/>
      <c r="AD196" s="65"/>
      <c r="AE196" s="68"/>
      <c r="AF196" s="66"/>
      <c r="AG196" s="68"/>
      <c r="AH196" s="67"/>
      <c r="AI196" s="69"/>
      <c r="AJ196" s="69"/>
      <c r="AK196" s="69"/>
      <c r="AL196" s="86"/>
      <c r="AM196" s="88"/>
      <c r="AN196" s="88"/>
      <c r="AO196" s="88"/>
      <c r="AP196" s="59"/>
      <c r="AQ196" s="68"/>
      <c r="AR196" s="59"/>
      <c r="AS196" s="68"/>
      <c r="AT196" s="59"/>
      <c r="AU196" s="68"/>
    </row>
    <row r="197" spans="1:47" ht="45" customHeight="1">
      <c r="A197" s="3" t="s">
        <v>148</v>
      </c>
      <c r="B197" s="3" t="s">
        <v>160</v>
      </c>
      <c r="C197" s="6">
        <v>46276</v>
      </c>
      <c r="D197" s="3" t="s">
        <v>1275</v>
      </c>
      <c r="E197" s="3" t="s">
        <v>1094</v>
      </c>
      <c r="F197" s="20">
        <f>LEN(G197)</f>
        <v>37</v>
      </c>
      <c r="G197" s="3" t="s">
        <v>1276</v>
      </c>
      <c r="H197" s="24" t="s">
        <v>1096</v>
      </c>
      <c r="I197" s="24" t="s">
        <v>857</v>
      </c>
      <c r="J197" s="3" t="s">
        <v>154</v>
      </c>
      <c r="K197" s="3" t="s">
        <v>154</v>
      </c>
      <c r="L197" s="3" t="s">
        <v>155</v>
      </c>
      <c r="M197" s="3" t="s">
        <v>1097</v>
      </c>
      <c r="N197" s="20">
        <v>37088</v>
      </c>
      <c r="O197" s="3" t="s">
        <v>1275</v>
      </c>
      <c r="P197" s="3" t="s">
        <v>157</v>
      </c>
      <c r="Q197" s="5"/>
      <c r="R197" s="3" t="s">
        <v>1277</v>
      </c>
      <c r="S197" s="6">
        <v>46287</v>
      </c>
      <c r="T197" s="24"/>
      <c r="U197" s="3" t="b">
        <v>1</v>
      </c>
      <c r="V197" s="3" t="s">
        <v>1100</v>
      </c>
      <c r="W197" s="64"/>
      <c r="X197" s="64"/>
      <c r="Y197" s="64"/>
      <c r="Z197" s="64"/>
      <c r="AA197" s="59" t="s">
        <v>1278</v>
      </c>
      <c r="AB197" s="65"/>
      <c r="AC197" s="68"/>
      <c r="AD197" s="65"/>
      <c r="AE197" s="68"/>
      <c r="AF197" s="66"/>
      <c r="AG197" s="68"/>
      <c r="AH197" s="67"/>
      <c r="AI197" s="69"/>
      <c r="AJ197" s="69"/>
      <c r="AK197" s="69"/>
      <c r="AL197" s="86"/>
      <c r="AM197" s="88"/>
      <c r="AN197" s="88"/>
      <c r="AO197" s="88"/>
      <c r="AP197" s="59"/>
      <c r="AQ197" s="68"/>
      <c r="AR197" s="59"/>
      <c r="AS197" s="68"/>
      <c r="AT197" s="59"/>
      <c r="AU197" s="68"/>
    </row>
    <row r="198" spans="1:47" ht="45" customHeight="1">
      <c r="A198" s="3" t="s">
        <v>148</v>
      </c>
      <c r="B198" s="3" t="s">
        <v>160</v>
      </c>
      <c r="C198" s="6">
        <v>46276</v>
      </c>
      <c r="D198" s="3" t="s">
        <v>1279</v>
      </c>
      <c r="E198" s="3" t="s">
        <v>1094</v>
      </c>
      <c r="F198" s="20">
        <f>LEN(G198)</f>
        <v>16</v>
      </c>
      <c r="G198" s="3" t="s">
        <v>1280</v>
      </c>
      <c r="H198" s="24" t="s">
        <v>1096</v>
      </c>
      <c r="I198" s="24" t="s">
        <v>857</v>
      </c>
      <c r="J198" s="3" t="s">
        <v>154</v>
      </c>
      <c r="K198" s="3" t="s">
        <v>154</v>
      </c>
      <c r="L198" s="3" t="s">
        <v>155</v>
      </c>
      <c r="M198" s="3" t="s">
        <v>1097</v>
      </c>
      <c r="N198" s="20">
        <v>37088</v>
      </c>
      <c r="O198" s="3" t="s">
        <v>1279</v>
      </c>
      <c r="P198" s="3" t="s">
        <v>157</v>
      </c>
      <c r="Q198" s="5"/>
      <c r="R198" s="3" t="s">
        <v>1281</v>
      </c>
      <c r="S198" s="6">
        <v>46287</v>
      </c>
      <c r="T198" s="24"/>
      <c r="U198" s="3" t="b">
        <v>1</v>
      </c>
      <c r="V198" s="3" t="s">
        <v>1100</v>
      </c>
      <c r="W198" s="64"/>
      <c r="X198" s="64"/>
      <c r="Y198" s="64"/>
      <c r="Z198" s="64"/>
      <c r="AA198" s="59" t="s">
        <v>1282</v>
      </c>
      <c r="AB198" s="65"/>
      <c r="AC198" s="68"/>
      <c r="AD198" s="65"/>
      <c r="AE198" s="68"/>
      <c r="AF198" s="66"/>
      <c r="AG198" s="68"/>
      <c r="AH198" s="67"/>
      <c r="AI198" s="69"/>
      <c r="AJ198" s="69"/>
      <c r="AK198" s="69"/>
      <c r="AL198" s="86"/>
      <c r="AM198" s="88"/>
      <c r="AN198" s="88"/>
      <c r="AO198" s="88"/>
      <c r="AP198" s="59"/>
      <c r="AQ198" s="68"/>
      <c r="AR198" s="59"/>
      <c r="AS198" s="68"/>
      <c r="AT198" s="59"/>
      <c r="AU198" s="68"/>
    </row>
    <row r="199" spans="1:47" ht="45" customHeight="1">
      <c r="A199" s="3" t="s">
        <v>148</v>
      </c>
      <c r="B199" s="3" t="s">
        <v>160</v>
      </c>
      <c r="C199" s="6">
        <v>46276</v>
      </c>
      <c r="D199" s="3" t="s">
        <v>1283</v>
      </c>
      <c r="E199" s="3" t="s">
        <v>1094</v>
      </c>
      <c r="F199" s="20">
        <f>LEN(G199)</f>
        <v>20</v>
      </c>
      <c r="G199" s="3" t="s">
        <v>1284</v>
      </c>
      <c r="H199" s="24" t="s">
        <v>1096</v>
      </c>
      <c r="I199" s="24" t="s">
        <v>857</v>
      </c>
      <c r="J199" s="3" t="s">
        <v>154</v>
      </c>
      <c r="K199" s="3" t="s">
        <v>154</v>
      </c>
      <c r="L199" s="3" t="s">
        <v>155</v>
      </c>
      <c r="M199" s="3" t="s">
        <v>1097</v>
      </c>
      <c r="N199" s="20">
        <v>37088</v>
      </c>
      <c r="O199" s="3" t="s">
        <v>1283</v>
      </c>
      <c r="P199" s="3" t="s">
        <v>157</v>
      </c>
      <c r="Q199" s="5"/>
      <c r="R199" s="3" t="s">
        <v>1285</v>
      </c>
      <c r="S199" s="6">
        <v>46287</v>
      </c>
      <c r="T199" s="24"/>
      <c r="U199" s="3" t="b">
        <v>1</v>
      </c>
      <c r="V199" s="3" t="s">
        <v>1100</v>
      </c>
      <c r="W199" s="64"/>
      <c r="X199" s="64"/>
      <c r="Y199" s="64"/>
      <c r="Z199" s="64"/>
      <c r="AA199" s="59" t="s">
        <v>1286</v>
      </c>
      <c r="AB199" s="65"/>
      <c r="AC199" s="68"/>
      <c r="AD199" s="65"/>
      <c r="AE199" s="68"/>
      <c r="AF199" s="66"/>
      <c r="AG199" s="68"/>
      <c r="AH199" s="67"/>
      <c r="AI199" s="69"/>
      <c r="AJ199" s="69"/>
      <c r="AK199" s="69"/>
      <c r="AL199" s="86"/>
      <c r="AM199" s="88"/>
      <c r="AN199" s="88"/>
      <c r="AO199" s="88"/>
      <c r="AP199" s="59"/>
      <c r="AQ199" s="68"/>
      <c r="AR199" s="59"/>
      <c r="AS199" s="68"/>
      <c r="AT199" s="59"/>
      <c r="AU199" s="68"/>
    </row>
    <row r="200" spans="1:47" ht="45" customHeight="1">
      <c r="A200" s="3" t="s">
        <v>148</v>
      </c>
      <c r="B200" s="3" t="s">
        <v>160</v>
      </c>
      <c r="C200" s="6">
        <v>46276</v>
      </c>
      <c r="D200" s="3" t="s">
        <v>1287</v>
      </c>
      <c r="E200" s="3" t="s">
        <v>1094</v>
      </c>
      <c r="F200" s="20">
        <f>LEN(G200)</f>
        <v>24</v>
      </c>
      <c r="G200" s="3" t="s">
        <v>1288</v>
      </c>
      <c r="H200" s="24" t="s">
        <v>1096</v>
      </c>
      <c r="I200" s="24" t="s">
        <v>857</v>
      </c>
      <c r="J200" s="3" t="s">
        <v>154</v>
      </c>
      <c r="K200" s="3" t="s">
        <v>154</v>
      </c>
      <c r="L200" s="3" t="s">
        <v>155</v>
      </c>
      <c r="M200" s="3" t="s">
        <v>1097</v>
      </c>
      <c r="N200" s="20">
        <v>37088</v>
      </c>
      <c r="O200" s="3" t="s">
        <v>1287</v>
      </c>
      <c r="P200" s="3" t="s">
        <v>157</v>
      </c>
      <c r="Q200" s="5"/>
      <c r="R200" s="3" t="s">
        <v>1289</v>
      </c>
      <c r="S200" s="6">
        <v>46287</v>
      </c>
      <c r="T200" s="24"/>
      <c r="U200" s="3" t="b">
        <v>1</v>
      </c>
      <c r="V200" s="3" t="s">
        <v>1100</v>
      </c>
      <c r="W200" s="64"/>
      <c r="X200" s="64"/>
      <c r="Y200" s="64"/>
      <c r="Z200" s="64"/>
      <c r="AA200" s="59" t="s">
        <v>1290</v>
      </c>
      <c r="AB200" s="65"/>
      <c r="AC200" s="68"/>
      <c r="AD200" s="65"/>
      <c r="AE200" s="68"/>
      <c r="AF200" s="66"/>
      <c r="AG200" s="68"/>
      <c r="AH200" s="67"/>
      <c r="AI200" s="69"/>
      <c r="AJ200" s="69"/>
      <c r="AK200" s="69"/>
      <c r="AL200" s="86"/>
      <c r="AM200" s="88"/>
      <c r="AN200" s="88"/>
      <c r="AO200" s="88"/>
      <c r="AP200" s="59"/>
      <c r="AQ200" s="68"/>
      <c r="AR200" s="59"/>
      <c r="AS200" s="68"/>
      <c r="AT200" s="59"/>
      <c r="AU200" s="68"/>
    </row>
    <row r="201" spans="1:47" ht="45" customHeight="1">
      <c r="A201" s="3" t="s">
        <v>148</v>
      </c>
      <c r="B201" s="3" t="s">
        <v>160</v>
      </c>
      <c r="C201" s="6">
        <v>46276</v>
      </c>
      <c r="D201" s="3" t="s">
        <v>1291</v>
      </c>
      <c r="E201" s="3" t="s">
        <v>1094</v>
      </c>
      <c r="F201" s="20">
        <f>LEN(G201)</f>
        <v>28</v>
      </c>
      <c r="G201" s="3" t="s">
        <v>1292</v>
      </c>
      <c r="H201" s="24" t="s">
        <v>1096</v>
      </c>
      <c r="I201" s="24" t="s">
        <v>857</v>
      </c>
      <c r="J201" s="3" t="s">
        <v>154</v>
      </c>
      <c r="K201" s="3" t="s">
        <v>154</v>
      </c>
      <c r="L201" s="3" t="s">
        <v>155</v>
      </c>
      <c r="M201" s="3" t="s">
        <v>1097</v>
      </c>
      <c r="N201" s="20">
        <v>37088</v>
      </c>
      <c r="O201" s="3" t="s">
        <v>1291</v>
      </c>
      <c r="P201" s="3" t="s">
        <v>157</v>
      </c>
      <c r="Q201" s="5"/>
      <c r="R201" s="3" t="s">
        <v>1293</v>
      </c>
      <c r="S201" s="6">
        <v>46287</v>
      </c>
      <c r="T201" s="24"/>
      <c r="U201" s="3" t="b">
        <v>1</v>
      </c>
      <c r="V201" s="3" t="s">
        <v>1100</v>
      </c>
      <c r="W201" s="64"/>
      <c r="X201" s="64"/>
      <c r="Y201" s="64"/>
      <c r="Z201" s="64"/>
      <c r="AA201" s="59" t="s">
        <v>1294</v>
      </c>
      <c r="AB201" s="65"/>
      <c r="AC201" s="68"/>
      <c r="AD201" s="65"/>
      <c r="AE201" s="68"/>
      <c r="AF201" s="66"/>
      <c r="AG201" s="68"/>
      <c r="AH201" s="67"/>
      <c r="AI201" s="69"/>
      <c r="AJ201" s="69"/>
      <c r="AK201" s="69"/>
      <c r="AL201" s="86"/>
      <c r="AM201" s="88"/>
      <c r="AN201" s="88"/>
      <c r="AO201" s="88"/>
      <c r="AP201" s="59"/>
      <c r="AQ201" s="68"/>
      <c r="AR201" s="59"/>
      <c r="AS201" s="68"/>
      <c r="AT201" s="59"/>
      <c r="AU201" s="68"/>
    </row>
    <row r="202" spans="1:47" ht="45" customHeight="1">
      <c r="A202" s="3" t="s">
        <v>148</v>
      </c>
      <c r="B202" s="3" t="s">
        <v>160</v>
      </c>
      <c r="C202" s="6">
        <v>46276</v>
      </c>
      <c r="D202" s="3" t="s">
        <v>1295</v>
      </c>
      <c r="E202" s="3" t="s">
        <v>1094</v>
      </c>
      <c r="F202" s="20">
        <f>LEN(G202)</f>
        <v>23</v>
      </c>
      <c r="G202" s="3" t="s">
        <v>1296</v>
      </c>
      <c r="H202" s="24" t="s">
        <v>1096</v>
      </c>
      <c r="I202" s="24" t="s">
        <v>857</v>
      </c>
      <c r="J202" s="3" t="s">
        <v>154</v>
      </c>
      <c r="K202" s="3" t="s">
        <v>154</v>
      </c>
      <c r="L202" s="3" t="s">
        <v>155</v>
      </c>
      <c r="M202" s="3" t="s">
        <v>1097</v>
      </c>
      <c r="N202" s="20">
        <v>37088</v>
      </c>
      <c r="O202" s="3" t="s">
        <v>1295</v>
      </c>
      <c r="P202" s="3" t="s">
        <v>157</v>
      </c>
      <c r="Q202" s="5"/>
      <c r="R202" s="3" t="s">
        <v>1297</v>
      </c>
      <c r="S202" s="6">
        <v>46287</v>
      </c>
      <c r="T202" s="24"/>
      <c r="U202" s="3" t="b">
        <v>1</v>
      </c>
      <c r="V202" s="3" t="s">
        <v>1100</v>
      </c>
      <c r="W202" s="64"/>
      <c r="X202" s="64"/>
      <c r="Y202" s="64"/>
      <c r="Z202" s="64"/>
      <c r="AA202" s="59" t="s">
        <v>1298</v>
      </c>
      <c r="AB202" s="65"/>
      <c r="AC202" s="68"/>
      <c r="AD202" s="65"/>
      <c r="AE202" s="68"/>
      <c r="AF202" s="66"/>
      <c r="AG202" s="68"/>
      <c r="AH202" s="67"/>
      <c r="AI202" s="69"/>
      <c r="AJ202" s="69"/>
      <c r="AK202" s="69"/>
      <c r="AL202" s="86"/>
      <c r="AM202" s="88"/>
      <c r="AN202" s="88"/>
      <c r="AO202" s="88"/>
      <c r="AP202" s="59"/>
      <c r="AQ202" s="68"/>
      <c r="AR202" s="59"/>
      <c r="AS202" s="68"/>
      <c r="AT202" s="59"/>
      <c r="AU202" s="68"/>
    </row>
    <row r="203" spans="1:47" ht="45" customHeight="1">
      <c r="A203" s="3" t="s">
        <v>148</v>
      </c>
      <c r="B203" s="3" t="s">
        <v>160</v>
      </c>
      <c r="C203" s="6">
        <v>46276</v>
      </c>
      <c r="D203" s="3" t="s">
        <v>1299</v>
      </c>
      <c r="E203" s="3" t="s">
        <v>1094</v>
      </c>
      <c r="F203" s="20">
        <f>LEN(G203)</f>
        <v>23</v>
      </c>
      <c r="G203" s="3" t="s">
        <v>1300</v>
      </c>
      <c r="H203" s="24" t="s">
        <v>1096</v>
      </c>
      <c r="I203" s="24" t="s">
        <v>857</v>
      </c>
      <c r="J203" s="3" t="s">
        <v>154</v>
      </c>
      <c r="K203" s="3" t="s">
        <v>154</v>
      </c>
      <c r="L203" s="3" t="s">
        <v>155</v>
      </c>
      <c r="M203" s="3" t="s">
        <v>1097</v>
      </c>
      <c r="N203" s="20">
        <v>37088</v>
      </c>
      <c r="O203" s="3" t="s">
        <v>1299</v>
      </c>
      <c r="P203" s="3" t="s">
        <v>157</v>
      </c>
      <c r="Q203" s="5"/>
      <c r="R203" s="3" t="s">
        <v>1301</v>
      </c>
      <c r="S203" s="6">
        <v>46287</v>
      </c>
      <c r="T203" s="24"/>
      <c r="U203" s="3" t="b">
        <v>1</v>
      </c>
      <c r="V203" s="3" t="s">
        <v>1100</v>
      </c>
      <c r="W203" s="64"/>
      <c r="X203" s="64"/>
      <c r="Y203" s="64"/>
      <c r="Z203" s="64"/>
      <c r="AA203" s="59" t="s">
        <v>1302</v>
      </c>
      <c r="AB203" s="65"/>
      <c r="AC203" s="68"/>
      <c r="AD203" s="65"/>
      <c r="AE203" s="68"/>
      <c r="AF203" s="66"/>
      <c r="AG203" s="68"/>
      <c r="AH203" s="67"/>
      <c r="AI203" s="69"/>
      <c r="AJ203" s="69"/>
      <c r="AK203" s="69"/>
      <c r="AL203" s="86"/>
      <c r="AM203" s="88"/>
      <c r="AN203" s="88"/>
      <c r="AO203" s="88"/>
      <c r="AP203" s="59"/>
      <c r="AQ203" s="68"/>
      <c r="AR203" s="59"/>
      <c r="AS203" s="68"/>
      <c r="AT203" s="59"/>
      <c r="AU203" s="68"/>
    </row>
    <row r="204" spans="1:47" ht="45" customHeight="1">
      <c r="A204" s="3" t="s">
        <v>148</v>
      </c>
      <c r="B204" s="3" t="s">
        <v>160</v>
      </c>
      <c r="C204" s="6">
        <v>46276</v>
      </c>
      <c r="D204" s="3" t="s">
        <v>1303</v>
      </c>
      <c r="E204" s="3" t="s">
        <v>1094</v>
      </c>
      <c r="F204" s="20">
        <f>LEN(G204)</f>
        <v>36</v>
      </c>
      <c r="G204" s="3" t="s">
        <v>1304</v>
      </c>
      <c r="H204" s="24" t="s">
        <v>1096</v>
      </c>
      <c r="I204" s="24" t="s">
        <v>857</v>
      </c>
      <c r="J204" s="3" t="s">
        <v>154</v>
      </c>
      <c r="K204" s="3" t="s">
        <v>154</v>
      </c>
      <c r="L204" s="3" t="s">
        <v>155</v>
      </c>
      <c r="M204" s="3" t="s">
        <v>1097</v>
      </c>
      <c r="N204" s="20">
        <v>37088</v>
      </c>
      <c r="O204" s="3" t="s">
        <v>1303</v>
      </c>
      <c r="P204" s="3" t="s">
        <v>157</v>
      </c>
      <c r="Q204" s="5"/>
      <c r="R204" s="3" t="s">
        <v>1305</v>
      </c>
      <c r="S204" s="6">
        <v>46287</v>
      </c>
      <c r="T204" s="24"/>
      <c r="U204" s="3" t="b">
        <v>1</v>
      </c>
      <c r="V204" s="3" t="s">
        <v>1100</v>
      </c>
      <c r="W204" s="64"/>
      <c r="X204" s="64"/>
      <c r="Y204" s="64"/>
      <c r="Z204" s="64"/>
      <c r="AA204" s="59" t="s">
        <v>1306</v>
      </c>
      <c r="AB204" s="65"/>
      <c r="AC204" s="68"/>
      <c r="AD204" s="65"/>
      <c r="AE204" s="68"/>
      <c r="AF204" s="66"/>
      <c r="AG204" s="68"/>
      <c r="AH204" s="67"/>
      <c r="AI204" s="69"/>
      <c r="AJ204" s="69"/>
      <c r="AK204" s="69"/>
      <c r="AL204" s="86"/>
      <c r="AM204" s="88"/>
      <c r="AN204" s="88"/>
      <c r="AO204" s="88"/>
      <c r="AP204" s="59"/>
      <c r="AQ204" s="68"/>
      <c r="AR204" s="59"/>
      <c r="AS204" s="68"/>
      <c r="AT204" s="59"/>
      <c r="AU204" s="68"/>
    </row>
    <row r="205" spans="1:47" ht="45" customHeight="1">
      <c r="A205" s="3" t="s">
        <v>148</v>
      </c>
      <c r="B205" s="3" t="s">
        <v>160</v>
      </c>
      <c r="C205" s="6">
        <v>46276</v>
      </c>
      <c r="D205" s="3" t="s">
        <v>1307</v>
      </c>
      <c r="E205" s="3" t="s">
        <v>1094</v>
      </c>
      <c r="F205" s="20">
        <f>LEN(G205)</f>
        <v>36</v>
      </c>
      <c r="G205" s="3" t="s">
        <v>1308</v>
      </c>
      <c r="H205" s="24" t="s">
        <v>1096</v>
      </c>
      <c r="I205" s="24" t="s">
        <v>857</v>
      </c>
      <c r="J205" s="3" t="s">
        <v>154</v>
      </c>
      <c r="K205" s="3" t="s">
        <v>154</v>
      </c>
      <c r="L205" s="3" t="s">
        <v>155</v>
      </c>
      <c r="M205" s="3" t="s">
        <v>1097</v>
      </c>
      <c r="N205" s="20">
        <v>37088</v>
      </c>
      <c r="O205" s="3" t="s">
        <v>1307</v>
      </c>
      <c r="P205" s="3" t="s">
        <v>157</v>
      </c>
      <c r="Q205" s="5"/>
      <c r="R205" s="3" t="s">
        <v>1309</v>
      </c>
      <c r="S205" s="6">
        <v>46287</v>
      </c>
      <c r="T205" s="24"/>
      <c r="U205" s="3" t="b">
        <v>1</v>
      </c>
      <c r="V205" s="3" t="s">
        <v>1100</v>
      </c>
      <c r="W205" s="64"/>
      <c r="X205" s="64"/>
      <c r="Y205" s="64"/>
      <c r="Z205" s="64"/>
      <c r="AA205" s="59" t="s">
        <v>1310</v>
      </c>
      <c r="AB205" s="65"/>
      <c r="AC205" s="68"/>
      <c r="AD205" s="65"/>
      <c r="AE205" s="68"/>
      <c r="AF205" s="66"/>
      <c r="AG205" s="68"/>
      <c r="AH205" s="67"/>
      <c r="AI205" s="69"/>
      <c r="AJ205" s="69"/>
      <c r="AK205" s="69"/>
      <c r="AL205" s="86"/>
      <c r="AM205" s="88"/>
      <c r="AN205" s="88"/>
      <c r="AO205" s="88"/>
      <c r="AP205" s="59"/>
      <c r="AQ205" s="68"/>
      <c r="AR205" s="59"/>
      <c r="AS205" s="68"/>
      <c r="AT205" s="59"/>
      <c r="AU205" s="68"/>
    </row>
    <row r="206" spans="1:47" ht="45" customHeight="1">
      <c r="A206" s="3" t="s">
        <v>148</v>
      </c>
      <c r="B206" s="3" t="s">
        <v>160</v>
      </c>
      <c r="C206" s="6">
        <v>46276</v>
      </c>
      <c r="D206" s="3" t="s">
        <v>1311</v>
      </c>
      <c r="E206" s="3" t="s">
        <v>1094</v>
      </c>
      <c r="F206" s="20">
        <f>LEN(G206)</f>
        <v>25</v>
      </c>
      <c r="G206" s="3" t="s">
        <v>1312</v>
      </c>
      <c r="H206" s="24" t="s">
        <v>1096</v>
      </c>
      <c r="I206" s="24" t="s">
        <v>857</v>
      </c>
      <c r="J206" s="3" t="s">
        <v>154</v>
      </c>
      <c r="K206" s="3" t="s">
        <v>154</v>
      </c>
      <c r="L206" s="3" t="s">
        <v>155</v>
      </c>
      <c r="M206" s="3" t="s">
        <v>1097</v>
      </c>
      <c r="N206" s="20">
        <v>37088</v>
      </c>
      <c r="O206" s="3" t="s">
        <v>1311</v>
      </c>
      <c r="P206" s="3" t="s">
        <v>157</v>
      </c>
      <c r="Q206" s="5"/>
      <c r="R206" s="3" t="s">
        <v>1313</v>
      </c>
      <c r="S206" s="6">
        <v>46287</v>
      </c>
      <c r="T206" s="24"/>
      <c r="U206" s="3" t="b">
        <v>1</v>
      </c>
      <c r="V206" s="3" t="s">
        <v>1100</v>
      </c>
      <c r="W206" s="64"/>
      <c r="X206" s="64"/>
      <c r="Y206" s="64"/>
      <c r="Z206" s="64"/>
      <c r="AA206" s="59" t="s">
        <v>1314</v>
      </c>
      <c r="AB206" s="65"/>
      <c r="AC206" s="68"/>
      <c r="AD206" s="65"/>
      <c r="AE206" s="68"/>
      <c r="AF206" s="66"/>
      <c r="AG206" s="68"/>
      <c r="AH206" s="67"/>
      <c r="AI206" s="69"/>
      <c r="AJ206" s="69"/>
      <c r="AK206" s="69"/>
      <c r="AL206" s="86"/>
      <c r="AM206" s="88"/>
      <c r="AN206" s="88"/>
      <c r="AO206" s="88"/>
      <c r="AP206" s="59"/>
      <c r="AQ206" s="68"/>
      <c r="AR206" s="59"/>
      <c r="AS206" s="68"/>
      <c r="AT206" s="59"/>
      <c r="AU206" s="68"/>
    </row>
    <row r="207" spans="1:47" ht="45" customHeight="1">
      <c r="A207" s="3" t="s">
        <v>148</v>
      </c>
      <c r="B207" s="3" t="s">
        <v>160</v>
      </c>
      <c r="C207" s="6">
        <v>46276</v>
      </c>
      <c r="D207" s="3" t="s">
        <v>1315</v>
      </c>
      <c r="E207" s="3" t="s">
        <v>1094</v>
      </c>
      <c r="F207" s="20">
        <f>LEN(G207)</f>
        <v>25</v>
      </c>
      <c r="G207" s="3" t="s">
        <v>1316</v>
      </c>
      <c r="H207" s="24" t="s">
        <v>1096</v>
      </c>
      <c r="I207" s="24" t="s">
        <v>857</v>
      </c>
      <c r="J207" s="3" t="s">
        <v>154</v>
      </c>
      <c r="K207" s="3" t="s">
        <v>154</v>
      </c>
      <c r="L207" s="3" t="s">
        <v>155</v>
      </c>
      <c r="M207" s="3" t="s">
        <v>1097</v>
      </c>
      <c r="N207" s="20">
        <v>37088</v>
      </c>
      <c r="O207" s="3" t="s">
        <v>1315</v>
      </c>
      <c r="P207" s="3" t="s">
        <v>157</v>
      </c>
      <c r="Q207" s="5"/>
      <c r="R207" s="3" t="s">
        <v>1317</v>
      </c>
      <c r="S207" s="6">
        <v>46287</v>
      </c>
      <c r="T207" s="24"/>
      <c r="U207" s="3" t="b">
        <v>1</v>
      </c>
      <c r="V207" s="3" t="s">
        <v>1100</v>
      </c>
      <c r="W207" s="64"/>
      <c r="X207" s="64"/>
      <c r="Y207" s="64"/>
      <c r="Z207" s="64"/>
      <c r="AA207" s="59" t="s">
        <v>1318</v>
      </c>
      <c r="AB207" s="65"/>
      <c r="AC207" s="68"/>
      <c r="AD207" s="65"/>
      <c r="AE207" s="68"/>
      <c r="AF207" s="66"/>
      <c r="AG207" s="68"/>
      <c r="AH207" s="67"/>
      <c r="AI207" s="69"/>
      <c r="AJ207" s="69"/>
      <c r="AK207" s="69"/>
      <c r="AL207" s="86"/>
      <c r="AM207" s="88"/>
      <c r="AN207" s="88"/>
      <c r="AO207" s="88"/>
      <c r="AP207" s="59"/>
      <c r="AQ207" s="68"/>
      <c r="AR207" s="59"/>
      <c r="AS207" s="68"/>
      <c r="AT207" s="59"/>
      <c r="AU207" s="68"/>
    </row>
    <row r="208" spans="1:47" ht="45" customHeight="1">
      <c r="A208" s="3" t="s">
        <v>148</v>
      </c>
      <c r="B208" s="3" t="s">
        <v>160</v>
      </c>
      <c r="C208" s="6">
        <v>46276</v>
      </c>
      <c r="D208" s="3" t="s">
        <v>1319</v>
      </c>
      <c r="E208" s="3" t="s">
        <v>1094</v>
      </c>
      <c r="F208" s="20">
        <f>LEN(G208)</f>
        <v>35</v>
      </c>
      <c r="G208" s="3" t="s">
        <v>1320</v>
      </c>
      <c r="H208" s="24" t="s">
        <v>1096</v>
      </c>
      <c r="I208" s="24" t="s">
        <v>857</v>
      </c>
      <c r="J208" s="3" t="s">
        <v>154</v>
      </c>
      <c r="K208" s="3" t="s">
        <v>154</v>
      </c>
      <c r="L208" s="3" t="s">
        <v>155</v>
      </c>
      <c r="M208" s="3" t="s">
        <v>1097</v>
      </c>
      <c r="N208" s="20">
        <v>37088</v>
      </c>
      <c r="O208" s="3" t="s">
        <v>1319</v>
      </c>
      <c r="P208" s="3" t="s">
        <v>157</v>
      </c>
      <c r="Q208" s="5"/>
      <c r="R208" s="3" t="s">
        <v>1321</v>
      </c>
      <c r="S208" s="6">
        <v>46287</v>
      </c>
      <c r="T208" s="24"/>
      <c r="U208" s="3" t="b">
        <v>1</v>
      </c>
      <c r="V208" s="3" t="s">
        <v>1100</v>
      </c>
      <c r="W208" s="64"/>
      <c r="X208" s="64"/>
      <c r="Y208" s="64"/>
      <c r="Z208" s="64"/>
      <c r="AA208" s="59" t="s">
        <v>1322</v>
      </c>
      <c r="AB208" s="65"/>
      <c r="AC208" s="68"/>
      <c r="AD208" s="65"/>
      <c r="AE208" s="68"/>
      <c r="AF208" s="66"/>
      <c r="AG208" s="68"/>
      <c r="AH208" s="67"/>
      <c r="AI208" s="69"/>
      <c r="AJ208" s="69"/>
      <c r="AK208" s="69"/>
      <c r="AL208" s="86"/>
      <c r="AM208" s="88"/>
      <c r="AN208" s="88"/>
      <c r="AO208" s="88"/>
      <c r="AP208" s="59"/>
      <c r="AQ208" s="68"/>
      <c r="AR208" s="59"/>
      <c r="AS208" s="68"/>
      <c r="AT208" s="59"/>
      <c r="AU208" s="68"/>
    </row>
    <row r="209" spans="1:47" ht="45" customHeight="1">
      <c r="A209" s="3" t="s">
        <v>148</v>
      </c>
      <c r="B209" s="3" t="s">
        <v>160</v>
      </c>
      <c r="C209" s="6">
        <v>46276</v>
      </c>
      <c r="D209" s="3" t="s">
        <v>1323</v>
      </c>
      <c r="E209" s="3" t="s">
        <v>1094</v>
      </c>
      <c r="F209" s="20">
        <f>LEN(G209)</f>
        <v>44</v>
      </c>
      <c r="G209" s="3" t="s">
        <v>1324</v>
      </c>
      <c r="H209" s="24" t="s">
        <v>1096</v>
      </c>
      <c r="I209" s="24" t="s">
        <v>857</v>
      </c>
      <c r="J209" s="3" t="s">
        <v>154</v>
      </c>
      <c r="K209" s="3" t="s">
        <v>154</v>
      </c>
      <c r="L209" s="3" t="s">
        <v>155</v>
      </c>
      <c r="M209" s="3" t="s">
        <v>1097</v>
      </c>
      <c r="N209" s="20">
        <v>37088</v>
      </c>
      <c r="O209" s="3" t="s">
        <v>1323</v>
      </c>
      <c r="P209" s="3" t="s">
        <v>157</v>
      </c>
      <c r="Q209" s="5"/>
      <c r="R209" s="3" t="s">
        <v>1325</v>
      </c>
      <c r="S209" s="6">
        <v>46287</v>
      </c>
      <c r="T209" s="24"/>
      <c r="U209" s="3" t="b">
        <v>1</v>
      </c>
      <c r="V209" s="3" t="s">
        <v>1100</v>
      </c>
      <c r="W209" s="64"/>
      <c r="X209" s="64"/>
      <c r="Y209" s="64"/>
      <c r="Z209" s="64"/>
      <c r="AA209" s="59" t="s">
        <v>1326</v>
      </c>
      <c r="AB209" s="65"/>
      <c r="AC209" s="68"/>
      <c r="AD209" s="65"/>
      <c r="AE209" s="68"/>
      <c r="AF209" s="66"/>
      <c r="AG209" s="68"/>
      <c r="AH209" s="67"/>
      <c r="AI209" s="69"/>
      <c r="AJ209" s="69"/>
      <c r="AK209" s="69"/>
      <c r="AL209" s="86"/>
      <c r="AM209" s="88"/>
      <c r="AN209" s="88"/>
      <c r="AO209" s="88"/>
      <c r="AP209" s="59"/>
      <c r="AQ209" s="68"/>
      <c r="AR209" s="59"/>
      <c r="AS209" s="68"/>
      <c r="AT209" s="59"/>
      <c r="AU209" s="68"/>
    </row>
    <row r="210" spans="1:47" ht="45" customHeight="1">
      <c r="A210" s="3" t="s">
        <v>148</v>
      </c>
      <c r="B210" s="3" t="s">
        <v>160</v>
      </c>
      <c r="C210" s="6">
        <v>46276</v>
      </c>
      <c r="D210" s="3" t="s">
        <v>1327</v>
      </c>
      <c r="E210" s="3" t="s">
        <v>1094</v>
      </c>
      <c r="F210" s="20">
        <f>LEN(G210)</f>
        <v>34</v>
      </c>
      <c r="G210" s="3" t="s">
        <v>1328</v>
      </c>
      <c r="H210" s="24" t="s">
        <v>1096</v>
      </c>
      <c r="I210" s="24" t="s">
        <v>857</v>
      </c>
      <c r="J210" s="3" t="s">
        <v>154</v>
      </c>
      <c r="K210" s="3" t="s">
        <v>154</v>
      </c>
      <c r="L210" s="3" t="s">
        <v>155</v>
      </c>
      <c r="M210" s="3" t="s">
        <v>1097</v>
      </c>
      <c r="N210" s="20">
        <v>37088</v>
      </c>
      <c r="O210" s="3" t="s">
        <v>1327</v>
      </c>
      <c r="P210" s="3" t="s">
        <v>157</v>
      </c>
      <c r="Q210" s="5"/>
      <c r="R210" s="3" t="s">
        <v>1329</v>
      </c>
      <c r="S210" s="6">
        <v>46287</v>
      </c>
      <c r="T210" s="24"/>
      <c r="U210" s="3" t="b">
        <v>1</v>
      </c>
      <c r="V210" s="3" t="s">
        <v>1100</v>
      </c>
      <c r="W210" s="64"/>
      <c r="X210" s="64"/>
      <c r="Y210" s="64"/>
      <c r="Z210" s="64"/>
      <c r="AA210" s="59" t="s">
        <v>1330</v>
      </c>
      <c r="AB210" s="65"/>
      <c r="AC210" s="68"/>
      <c r="AD210" s="65"/>
      <c r="AE210" s="68"/>
      <c r="AF210" s="66"/>
      <c r="AG210" s="68"/>
      <c r="AH210" s="67"/>
      <c r="AI210" s="69"/>
      <c r="AJ210" s="69"/>
      <c r="AK210" s="69"/>
      <c r="AL210" s="86"/>
      <c r="AM210" s="88"/>
      <c r="AN210" s="88"/>
      <c r="AO210" s="88"/>
      <c r="AP210" s="59"/>
      <c r="AQ210" s="68"/>
      <c r="AR210" s="59"/>
      <c r="AS210" s="68"/>
      <c r="AT210" s="59"/>
      <c r="AU210" s="68"/>
    </row>
    <row r="211" spans="1:47" ht="45" customHeight="1">
      <c r="A211" s="3" t="s">
        <v>148</v>
      </c>
      <c r="B211" s="3" t="s">
        <v>160</v>
      </c>
      <c r="C211" s="6">
        <v>46276</v>
      </c>
      <c r="D211" s="3" t="s">
        <v>1331</v>
      </c>
      <c r="E211" s="3" t="s">
        <v>1094</v>
      </c>
      <c r="F211" s="20">
        <f>LEN(G211)</f>
        <v>37</v>
      </c>
      <c r="G211" s="3" t="s">
        <v>1332</v>
      </c>
      <c r="H211" s="24" t="s">
        <v>1096</v>
      </c>
      <c r="I211" s="24" t="s">
        <v>857</v>
      </c>
      <c r="J211" s="3" t="s">
        <v>154</v>
      </c>
      <c r="K211" s="3" t="s">
        <v>154</v>
      </c>
      <c r="L211" s="3" t="s">
        <v>155</v>
      </c>
      <c r="M211" s="3" t="s">
        <v>1097</v>
      </c>
      <c r="N211" s="20">
        <v>37088</v>
      </c>
      <c r="O211" s="3" t="s">
        <v>1331</v>
      </c>
      <c r="P211" s="3" t="s">
        <v>157</v>
      </c>
      <c r="Q211" s="5"/>
      <c r="R211" s="3" t="s">
        <v>1333</v>
      </c>
      <c r="S211" s="6">
        <v>46287</v>
      </c>
      <c r="T211" s="24"/>
      <c r="U211" s="3" t="b">
        <v>1</v>
      </c>
      <c r="V211" s="3" t="s">
        <v>1100</v>
      </c>
      <c r="W211" s="64"/>
      <c r="X211" s="64"/>
      <c r="Y211" s="64"/>
      <c r="Z211" s="64"/>
      <c r="AA211" s="59" t="s">
        <v>1334</v>
      </c>
      <c r="AB211" s="65"/>
      <c r="AC211" s="68"/>
      <c r="AD211" s="65"/>
      <c r="AE211" s="68"/>
      <c r="AF211" s="66"/>
      <c r="AG211" s="68"/>
      <c r="AH211" s="67"/>
      <c r="AI211" s="69"/>
      <c r="AJ211" s="69"/>
      <c r="AK211" s="69"/>
      <c r="AL211" s="86"/>
      <c r="AM211" s="88"/>
      <c r="AN211" s="88"/>
      <c r="AO211" s="88"/>
      <c r="AP211" s="59"/>
      <c r="AQ211" s="68"/>
      <c r="AR211" s="59"/>
      <c r="AS211" s="68"/>
      <c r="AT211" s="59"/>
      <c r="AU211" s="68"/>
    </row>
    <row r="212" spans="1:47" ht="45" customHeight="1">
      <c r="A212" s="3" t="s">
        <v>148</v>
      </c>
      <c r="B212" s="3" t="s">
        <v>160</v>
      </c>
      <c r="C212" s="6">
        <v>46276</v>
      </c>
      <c r="D212" s="3" t="s">
        <v>1335</v>
      </c>
      <c r="E212" s="3" t="s">
        <v>1094</v>
      </c>
      <c r="F212" s="20">
        <f>LEN(G212)</f>
        <v>50</v>
      </c>
      <c r="G212" s="3" t="s">
        <v>1336</v>
      </c>
      <c r="H212" s="24" t="s">
        <v>1096</v>
      </c>
      <c r="I212" s="24" t="s">
        <v>857</v>
      </c>
      <c r="J212" s="3" t="s">
        <v>154</v>
      </c>
      <c r="K212" s="3" t="s">
        <v>154</v>
      </c>
      <c r="L212" s="3" t="s">
        <v>155</v>
      </c>
      <c r="M212" s="3" t="s">
        <v>1097</v>
      </c>
      <c r="N212" s="20">
        <v>37088</v>
      </c>
      <c r="O212" s="3" t="s">
        <v>1335</v>
      </c>
      <c r="P212" s="3" t="s">
        <v>157</v>
      </c>
      <c r="Q212" s="5"/>
      <c r="R212" s="3" t="s">
        <v>1337</v>
      </c>
      <c r="S212" s="6">
        <v>46287</v>
      </c>
      <c r="T212" s="24"/>
      <c r="U212" s="3" t="b">
        <v>1</v>
      </c>
      <c r="V212" s="3" t="s">
        <v>1100</v>
      </c>
      <c r="W212" s="64"/>
      <c r="X212" s="64"/>
      <c r="Y212" s="64"/>
      <c r="Z212" s="64"/>
      <c r="AA212" s="59" t="s">
        <v>1338</v>
      </c>
      <c r="AB212" s="65"/>
      <c r="AC212" s="68"/>
      <c r="AD212" s="65"/>
      <c r="AE212" s="68"/>
      <c r="AF212" s="66"/>
      <c r="AG212" s="68"/>
      <c r="AH212" s="67"/>
      <c r="AI212" s="69"/>
      <c r="AJ212" s="69"/>
      <c r="AK212" s="69"/>
      <c r="AL212" s="86"/>
      <c r="AM212" s="88"/>
      <c r="AN212" s="88"/>
      <c r="AO212" s="88"/>
      <c r="AP212" s="59"/>
      <c r="AQ212" s="68"/>
      <c r="AR212" s="59"/>
      <c r="AS212" s="68"/>
      <c r="AT212" s="59"/>
      <c r="AU212" s="68"/>
    </row>
    <row r="213" spans="1:47" ht="45" customHeight="1">
      <c r="A213" s="3" t="s">
        <v>148</v>
      </c>
      <c r="B213" s="3" t="s">
        <v>160</v>
      </c>
      <c r="C213" s="6">
        <v>46276</v>
      </c>
      <c r="D213" s="3" t="s">
        <v>1339</v>
      </c>
      <c r="E213" s="3" t="s">
        <v>1094</v>
      </c>
      <c r="F213" s="20">
        <f>LEN(G213)</f>
        <v>29</v>
      </c>
      <c r="G213" s="3" t="s">
        <v>1340</v>
      </c>
      <c r="H213" s="24" t="s">
        <v>1096</v>
      </c>
      <c r="I213" s="24" t="s">
        <v>857</v>
      </c>
      <c r="J213" s="3" t="s">
        <v>154</v>
      </c>
      <c r="K213" s="3" t="s">
        <v>154</v>
      </c>
      <c r="L213" s="3" t="s">
        <v>155</v>
      </c>
      <c r="M213" s="3" t="s">
        <v>1097</v>
      </c>
      <c r="N213" s="20">
        <v>37088</v>
      </c>
      <c r="O213" s="3" t="s">
        <v>1339</v>
      </c>
      <c r="P213" s="3" t="s">
        <v>157</v>
      </c>
      <c r="Q213" s="5"/>
      <c r="R213" s="3" t="s">
        <v>1341</v>
      </c>
      <c r="S213" s="6">
        <v>46287</v>
      </c>
      <c r="T213" s="24"/>
      <c r="U213" s="3" t="b">
        <v>1</v>
      </c>
      <c r="V213" s="3" t="s">
        <v>1100</v>
      </c>
      <c r="W213" s="64"/>
      <c r="X213" s="64"/>
      <c r="Y213" s="64"/>
      <c r="Z213" s="64"/>
      <c r="AA213" s="59" t="s">
        <v>1342</v>
      </c>
      <c r="AB213" s="65"/>
      <c r="AC213" s="68"/>
      <c r="AD213" s="65"/>
      <c r="AE213" s="68"/>
      <c r="AF213" s="66"/>
      <c r="AG213" s="68"/>
      <c r="AH213" s="67"/>
      <c r="AI213" s="69"/>
      <c r="AJ213" s="69"/>
      <c r="AK213" s="69"/>
      <c r="AL213" s="86"/>
      <c r="AM213" s="88"/>
      <c r="AN213" s="88"/>
      <c r="AO213" s="88"/>
      <c r="AP213" s="59"/>
      <c r="AQ213" s="68"/>
      <c r="AR213" s="59"/>
      <c r="AS213" s="68"/>
      <c r="AT213" s="59"/>
      <c r="AU213" s="68"/>
    </row>
    <row r="214" spans="1:47" ht="45" customHeight="1">
      <c r="A214" s="3" t="s">
        <v>148</v>
      </c>
      <c r="B214" s="3" t="s">
        <v>160</v>
      </c>
      <c r="C214" s="6">
        <v>46276</v>
      </c>
      <c r="D214" s="3" t="s">
        <v>1343</v>
      </c>
      <c r="E214" s="3" t="s">
        <v>1094</v>
      </c>
      <c r="F214" s="20">
        <f>LEN(G214)</f>
        <v>31</v>
      </c>
      <c r="G214" s="3" t="s">
        <v>1344</v>
      </c>
      <c r="H214" s="24" t="s">
        <v>1096</v>
      </c>
      <c r="I214" s="24" t="s">
        <v>857</v>
      </c>
      <c r="J214" s="3" t="s">
        <v>154</v>
      </c>
      <c r="K214" s="3" t="s">
        <v>154</v>
      </c>
      <c r="L214" s="3" t="s">
        <v>155</v>
      </c>
      <c r="M214" s="3" t="s">
        <v>1097</v>
      </c>
      <c r="N214" s="20">
        <v>37088</v>
      </c>
      <c r="O214" s="3" t="s">
        <v>1343</v>
      </c>
      <c r="P214" s="3" t="s">
        <v>157</v>
      </c>
      <c r="Q214" s="5"/>
      <c r="R214" s="3" t="s">
        <v>1345</v>
      </c>
      <c r="S214" s="6">
        <v>46287</v>
      </c>
      <c r="T214" s="24"/>
      <c r="U214" s="3" t="b">
        <v>1</v>
      </c>
      <c r="V214" s="3" t="s">
        <v>1100</v>
      </c>
      <c r="W214" s="64"/>
      <c r="X214" s="64"/>
      <c r="Y214" s="64"/>
      <c r="Z214" s="64"/>
      <c r="AA214" s="59" t="s">
        <v>1346</v>
      </c>
      <c r="AB214" s="65"/>
      <c r="AC214" s="68"/>
      <c r="AD214" s="65"/>
      <c r="AE214" s="68"/>
      <c r="AF214" s="66"/>
      <c r="AG214" s="68"/>
      <c r="AH214" s="67"/>
      <c r="AI214" s="69"/>
      <c r="AJ214" s="69"/>
      <c r="AK214" s="69"/>
      <c r="AL214" s="86"/>
      <c r="AM214" s="88"/>
      <c r="AN214" s="88"/>
      <c r="AO214" s="88"/>
      <c r="AP214" s="59"/>
      <c r="AQ214" s="68"/>
      <c r="AR214" s="59"/>
      <c r="AS214" s="68"/>
      <c r="AT214" s="59"/>
      <c r="AU214" s="68"/>
    </row>
    <row r="215" spans="1:47" ht="45" customHeight="1">
      <c r="A215" s="3" t="s">
        <v>148</v>
      </c>
      <c r="B215" s="3" t="s">
        <v>160</v>
      </c>
      <c r="C215" s="6">
        <v>46276</v>
      </c>
      <c r="D215" s="3" t="s">
        <v>1347</v>
      </c>
      <c r="E215" s="3" t="s">
        <v>1094</v>
      </c>
      <c r="F215" s="20">
        <f>LEN(G215)</f>
        <v>48</v>
      </c>
      <c r="G215" s="3" t="s">
        <v>1348</v>
      </c>
      <c r="H215" s="24" t="s">
        <v>1096</v>
      </c>
      <c r="I215" s="24" t="s">
        <v>857</v>
      </c>
      <c r="J215" s="3" t="s">
        <v>154</v>
      </c>
      <c r="K215" s="3" t="s">
        <v>154</v>
      </c>
      <c r="L215" s="3" t="s">
        <v>155</v>
      </c>
      <c r="M215" s="3" t="s">
        <v>1097</v>
      </c>
      <c r="N215" s="20">
        <v>37088</v>
      </c>
      <c r="O215" s="3" t="s">
        <v>1347</v>
      </c>
      <c r="P215" s="3" t="s">
        <v>157</v>
      </c>
      <c r="Q215" s="5"/>
      <c r="R215" s="3" t="s">
        <v>1349</v>
      </c>
      <c r="S215" s="6">
        <v>46287</v>
      </c>
      <c r="T215" s="24"/>
      <c r="U215" s="3" t="b">
        <v>1</v>
      </c>
      <c r="V215" s="3" t="s">
        <v>1100</v>
      </c>
      <c r="W215" s="64"/>
      <c r="X215" s="64"/>
      <c r="Y215" s="64"/>
      <c r="Z215" s="64"/>
      <c r="AA215" s="59" t="s">
        <v>1350</v>
      </c>
      <c r="AB215" s="65"/>
      <c r="AC215" s="68"/>
      <c r="AD215" s="65"/>
      <c r="AE215" s="68"/>
      <c r="AF215" s="66"/>
      <c r="AG215" s="68"/>
      <c r="AH215" s="67"/>
      <c r="AI215" s="69"/>
      <c r="AJ215" s="69"/>
      <c r="AK215" s="69"/>
      <c r="AL215" s="86"/>
      <c r="AM215" s="88"/>
      <c r="AN215" s="88"/>
      <c r="AO215" s="88"/>
      <c r="AP215" s="59"/>
      <c r="AQ215" s="68"/>
      <c r="AR215" s="59"/>
      <c r="AS215" s="68"/>
      <c r="AT215" s="59"/>
      <c r="AU215" s="68"/>
    </row>
    <row r="216" spans="1:47" ht="45" customHeight="1">
      <c r="A216" s="3" t="s">
        <v>148</v>
      </c>
      <c r="B216" s="3" t="s">
        <v>160</v>
      </c>
      <c r="C216" s="6">
        <v>46276</v>
      </c>
      <c r="D216" s="3" t="s">
        <v>1351</v>
      </c>
      <c r="E216" s="3" t="s">
        <v>1094</v>
      </c>
      <c r="F216" s="20">
        <f>LEN(G216)</f>
        <v>25</v>
      </c>
      <c r="G216" s="3" t="s">
        <v>1352</v>
      </c>
      <c r="H216" s="24" t="s">
        <v>1096</v>
      </c>
      <c r="I216" s="24" t="s">
        <v>857</v>
      </c>
      <c r="J216" s="3" t="s">
        <v>154</v>
      </c>
      <c r="K216" s="3" t="s">
        <v>154</v>
      </c>
      <c r="L216" s="3" t="s">
        <v>155</v>
      </c>
      <c r="M216" s="3" t="s">
        <v>1097</v>
      </c>
      <c r="N216" s="20">
        <v>37088</v>
      </c>
      <c r="O216" s="3" t="s">
        <v>1351</v>
      </c>
      <c r="P216" s="3" t="s">
        <v>157</v>
      </c>
      <c r="Q216" s="5"/>
      <c r="R216" s="3" t="s">
        <v>1353</v>
      </c>
      <c r="S216" s="6">
        <v>46288</v>
      </c>
      <c r="T216" s="24"/>
      <c r="U216" s="3" t="b">
        <v>1</v>
      </c>
      <c r="V216" s="3" t="s">
        <v>1100</v>
      </c>
      <c r="W216" s="64"/>
      <c r="X216" s="64"/>
      <c r="Y216" s="64"/>
      <c r="Z216" s="64"/>
      <c r="AA216" s="59" t="s">
        <v>1354</v>
      </c>
      <c r="AB216" s="65"/>
      <c r="AC216" s="68"/>
      <c r="AD216" s="65"/>
      <c r="AE216" s="68"/>
      <c r="AF216" s="66"/>
      <c r="AG216" s="68"/>
      <c r="AH216" s="67"/>
      <c r="AI216" s="69"/>
      <c r="AJ216" s="69"/>
      <c r="AK216" s="69"/>
      <c r="AL216" s="86"/>
      <c r="AM216" s="88"/>
      <c r="AN216" s="88"/>
      <c r="AO216" s="88"/>
      <c r="AP216" s="59"/>
      <c r="AQ216" s="68"/>
      <c r="AR216" s="59"/>
      <c r="AS216" s="68"/>
      <c r="AT216" s="59"/>
      <c r="AU216" s="68"/>
    </row>
    <row r="217" spans="1:47" ht="45" customHeight="1">
      <c r="A217" s="3" t="s">
        <v>148</v>
      </c>
      <c r="B217" s="3" t="s">
        <v>160</v>
      </c>
      <c r="C217" s="6">
        <v>46276</v>
      </c>
      <c r="D217" s="3" t="s">
        <v>1355</v>
      </c>
      <c r="E217" s="3" t="s">
        <v>1094</v>
      </c>
      <c r="F217" s="20">
        <f>LEN(G217)</f>
        <v>31</v>
      </c>
      <c r="G217" s="3" t="s">
        <v>1356</v>
      </c>
      <c r="H217" s="24" t="s">
        <v>1096</v>
      </c>
      <c r="I217" s="24" t="s">
        <v>857</v>
      </c>
      <c r="J217" s="3" t="s">
        <v>154</v>
      </c>
      <c r="K217" s="3" t="s">
        <v>154</v>
      </c>
      <c r="L217" s="3" t="s">
        <v>155</v>
      </c>
      <c r="M217" s="3" t="s">
        <v>1097</v>
      </c>
      <c r="N217" s="20">
        <v>37088</v>
      </c>
      <c r="O217" s="3" t="s">
        <v>1355</v>
      </c>
      <c r="P217" s="3" t="s">
        <v>157</v>
      </c>
      <c r="Q217" s="5"/>
      <c r="R217" s="3" t="s">
        <v>1357</v>
      </c>
      <c r="S217" s="6">
        <v>46288</v>
      </c>
      <c r="T217" s="24"/>
      <c r="U217" s="3" t="b">
        <v>1</v>
      </c>
      <c r="V217" s="3" t="s">
        <v>1100</v>
      </c>
      <c r="W217" s="64"/>
      <c r="X217" s="64"/>
      <c r="Y217" s="64"/>
      <c r="Z217" s="64"/>
      <c r="AA217" s="59" t="s">
        <v>1358</v>
      </c>
      <c r="AB217" s="65"/>
      <c r="AC217" s="68"/>
      <c r="AD217" s="65"/>
      <c r="AE217" s="68"/>
      <c r="AF217" s="66"/>
      <c r="AG217" s="68"/>
      <c r="AH217" s="67"/>
      <c r="AI217" s="69"/>
      <c r="AJ217" s="69"/>
      <c r="AK217" s="69"/>
      <c r="AL217" s="86"/>
      <c r="AM217" s="88"/>
      <c r="AN217" s="88"/>
      <c r="AO217" s="88"/>
      <c r="AP217" s="59"/>
      <c r="AQ217" s="68"/>
      <c r="AR217" s="59"/>
      <c r="AS217" s="68"/>
      <c r="AT217" s="59"/>
      <c r="AU217" s="68"/>
    </row>
    <row r="218" spans="1:47" ht="45" customHeight="1">
      <c r="A218" s="3" t="s">
        <v>148</v>
      </c>
      <c r="B218" s="3" t="s">
        <v>160</v>
      </c>
      <c r="C218" s="6">
        <v>46276</v>
      </c>
      <c r="D218" s="3" t="s">
        <v>1359</v>
      </c>
      <c r="E218" s="3" t="s">
        <v>1094</v>
      </c>
      <c r="F218" s="20">
        <f>LEN(G218)</f>
        <v>28</v>
      </c>
      <c r="G218" s="3" t="s">
        <v>1360</v>
      </c>
      <c r="H218" s="24" t="s">
        <v>1096</v>
      </c>
      <c r="I218" s="24" t="s">
        <v>857</v>
      </c>
      <c r="J218" s="3" t="s">
        <v>154</v>
      </c>
      <c r="K218" s="3" t="s">
        <v>154</v>
      </c>
      <c r="L218" s="3" t="s">
        <v>155</v>
      </c>
      <c r="M218" s="3" t="s">
        <v>1097</v>
      </c>
      <c r="N218" s="20">
        <v>37088</v>
      </c>
      <c r="O218" s="3" t="s">
        <v>1359</v>
      </c>
      <c r="P218" s="3" t="s">
        <v>157</v>
      </c>
      <c r="Q218" s="5"/>
      <c r="R218" s="3" t="s">
        <v>1361</v>
      </c>
      <c r="S218" s="6">
        <v>46288</v>
      </c>
      <c r="T218" s="24"/>
      <c r="U218" s="3" t="b">
        <v>1</v>
      </c>
      <c r="V218" s="3" t="s">
        <v>1100</v>
      </c>
      <c r="W218" s="64"/>
      <c r="X218" s="64"/>
      <c r="Y218" s="64"/>
      <c r="Z218" s="64"/>
      <c r="AA218" s="59" t="s">
        <v>1362</v>
      </c>
      <c r="AB218" s="65"/>
      <c r="AC218" s="68"/>
      <c r="AD218" s="65"/>
      <c r="AE218" s="68"/>
      <c r="AF218" s="66"/>
      <c r="AG218" s="68"/>
      <c r="AH218" s="67"/>
      <c r="AI218" s="69"/>
      <c r="AJ218" s="69"/>
      <c r="AK218" s="69"/>
      <c r="AL218" s="86"/>
      <c r="AM218" s="88"/>
      <c r="AN218" s="88"/>
      <c r="AO218" s="88"/>
      <c r="AP218" s="59"/>
      <c r="AQ218" s="68"/>
      <c r="AR218" s="59"/>
      <c r="AS218" s="68"/>
      <c r="AT218" s="59"/>
      <c r="AU218" s="68"/>
    </row>
    <row r="219" spans="1:47" ht="45" customHeight="1">
      <c r="A219" s="3" t="s">
        <v>148</v>
      </c>
      <c r="B219" s="3" t="s">
        <v>160</v>
      </c>
      <c r="C219" s="6">
        <v>46276</v>
      </c>
      <c r="D219" s="3" t="s">
        <v>1363</v>
      </c>
      <c r="E219" s="3" t="s">
        <v>1094</v>
      </c>
      <c r="F219" s="20">
        <f>LEN(G219)</f>
        <v>23</v>
      </c>
      <c r="G219" s="3" t="s">
        <v>1364</v>
      </c>
      <c r="H219" s="24" t="s">
        <v>1096</v>
      </c>
      <c r="I219" s="24" t="s">
        <v>857</v>
      </c>
      <c r="J219" s="3" t="s">
        <v>154</v>
      </c>
      <c r="K219" s="3" t="s">
        <v>154</v>
      </c>
      <c r="L219" s="3" t="s">
        <v>155</v>
      </c>
      <c r="M219" s="3" t="s">
        <v>1097</v>
      </c>
      <c r="N219" s="20">
        <v>37088</v>
      </c>
      <c r="O219" s="3" t="s">
        <v>1363</v>
      </c>
      <c r="P219" s="3" t="s">
        <v>157</v>
      </c>
      <c r="Q219" s="5"/>
      <c r="R219" s="3" t="s">
        <v>1365</v>
      </c>
      <c r="S219" s="6">
        <v>46288</v>
      </c>
      <c r="T219" s="24"/>
      <c r="U219" s="3" t="b">
        <v>1</v>
      </c>
      <c r="V219" s="3" t="s">
        <v>1100</v>
      </c>
      <c r="W219" s="64"/>
      <c r="X219" s="64"/>
      <c r="Y219" s="64"/>
      <c r="Z219" s="64"/>
      <c r="AA219" s="59" t="s">
        <v>1366</v>
      </c>
      <c r="AB219" s="65"/>
      <c r="AC219" s="68"/>
      <c r="AD219" s="65"/>
      <c r="AE219" s="68"/>
      <c r="AF219" s="66"/>
      <c r="AG219" s="68"/>
      <c r="AH219" s="67"/>
      <c r="AI219" s="69"/>
      <c r="AJ219" s="69"/>
      <c r="AK219" s="69"/>
      <c r="AL219" s="86"/>
      <c r="AM219" s="88"/>
      <c r="AN219" s="88"/>
      <c r="AO219" s="88"/>
      <c r="AP219" s="59"/>
      <c r="AQ219" s="68"/>
      <c r="AR219" s="59"/>
      <c r="AS219" s="68"/>
      <c r="AT219" s="59"/>
      <c r="AU219" s="68"/>
    </row>
    <row r="220" spans="1:47" ht="45" customHeight="1">
      <c r="A220" s="3" t="s">
        <v>148</v>
      </c>
      <c r="B220" s="3" t="s">
        <v>160</v>
      </c>
      <c r="C220" s="6">
        <v>46276</v>
      </c>
      <c r="D220" s="3" t="s">
        <v>1367</v>
      </c>
      <c r="E220" s="3" t="s">
        <v>1094</v>
      </c>
      <c r="F220" s="20">
        <f>LEN(G220)</f>
        <v>35</v>
      </c>
      <c r="G220" s="3" t="s">
        <v>1368</v>
      </c>
      <c r="H220" s="24" t="s">
        <v>1096</v>
      </c>
      <c r="I220" s="24" t="s">
        <v>857</v>
      </c>
      <c r="J220" s="3" t="s">
        <v>154</v>
      </c>
      <c r="K220" s="3" t="s">
        <v>154</v>
      </c>
      <c r="L220" s="3" t="s">
        <v>155</v>
      </c>
      <c r="M220" s="3" t="s">
        <v>1097</v>
      </c>
      <c r="N220" s="20">
        <v>37088</v>
      </c>
      <c r="O220" s="3" t="s">
        <v>1367</v>
      </c>
      <c r="P220" s="3" t="s">
        <v>157</v>
      </c>
      <c r="Q220" s="5"/>
      <c r="R220" s="3" t="s">
        <v>1369</v>
      </c>
      <c r="S220" s="6">
        <v>46288</v>
      </c>
      <c r="T220" s="24"/>
      <c r="U220" s="3" t="b">
        <v>1</v>
      </c>
      <c r="V220" s="3" t="s">
        <v>1100</v>
      </c>
      <c r="W220" s="64"/>
      <c r="X220" s="64"/>
      <c r="Y220" s="64"/>
      <c r="Z220" s="64"/>
      <c r="AA220" s="59" t="s">
        <v>1370</v>
      </c>
      <c r="AB220" s="65"/>
      <c r="AC220" s="68"/>
      <c r="AD220" s="65"/>
      <c r="AE220" s="68"/>
      <c r="AF220" s="66"/>
      <c r="AG220" s="68"/>
      <c r="AH220" s="67"/>
      <c r="AI220" s="69"/>
      <c r="AJ220" s="69"/>
      <c r="AK220" s="69"/>
      <c r="AL220" s="86"/>
      <c r="AM220" s="88"/>
      <c r="AN220" s="88"/>
      <c r="AO220" s="88"/>
      <c r="AP220" s="59"/>
      <c r="AQ220" s="68"/>
      <c r="AR220" s="59"/>
      <c r="AS220" s="68"/>
      <c r="AT220" s="59"/>
      <c r="AU220" s="68"/>
    </row>
    <row r="221" spans="1:47" ht="45" customHeight="1">
      <c r="A221" s="3" t="s">
        <v>148</v>
      </c>
      <c r="B221" s="3" t="s">
        <v>160</v>
      </c>
      <c r="C221" s="6">
        <v>46276</v>
      </c>
      <c r="D221" s="3" t="s">
        <v>1371</v>
      </c>
      <c r="E221" s="3" t="s">
        <v>1094</v>
      </c>
      <c r="F221" s="20">
        <f>LEN(G221)</f>
        <v>23</v>
      </c>
      <c r="G221" s="3" t="s">
        <v>1372</v>
      </c>
      <c r="H221" s="24" t="s">
        <v>1096</v>
      </c>
      <c r="I221" s="24" t="s">
        <v>857</v>
      </c>
      <c r="J221" s="3" t="s">
        <v>154</v>
      </c>
      <c r="K221" s="3" t="s">
        <v>154</v>
      </c>
      <c r="L221" s="3" t="s">
        <v>155</v>
      </c>
      <c r="M221" s="3" t="s">
        <v>1097</v>
      </c>
      <c r="N221" s="20">
        <v>37088</v>
      </c>
      <c r="O221" s="3" t="s">
        <v>1371</v>
      </c>
      <c r="P221" s="3" t="s">
        <v>157</v>
      </c>
      <c r="Q221" s="5"/>
      <c r="R221" s="3" t="s">
        <v>1373</v>
      </c>
      <c r="S221" s="6">
        <v>46288</v>
      </c>
      <c r="T221" s="24"/>
      <c r="U221" s="3" t="b">
        <v>1</v>
      </c>
      <c r="V221" s="3" t="s">
        <v>1100</v>
      </c>
      <c r="W221" s="64"/>
      <c r="X221" s="64"/>
      <c r="Y221" s="64"/>
      <c r="Z221" s="64"/>
      <c r="AA221" s="59" t="s">
        <v>1374</v>
      </c>
      <c r="AB221" s="65"/>
      <c r="AC221" s="68"/>
      <c r="AD221" s="65"/>
      <c r="AE221" s="68"/>
      <c r="AF221" s="66"/>
      <c r="AG221" s="68"/>
      <c r="AH221" s="67"/>
      <c r="AI221" s="69"/>
      <c r="AJ221" s="69"/>
      <c r="AK221" s="69"/>
      <c r="AL221" s="86"/>
      <c r="AM221" s="88"/>
      <c r="AN221" s="88"/>
      <c r="AO221" s="88"/>
      <c r="AP221" s="59"/>
      <c r="AQ221" s="68"/>
      <c r="AR221" s="59"/>
      <c r="AS221" s="68"/>
      <c r="AT221" s="59"/>
      <c r="AU221" s="68"/>
    </row>
    <row r="222" spans="1:47" ht="45" customHeight="1">
      <c r="A222" s="3" t="s">
        <v>148</v>
      </c>
      <c r="B222" s="3" t="s">
        <v>160</v>
      </c>
      <c r="C222" s="6">
        <v>46276</v>
      </c>
      <c r="D222" s="3" t="s">
        <v>1375</v>
      </c>
      <c r="E222" s="3" t="s">
        <v>1094</v>
      </c>
      <c r="F222" s="20">
        <f>LEN(G222)</f>
        <v>33</v>
      </c>
      <c r="G222" s="3" t="s">
        <v>1376</v>
      </c>
      <c r="H222" s="24" t="s">
        <v>1096</v>
      </c>
      <c r="I222" s="24" t="s">
        <v>857</v>
      </c>
      <c r="J222" s="3" t="s">
        <v>154</v>
      </c>
      <c r="K222" s="3" t="s">
        <v>154</v>
      </c>
      <c r="L222" s="3" t="s">
        <v>155</v>
      </c>
      <c r="M222" s="3" t="s">
        <v>1097</v>
      </c>
      <c r="N222" s="20">
        <v>37088</v>
      </c>
      <c r="O222" s="3" t="s">
        <v>1375</v>
      </c>
      <c r="P222" s="3" t="s">
        <v>157</v>
      </c>
      <c r="Q222" s="5"/>
      <c r="R222" s="3" t="s">
        <v>1377</v>
      </c>
      <c r="S222" s="6">
        <v>46288</v>
      </c>
      <c r="T222" s="24"/>
      <c r="U222" s="3" t="b">
        <v>1</v>
      </c>
      <c r="V222" s="3" t="s">
        <v>1100</v>
      </c>
      <c r="W222" s="64"/>
      <c r="X222" s="64"/>
      <c r="Y222" s="64"/>
      <c r="Z222" s="64"/>
      <c r="AA222" s="59" t="s">
        <v>1378</v>
      </c>
      <c r="AB222" s="65"/>
      <c r="AC222" s="68"/>
      <c r="AD222" s="65"/>
      <c r="AE222" s="68"/>
      <c r="AF222" s="66"/>
      <c r="AG222" s="68"/>
      <c r="AH222" s="67"/>
      <c r="AI222" s="69"/>
      <c r="AJ222" s="69"/>
      <c r="AK222" s="69"/>
      <c r="AL222" s="86"/>
      <c r="AM222" s="88"/>
      <c r="AN222" s="88"/>
      <c r="AO222" s="88"/>
      <c r="AP222" s="59"/>
      <c r="AQ222" s="68"/>
      <c r="AR222" s="59"/>
      <c r="AS222" s="68"/>
      <c r="AT222" s="59"/>
      <c r="AU222" s="68"/>
    </row>
    <row r="223" spans="1:47" ht="45" customHeight="1">
      <c r="A223" s="3" t="s">
        <v>148</v>
      </c>
      <c r="B223" s="3" t="s">
        <v>160</v>
      </c>
      <c r="C223" s="6">
        <v>46276</v>
      </c>
      <c r="D223" s="3" t="s">
        <v>1379</v>
      </c>
      <c r="E223" s="3" t="s">
        <v>1094</v>
      </c>
      <c r="F223" s="20">
        <f>LEN(G223)</f>
        <v>33</v>
      </c>
      <c r="G223" s="3" t="s">
        <v>1380</v>
      </c>
      <c r="H223" s="24" t="s">
        <v>1096</v>
      </c>
      <c r="I223" s="24" t="s">
        <v>857</v>
      </c>
      <c r="J223" s="3" t="s">
        <v>154</v>
      </c>
      <c r="K223" s="3" t="s">
        <v>154</v>
      </c>
      <c r="L223" s="3" t="s">
        <v>155</v>
      </c>
      <c r="M223" s="3" t="s">
        <v>1097</v>
      </c>
      <c r="N223" s="20">
        <v>37088</v>
      </c>
      <c r="O223" s="3" t="s">
        <v>1379</v>
      </c>
      <c r="P223" s="3" t="s">
        <v>157</v>
      </c>
      <c r="Q223" s="5"/>
      <c r="R223" s="3" t="s">
        <v>1381</v>
      </c>
      <c r="S223" s="6">
        <v>46288</v>
      </c>
      <c r="T223" s="24"/>
      <c r="U223" s="3" t="b">
        <v>1</v>
      </c>
      <c r="V223" s="3" t="s">
        <v>1100</v>
      </c>
      <c r="W223" s="64"/>
      <c r="X223" s="64"/>
      <c r="Y223" s="64"/>
      <c r="Z223" s="64"/>
      <c r="AA223" s="59" t="s">
        <v>1382</v>
      </c>
      <c r="AB223" s="65"/>
      <c r="AC223" s="68"/>
      <c r="AD223" s="65"/>
      <c r="AE223" s="68"/>
      <c r="AF223" s="66"/>
      <c r="AG223" s="68"/>
      <c r="AH223" s="67"/>
      <c r="AI223" s="69"/>
      <c r="AJ223" s="69"/>
      <c r="AK223" s="69"/>
      <c r="AL223" s="86"/>
      <c r="AM223" s="88"/>
      <c r="AN223" s="88"/>
      <c r="AO223" s="88"/>
      <c r="AP223" s="59"/>
      <c r="AQ223" s="68"/>
      <c r="AR223" s="59"/>
      <c r="AS223" s="68"/>
      <c r="AT223" s="59"/>
      <c r="AU223" s="68"/>
    </row>
    <row r="224" spans="1:47" ht="45" customHeight="1">
      <c r="A224" s="3" t="s">
        <v>148</v>
      </c>
      <c r="B224" s="3" t="s">
        <v>160</v>
      </c>
      <c r="C224" s="6">
        <v>46276</v>
      </c>
      <c r="D224" s="3" t="s">
        <v>1255</v>
      </c>
      <c r="E224" s="3" t="s">
        <v>1094</v>
      </c>
      <c r="F224" s="20">
        <f>LEN(G224)</f>
        <v>24</v>
      </c>
      <c r="G224" s="3" t="s">
        <v>1256</v>
      </c>
      <c r="H224" s="24" t="s">
        <v>1096</v>
      </c>
      <c r="I224" s="3" t="s">
        <v>857</v>
      </c>
      <c r="J224" s="3" t="s">
        <v>154</v>
      </c>
      <c r="K224" s="3" t="s">
        <v>154</v>
      </c>
      <c r="L224" s="3" t="s">
        <v>155</v>
      </c>
      <c r="M224" s="3" t="s">
        <v>1097</v>
      </c>
      <c r="N224" s="20">
        <v>37088</v>
      </c>
      <c r="O224" s="3" t="s">
        <v>1255</v>
      </c>
      <c r="P224" s="3" t="s">
        <v>157</v>
      </c>
      <c r="Q224" s="5"/>
      <c r="R224" s="3" t="s">
        <v>1257</v>
      </c>
      <c r="S224" s="3">
        <v>46288</v>
      </c>
      <c r="T224" s="24" t="s">
        <v>1383</v>
      </c>
      <c r="U224" s="3" t="b">
        <v>0</v>
      </c>
      <c r="V224" s="3" t="s">
        <v>1100</v>
      </c>
      <c r="W224" s="64"/>
      <c r="X224" s="64"/>
      <c r="Y224" s="64"/>
      <c r="Z224" s="64"/>
      <c r="AA224" s="59" t="s">
        <v>1258</v>
      </c>
      <c r="AB224" s="65"/>
      <c r="AC224" s="68"/>
      <c r="AD224" s="65"/>
      <c r="AE224" s="68"/>
      <c r="AF224" s="66"/>
      <c r="AG224" s="68"/>
      <c r="AH224" s="67"/>
      <c r="AI224" s="69"/>
      <c r="AJ224" s="69"/>
      <c r="AK224" s="69"/>
      <c r="AL224" s="86"/>
      <c r="AM224" s="88"/>
      <c r="AN224" s="88"/>
      <c r="AO224" s="88"/>
      <c r="AP224" s="59"/>
      <c r="AQ224" s="68"/>
      <c r="AR224" s="59"/>
      <c r="AS224" s="68"/>
      <c r="AT224" s="59"/>
      <c r="AU224" s="68"/>
    </row>
    <row r="225" spans="1:47" ht="45" customHeight="1">
      <c r="A225" s="3" t="s">
        <v>148</v>
      </c>
      <c r="B225" s="3" t="s">
        <v>160</v>
      </c>
      <c r="C225" s="6">
        <v>46276</v>
      </c>
      <c r="D225" s="3" t="s">
        <v>1384</v>
      </c>
      <c r="E225" s="3" t="s">
        <v>1094</v>
      </c>
      <c r="F225" s="20">
        <f>LEN(G225)</f>
        <v>34</v>
      </c>
      <c r="G225" s="3" t="s">
        <v>1385</v>
      </c>
      <c r="H225" s="24" t="s">
        <v>1096</v>
      </c>
      <c r="I225" s="24" t="s">
        <v>857</v>
      </c>
      <c r="J225" s="3" t="s">
        <v>154</v>
      </c>
      <c r="K225" s="3" t="s">
        <v>154</v>
      </c>
      <c r="L225" s="3" t="s">
        <v>155</v>
      </c>
      <c r="M225" s="3" t="s">
        <v>1097</v>
      </c>
      <c r="N225" s="20">
        <v>37088</v>
      </c>
      <c r="O225" s="3" t="s">
        <v>1384</v>
      </c>
      <c r="P225" s="3" t="s">
        <v>157</v>
      </c>
      <c r="Q225" s="5"/>
      <c r="R225" s="3" t="s">
        <v>1386</v>
      </c>
      <c r="S225" s="6">
        <v>46288</v>
      </c>
      <c r="T225" s="24"/>
      <c r="U225" s="3" t="b">
        <v>1</v>
      </c>
      <c r="V225" s="3" t="s">
        <v>1100</v>
      </c>
      <c r="W225" s="64"/>
      <c r="X225" s="64"/>
      <c r="Y225" s="64"/>
      <c r="Z225" s="64"/>
      <c r="AA225" s="59" t="s">
        <v>1387</v>
      </c>
      <c r="AB225" s="65"/>
      <c r="AC225" s="68"/>
      <c r="AD225" s="65"/>
      <c r="AE225" s="68"/>
      <c r="AF225" s="66"/>
      <c r="AG225" s="68"/>
      <c r="AH225" s="67"/>
      <c r="AI225" s="69"/>
      <c r="AJ225" s="69"/>
      <c r="AK225" s="69"/>
      <c r="AL225" s="86"/>
      <c r="AM225" s="88"/>
      <c r="AN225" s="88"/>
      <c r="AO225" s="88"/>
      <c r="AP225" s="59"/>
      <c r="AQ225" s="68"/>
      <c r="AR225" s="59"/>
      <c r="AS225" s="68"/>
      <c r="AT225" s="59"/>
      <c r="AU225" s="68"/>
    </row>
    <row r="226" spans="1:47" ht="45" customHeight="1">
      <c r="A226" s="3" t="s">
        <v>148</v>
      </c>
      <c r="B226" s="3" t="s">
        <v>160</v>
      </c>
      <c r="C226" s="6">
        <v>46276</v>
      </c>
      <c r="D226" s="3" t="s">
        <v>1388</v>
      </c>
      <c r="E226" s="3" t="s">
        <v>1094</v>
      </c>
      <c r="F226" s="20">
        <f>LEN(G226)</f>
        <v>34</v>
      </c>
      <c r="G226" s="3" t="s">
        <v>1389</v>
      </c>
      <c r="H226" s="24" t="s">
        <v>1096</v>
      </c>
      <c r="I226" s="24" t="s">
        <v>857</v>
      </c>
      <c r="J226" s="3" t="s">
        <v>154</v>
      </c>
      <c r="K226" s="3" t="s">
        <v>154</v>
      </c>
      <c r="L226" s="3" t="s">
        <v>155</v>
      </c>
      <c r="M226" s="3" t="s">
        <v>1097</v>
      </c>
      <c r="N226" s="20">
        <v>37088</v>
      </c>
      <c r="O226" s="3" t="s">
        <v>1388</v>
      </c>
      <c r="P226" s="3" t="s">
        <v>157</v>
      </c>
      <c r="Q226" s="5"/>
      <c r="R226" s="3" t="s">
        <v>1390</v>
      </c>
      <c r="S226" s="6">
        <v>46288</v>
      </c>
      <c r="T226" s="24"/>
      <c r="U226" s="3" t="b">
        <v>1</v>
      </c>
      <c r="V226" s="3" t="s">
        <v>1100</v>
      </c>
      <c r="W226" s="64"/>
      <c r="X226" s="64"/>
      <c r="Y226" s="64"/>
      <c r="Z226" s="64"/>
      <c r="AA226" s="59" t="s">
        <v>1391</v>
      </c>
      <c r="AB226" s="65"/>
      <c r="AC226" s="68"/>
      <c r="AD226" s="65"/>
      <c r="AE226" s="68"/>
      <c r="AF226" s="66"/>
      <c r="AG226" s="68"/>
      <c r="AH226" s="67"/>
      <c r="AI226" s="69"/>
      <c r="AJ226" s="69"/>
      <c r="AK226" s="69"/>
      <c r="AL226" s="86"/>
      <c r="AM226" s="88"/>
      <c r="AN226" s="88"/>
      <c r="AO226" s="88"/>
      <c r="AP226" s="59"/>
      <c r="AQ226" s="68"/>
      <c r="AR226" s="59"/>
      <c r="AS226" s="68"/>
      <c r="AT226" s="59"/>
      <c r="AU226" s="68"/>
    </row>
    <row r="227" spans="1:47" ht="45" customHeight="1">
      <c r="A227" s="3" t="s">
        <v>148</v>
      </c>
      <c r="B227" s="3" t="s">
        <v>160</v>
      </c>
      <c r="C227" s="6">
        <v>46276</v>
      </c>
      <c r="D227" s="3" t="s">
        <v>1392</v>
      </c>
      <c r="E227" s="3" t="s">
        <v>1094</v>
      </c>
      <c r="F227" s="20">
        <f>LEN(G227)</f>
        <v>34</v>
      </c>
      <c r="G227" s="3" t="s">
        <v>1393</v>
      </c>
      <c r="H227" s="24" t="s">
        <v>1096</v>
      </c>
      <c r="I227" s="24" t="s">
        <v>857</v>
      </c>
      <c r="J227" s="3" t="s">
        <v>154</v>
      </c>
      <c r="K227" s="3" t="s">
        <v>154</v>
      </c>
      <c r="L227" s="3" t="s">
        <v>155</v>
      </c>
      <c r="M227" s="3" t="s">
        <v>1097</v>
      </c>
      <c r="N227" s="20">
        <v>37088</v>
      </c>
      <c r="O227" s="3" t="s">
        <v>1392</v>
      </c>
      <c r="P227" s="3" t="s">
        <v>157</v>
      </c>
      <c r="Q227" s="5"/>
      <c r="R227" s="3" t="s">
        <v>1394</v>
      </c>
      <c r="S227" s="6">
        <v>46288</v>
      </c>
      <c r="T227" s="24"/>
      <c r="U227" s="3" t="b">
        <v>1</v>
      </c>
      <c r="V227" s="3" t="s">
        <v>1100</v>
      </c>
      <c r="W227" s="64"/>
      <c r="X227" s="64"/>
      <c r="Y227" s="64"/>
      <c r="Z227" s="64"/>
      <c r="AA227" s="59" t="s">
        <v>1395</v>
      </c>
      <c r="AB227" s="65"/>
      <c r="AC227" s="68"/>
      <c r="AD227" s="65"/>
      <c r="AE227" s="68"/>
      <c r="AF227" s="66"/>
      <c r="AG227" s="68"/>
      <c r="AH227" s="67"/>
      <c r="AI227" s="69"/>
      <c r="AJ227" s="69"/>
      <c r="AK227" s="69"/>
      <c r="AL227" s="86"/>
      <c r="AM227" s="88"/>
      <c r="AN227" s="88"/>
      <c r="AO227" s="88"/>
      <c r="AP227" s="59"/>
      <c r="AQ227" s="68"/>
      <c r="AR227" s="59"/>
      <c r="AS227" s="68"/>
      <c r="AT227" s="59"/>
      <c r="AU227" s="68"/>
    </row>
    <row r="228" spans="1:47" ht="45" customHeight="1">
      <c r="A228" s="3" t="s">
        <v>148</v>
      </c>
      <c r="B228" s="3" t="s">
        <v>160</v>
      </c>
      <c r="C228" s="6">
        <v>46276</v>
      </c>
      <c r="D228" s="3" t="s">
        <v>1396</v>
      </c>
      <c r="E228" s="3" t="s">
        <v>1094</v>
      </c>
      <c r="F228" s="20">
        <f>LEN(G228)</f>
        <v>28</v>
      </c>
      <c r="G228" s="3" t="s">
        <v>1397</v>
      </c>
      <c r="H228" s="24" t="s">
        <v>1096</v>
      </c>
      <c r="I228" s="24" t="s">
        <v>857</v>
      </c>
      <c r="J228" s="3" t="s">
        <v>154</v>
      </c>
      <c r="K228" s="3" t="s">
        <v>154</v>
      </c>
      <c r="L228" s="3" t="s">
        <v>155</v>
      </c>
      <c r="M228" s="3" t="s">
        <v>1097</v>
      </c>
      <c r="N228" s="20">
        <v>37088</v>
      </c>
      <c r="O228" s="3" t="s">
        <v>1396</v>
      </c>
      <c r="P228" s="3" t="s">
        <v>157</v>
      </c>
      <c r="Q228" s="5"/>
      <c r="R228" s="3" t="s">
        <v>1398</v>
      </c>
      <c r="S228" s="6">
        <v>46288</v>
      </c>
      <c r="T228" s="24"/>
      <c r="U228" s="3" t="b">
        <v>1</v>
      </c>
      <c r="V228" s="3" t="s">
        <v>1100</v>
      </c>
      <c r="W228" s="64"/>
      <c r="X228" s="64"/>
      <c r="Y228" s="64"/>
      <c r="Z228" s="64"/>
      <c r="AA228" s="59" t="s">
        <v>1399</v>
      </c>
      <c r="AB228" s="65"/>
      <c r="AC228" s="68"/>
      <c r="AD228" s="65"/>
      <c r="AE228" s="68"/>
      <c r="AF228" s="66"/>
      <c r="AG228" s="68"/>
      <c r="AH228" s="67"/>
      <c r="AI228" s="69"/>
      <c r="AJ228" s="69"/>
      <c r="AK228" s="69"/>
      <c r="AL228" s="86"/>
      <c r="AM228" s="88"/>
      <c r="AN228" s="88"/>
      <c r="AO228" s="88"/>
      <c r="AP228" s="59"/>
      <c r="AQ228" s="68"/>
      <c r="AR228" s="59"/>
      <c r="AS228" s="68"/>
      <c r="AT228" s="59"/>
      <c r="AU228" s="68"/>
    </row>
    <row r="229" spans="1:47" ht="45" customHeight="1">
      <c r="A229" s="3" t="s">
        <v>148</v>
      </c>
      <c r="B229" s="3" t="s">
        <v>160</v>
      </c>
      <c r="C229" s="6">
        <v>46276</v>
      </c>
      <c r="D229" s="3" t="s">
        <v>1400</v>
      </c>
      <c r="E229" s="3" t="s">
        <v>1094</v>
      </c>
      <c r="F229" s="20">
        <f>LEN(G229)</f>
        <v>28</v>
      </c>
      <c r="G229" s="3" t="s">
        <v>1401</v>
      </c>
      <c r="H229" s="24" t="s">
        <v>1096</v>
      </c>
      <c r="I229" s="24" t="s">
        <v>857</v>
      </c>
      <c r="J229" s="3" t="s">
        <v>154</v>
      </c>
      <c r="K229" s="3" t="s">
        <v>154</v>
      </c>
      <c r="L229" s="3" t="s">
        <v>155</v>
      </c>
      <c r="M229" s="3" t="s">
        <v>1097</v>
      </c>
      <c r="N229" s="20">
        <v>37088</v>
      </c>
      <c r="O229" s="3" t="s">
        <v>1400</v>
      </c>
      <c r="P229" s="3" t="s">
        <v>157</v>
      </c>
      <c r="Q229" s="5"/>
      <c r="R229" s="3" t="s">
        <v>1402</v>
      </c>
      <c r="S229" s="6">
        <v>46288</v>
      </c>
      <c r="T229" s="24"/>
      <c r="U229" s="3" t="b">
        <v>1</v>
      </c>
      <c r="V229" s="3" t="s">
        <v>1100</v>
      </c>
      <c r="W229" s="64"/>
      <c r="X229" s="64"/>
      <c r="Y229" s="64"/>
      <c r="Z229" s="64"/>
      <c r="AA229" s="59" t="s">
        <v>1403</v>
      </c>
      <c r="AB229" s="65"/>
      <c r="AC229" s="68"/>
      <c r="AD229" s="65"/>
      <c r="AE229" s="68"/>
      <c r="AF229" s="66"/>
      <c r="AG229" s="68"/>
      <c r="AH229" s="67"/>
      <c r="AI229" s="69"/>
      <c r="AJ229" s="69"/>
      <c r="AK229" s="69"/>
      <c r="AL229" s="86"/>
      <c r="AM229" s="88"/>
      <c r="AN229" s="88"/>
      <c r="AO229" s="88"/>
      <c r="AP229" s="59"/>
      <c r="AQ229" s="68"/>
      <c r="AR229" s="59"/>
      <c r="AS229" s="68"/>
      <c r="AT229" s="59"/>
      <c r="AU229" s="68"/>
    </row>
    <row r="230" spans="1:47" ht="45" customHeight="1">
      <c r="A230" s="3" t="s">
        <v>148</v>
      </c>
      <c r="B230" s="3" t="s">
        <v>160</v>
      </c>
      <c r="C230" s="6">
        <v>46276</v>
      </c>
      <c r="D230" s="3" t="s">
        <v>1404</v>
      </c>
      <c r="E230" s="3" t="s">
        <v>1094</v>
      </c>
      <c r="F230" s="20">
        <f>LEN(G230)</f>
        <v>40</v>
      </c>
      <c r="G230" s="3" t="s">
        <v>1405</v>
      </c>
      <c r="H230" s="24" t="s">
        <v>1096</v>
      </c>
      <c r="I230" s="24" t="s">
        <v>857</v>
      </c>
      <c r="J230" s="3" t="s">
        <v>154</v>
      </c>
      <c r="K230" s="3" t="s">
        <v>154</v>
      </c>
      <c r="L230" s="3" t="s">
        <v>155</v>
      </c>
      <c r="M230" s="3" t="s">
        <v>1097</v>
      </c>
      <c r="N230" s="20">
        <v>37088</v>
      </c>
      <c r="O230" s="3" t="s">
        <v>1404</v>
      </c>
      <c r="P230" s="3" t="s">
        <v>157</v>
      </c>
      <c r="Q230" s="5"/>
      <c r="R230" s="3" t="s">
        <v>1406</v>
      </c>
      <c r="S230" s="6">
        <v>46288</v>
      </c>
      <c r="T230" s="24"/>
      <c r="U230" s="3" t="b">
        <v>1</v>
      </c>
      <c r="V230" s="3" t="s">
        <v>1100</v>
      </c>
      <c r="W230" s="64"/>
      <c r="X230" s="64"/>
      <c r="Y230" s="64"/>
      <c r="Z230" s="64"/>
      <c r="AA230" s="59" t="s">
        <v>1407</v>
      </c>
      <c r="AB230" s="65"/>
      <c r="AC230" s="68"/>
      <c r="AD230" s="65"/>
      <c r="AE230" s="68"/>
      <c r="AF230" s="66"/>
      <c r="AG230" s="68"/>
      <c r="AH230" s="67"/>
      <c r="AI230" s="69"/>
      <c r="AJ230" s="69"/>
      <c r="AK230" s="69"/>
      <c r="AL230" s="86"/>
      <c r="AM230" s="88"/>
      <c r="AN230" s="88"/>
      <c r="AO230" s="88"/>
      <c r="AP230" s="59"/>
      <c r="AQ230" s="68"/>
      <c r="AR230" s="59"/>
      <c r="AS230" s="68"/>
      <c r="AT230" s="59"/>
      <c r="AU230" s="68"/>
    </row>
    <row r="231" spans="1:47" ht="45" customHeight="1">
      <c r="A231" s="3" t="s">
        <v>148</v>
      </c>
      <c r="B231" s="3" t="s">
        <v>160</v>
      </c>
      <c r="C231" s="6">
        <v>46276</v>
      </c>
      <c r="D231" s="3" t="s">
        <v>1408</v>
      </c>
      <c r="E231" s="3" t="s">
        <v>1094</v>
      </c>
      <c r="F231" s="20">
        <f>LEN(G231)</f>
        <v>21</v>
      </c>
      <c r="G231" s="3" t="s">
        <v>1409</v>
      </c>
      <c r="H231" s="24" t="s">
        <v>1096</v>
      </c>
      <c r="I231" s="24" t="s">
        <v>857</v>
      </c>
      <c r="J231" s="3" t="s">
        <v>154</v>
      </c>
      <c r="K231" s="3" t="s">
        <v>154</v>
      </c>
      <c r="L231" s="3" t="s">
        <v>155</v>
      </c>
      <c r="M231" s="3" t="s">
        <v>1097</v>
      </c>
      <c r="N231" s="20">
        <v>37088</v>
      </c>
      <c r="O231" s="3" t="s">
        <v>1408</v>
      </c>
      <c r="P231" s="3" t="s">
        <v>157</v>
      </c>
      <c r="Q231" s="5"/>
      <c r="R231" s="3" t="s">
        <v>1410</v>
      </c>
      <c r="S231" s="6">
        <v>46288</v>
      </c>
      <c r="T231" s="24"/>
      <c r="U231" s="3" t="b">
        <v>1</v>
      </c>
      <c r="V231" s="3" t="s">
        <v>1100</v>
      </c>
      <c r="W231" s="64"/>
      <c r="X231" s="64"/>
      <c r="Y231" s="64"/>
      <c r="Z231" s="64"/>
      <c r="AA231" s="59" t="s">
        <v>1411</v>
      </c>
      <c r="AB231" s="65"/>
      <c r="AC231" s="68"/>
      <c r="AD231" s="65"/>
      <c r="AE231" s="68"/>
      <c r="AF231" s="66"/>
      <c r="AG231" s="68"/>
      <c r="AH231" s="67"/>
      <c r="AI231" s="69"/>
      <c r="AJ231" s="69"/>
      <c r="AK231" s="69"/>
      <c r="AL231" s="86"/>
      <c r="AM231" s="88"/>
      <c r="AN231" s="88"/>
      <c r="AO231" s="88"/>
      <c r="AP231" s="59"/>
      <c r="AQ231" s="68"/>
      <c r="AR231" s="59"/>
      <c r="AS231" s="68"/>
      <c r="AT231" s="59"/>
      <c r="AU231" s="68"/>
    </row>
    <row r="232" spans="1:47" ht="45" customHeight="1">
      <c r="A232" s="3" t="s">
        <v>148</v>
      </c>
      <c r="B232" s="3" t="s">
        <v>160</v>
      </c>
      <c r="C232" s="6">
        <v>46276</v>
      </c>
      <c r="D232" s="3" t="s">
        <v>1412</v>
      </c>
      <c r="E232" s="3" t="s">
        <v>1094</v>
      </c>
      <c r="F232" s="20">
        <f>LEN(G232)</f>
        <v>21</v>
      </c>
      <c r="G232" s="3" t="s">
        <v>1413</v>
      </c>
      <c r="H232" s="24" t="s">
        <v>1096</v>
      </c>
      <c r="I232" s="24" t="s">
        <v>857</v>
      </c>
      <c r="J232" s="3" t="s">
        <v>154</v>
      </c>
      <c r="K232" s="3" t="s">
        <v>154</v>
      </c>
      <c r="L232" s="3" t="s">
        <v>155</v>
      </c>
      <c r="M232" s="3" t="s">
        <v>1097</v>
      </c>
      <c r="N232" s="20">
        <v>37088</v>
      </c>
      <c r="O232" s="3" t="s">
        <v>1412</v>
      </c>
      <c r="P232" s="3" t="s">
        <v>157</v>
      </c>
      <c r="Q232" s="5"/>
      <c r="R232" s="3" t="s">
        <v>1414</v>
      </c>
      <c r="S232" s="6">
        <v>46288</v>
      </c>
      <c r="T232" s="24"/>
      <c r="U232" s="3" t="b">
        <v>1</v>
      </c>
      <c r="V232" s="3" t="s">
        <v>1100</v>
      </c>
      <c r="W232" s="64"/>
      <c r="X232" s="64"/>
      <c r="Y232" s="64"/>
      <c r="Z232" s="64"/>
      <c r="AA232" s="59" t="s">
        <v>1415</v>
      </c>
      <c r="AB232" s="65"/>
      <c r="AC232" s="68"/>
      <c r="AD232" s="65"/>
      <c r="AE232" s="68"/>
      <c r="AF232" s="66"/>
      <c r="AG232" s="68"/>
      <c r="AH232" s="67"/>
      <c r="AI232" s="69"/>
      <c r="AJ232" s="69"/>
      <c r="AK232" s="69"/>
      <c r="AL232" s="86"/>
      <c r="AM232" s="88"/>
      <c r="AN232" s="88"/>
      <c r="AO232" s="88"/>
      <c r="AP232" s="59"/>
      <c r="AQ232" s="68"/>
      <c r="AR232" s="59"/>
      <c r="AS232" s="68"/>
      <c r="AT232" s="59"/>
      <c r="AU232" s="68"/>
    </row>
    <row r="233" spans="1:47" ht="45" customHeight="1">
      <c r="A233" s="3" t="s">
        <v>148</v>
      </c>
      <c r="B233" s="3" t="s">
        <v>160</v>
      </c>
      <c r="C233" s="6">
        <v>46276</v>
      </c>
      <c r="D233" s="3" t="s">
        <v>1416</v>
      </c>
      <c r="E233" s="3" t="s">
        <v>1094</v>
      </c>
      <c r="F233" s="20">
        <f>LEN(G233)</f>
        <v>26</v>
      </c>
      <c r="G233" s="3" t="s">
        <v>1417</v>
      </c>
      <c r="H233" s="24" t="s">
        <v>1096</v>
      </c>
      <c r="I233" s="24" t="s">
        <v>857</v>
      </c>
      <c r="J233" s="3" t="s">
        <v>154</v>
      </c>
      <c r="K233" s="3" t="s">
        <v>154</v>
      </c>
      <c r="L233" s="3" t="s">
        <v>155</v>
      </c>
      <c r="M233" s="3" t="s">
        <v>1097</v>
      </c>
      <c r="N233" s="20">
        <v>37088</v>
      </c>
      <c r="O233" s="3" t="s">
        <v>1416</v>
      </c>
      <c r="P233" s="3" t="s">
        <v>157</v>
      </c>
      <c r="Q233" s="5"/>
      <c r="R233" s="3" t="s">
        <v>1418</v>
      </c>
      <c r="S233" s="6">
        <v>46288</v>
      </c>
      <c r="T233" s="24"/>
      <c r="U233" s="3" t="b">
        <v>1</v>
      </c>
      <c r="V233" s="3" t="s">
        <v>1100</v>
      </c>
      <c r="W233" s="64"/>
      <c r="X233" s="64"/>
      <c r="Y233" s="64"/>
      <c r="Z233" s="64"/>
      <c r="AA233" s="59" t="s">
        <v>1419</v>
      </c>
      <c r="AB233" s="65"/>
      <c r="AC233" s="68"/>
      <c r="AD233" s="65"/>
      <c r="AE233" s="68"/>
      <c r="AF233" s="66"/>
      <c r="AG233" s="68"/>
      <c r="AH233" s="67"/>
      <c r="AI233" s="69"/>
      <c r="AJ233" s="69"/>
      <c r="AK233" s="69"/>
      <c r="AL233" s="86"/>
      <c r="AM233" s="88"/>
      <c r="AN233" s="88"/>
      <c r="AO233" s="88"/>
      <c r="AP233" s="59"/>
      <c r="AQ233" s="68"/>
      <c r="AR233" s="59"/>
      <c r="AS233" s="68"/>
      <c r="AT233" s="59"/>
      <c r="AU233" s="68"/>
    </row>
    <row r="234" spans="1:47" ht="45" customHeight="1">
      <c r="A234" s="3" t="s">
        <v>148</v>
      </c>
      <c r="B234" s="3" t="s">
        <v>160</v>
      </c>
      <c r="C234" s="6">
        <v>46276</v>
      </c>
      <c r="D234" s="3" t="s">
        <v>1420</v>
      </c>
      <c r="E234" s="3" t="s">
        <v>1094</v>
      </c>
      <c r="F234" s="20">
        <f>LEN(G234)</f>
        <v>26</v>
      </c>
      <c r="G234" s="3" t="s">
        <v>1421</v>
      </c>
      <c r="H234" s="24" t="s">
        <v>1096</v>
      </c>
      <c r="I234" s="24" t="s">
        <v>857</v>
      </c>
      <c r="J234" s="3" t="s">
        <v>154</v>
      </c>
      <c r="K234" s="3" t="s">
        <v>154</v>
      </c>
      <c r="L234" s="3" t="s">
        <v>155</v>
      </c>
      <c r="M234" s="3" t="s">
        <v>1097</v>
      </c>
      <c r="N234" s="20">
        <v>37088</v>
      </c>
      <c r="O234" s="3" t="s">
        <v>1420</v>
      </c>
      <c r="P234" s="3" t="s">
        <v>157</v>
      </c>
      <c r="Q234" s="5"/>
      <c r="R234" s="3" t="s">
        <v>1422</v>
      </c>
      <c r="S234" s="6">
        <v>46288</v>
      </c>
      <c r="T234" s="24"/>
      <c r="U234" s="3" t="b">
        <v>1</v>
      </c>
      <c r="V234" s="3" t="s">
        <v>1100</v>
      </c>
      <c r="W234" s="64"/>
      <c r="X234" s="64"/>
      <c r="Y234" s="64"/>
      <c r="Z234" s="64"/>
      <c r="AA234" s="59" t="s">
        <v>1423</v>
      </c>
      <c r="AB234" s="65"/>
      <c r="AC234" s="68"/>
      <c r="AD234" s="65"/>
      <c r="AE234" s="68"/>
      <c r="AF234" s="66"/>
      <c r="AG234" s="68"/>
      <c r="AH234" s="67"/>
      <c r="AI234" s="69"/>
      <c r="AJ234" s="69"/>
      <c r="AK234" s="69"/>
      <c r="AL234" s="86"/>
      <c r="AM234" s="88"/>
      <c r="AN234" s="88"/>
      <c r="AO234" s="88"/>
      <c r="AP234" s="59"/>
      <c r="AQ234" s="68"/>
      <c r="AR234" s="59"/>
      <c r="AS234" s="68"/>
      <c r="AT234" s="59"/>
      <c r="AU234" s="68"/>
    </row>
    <row r="235" spans="1:47" ht="45" customHeight="1">
      <c r="A235" s="3" t="s">
        <v>148</v>
      </c>
      <c r="B235" s="3" t="s">
        <v>160</v>
      </c>
      <c r="C235" s="6">
        <v>46276</v>
      </c>
      <c r="D235" s="3" t="s">
        <v>1424</v>
      </c>
      <c r="E235" s="3" t="s">
        <v>1094</v>
      </c>
      <c r="F235" s="20">
        <f>LEN(G235)</f>
        <v>19</v>
      </c>
      <c r="G235" s="3" t="s">
        <v>1425</v>
      </c>
      <c r="H235" s="24" t="s">
        <v>1096</v>
      </c>
      <c r="I235" s="24" t="s">
        <v>857</v>
      </c>
      <c r="J235" s="3" t="s">
        <v>154</v>
      </c>
      <c r="K235" s="3" t="s">
        <v>154</v>
      </c>
      <c r="L235" s="3" t="s">
        <v>155</v>
      </c>
      <c r="M235" s="3" t="s">
        <v>1097</v>
      </c>
      <c r="N235" s="20">
        <v>37088</v>
      </c>
      <c r="O235" s="3" t="s">
        <v>1424</v>
      </c>
      <c r="P235" s="3" t="s">
        <v>157</v>
      </c>
      <c r="Q235" s="5"/>
      <c r="R235" s="3" t="s">
        <v>1426</v>
      </c>
      <c r="S235" s="6">
        <v>46288</v>
      </c>
      <c r="T235" s="24"/>
      <c r="U235" s="3" t="b">
        <v>1</v>
      </c>
      <c r="V235" s="3" t="s">
        <v>1100</v>
      </c>
      <c r="W235" s="64"/>
      <c r="X235" s="64"/>
      <c r="Y235" s="64"/>
      <c r="Z235" s="64"/>
      <c r="AA235" s="59" t="s">
        <v>1427</v>
      </c>
      <c r="AB235" s="65"/>
      <c r="AC235" s="68"/>
      <c r="AD235" s="65"/>
      <c r="AE235" s="68"/>
      <c r="AF235" s="66"/>
      <c r="AG235" s="68"/>
      <c r="AH235" s="67"/>
      <c r="AI235" s="69"/>
      <c r="AJ235" s="69"/>
      <c r="AK235" s="69"/>
      <c r="AL235" s="86"/>
      <c r="AM235" s="88"/>
      <c r="AN235" s="88"/>
      <c r="AO235" s="88"/>
      <c r="AP235" s="59"/>
      <c r="AQ235" s="68"/>
      <c r="AR235" s="59"/>
      <c r="AS235" s="68"/>
      <c r="AT235" s="59"/>
      <c r="AU235" s="68"/>
    </row>
    <row r="236" spans="1:47" ht="45" customHeight="1">
      <c r="A236" s="3" t="s">
        <v>148</v>
      </c>
      <c r="B236" s="3" t="s">
        <v>160</v>
      </c>
      <c r="C236" s="6">
        <v>46276</v>
      </c>
      <c r="D236" s="3" t="s">
        <v>1428</v>
      </c>
      <c r="E236" s="3" t="s">
        <v>1094</v>
      </c>
      <c r="F236" s="20">
        <f>LEN(G236)</f>
        <v>25</v>
      </c>
      <c r="G236" s="3" t="s">
        <v>1429</v>
      </c>
      <c r="H236" s="24" t="s">
        <v>1096</v>
      </c>
      <c r="I236" s="24" t="s">
        <v>857</v>
      </c>
      <c r="J236" s="3" t="s">
        <v>154</v>
      </c>
      <c r="K236" s="3" t="s">
        <v>154</v>
      </c>
      <c r="L236" s="3" t="s">
        <v>155</v>
      </c>
      <c r="M236" s="3" t="s">
        <v>1097</v>
      </c>
      <c r="N236" s="20">
        <v>37088</v>
      </c>
      <c r="O236" s="3" t="s">
        <v>1428</v>
      </c>
      <c r="P236" s="3" t="s">
        <v>157</v>
      </c>
      <c r="Q236" s="5"/>
      <c r="R236" s="3" t="s">
        <v>1430</v>
      </c>
      <c r="S236" s="6">
        <v>46288</v>
      </c>
      <c r="T236" s="24"/>
      <c r="U236" s="3" t="b">
        <v>1</v>
      </c>
      <c r="V236" s="3" t="s">
        <v>1100</v>
      </c>
      <c r="W236" s="64"/>
      <c r="X236" s="64"/>
      <c r="Y236" s="64"/>
      <c r="Z236" s="64"/>
      <c r="AA236" s="59" t="s">
        <v>1431</v>
      </c>
      <c r="AB236" s="65"/>
      <c r="AC236" s="68"/>
      <c r="AD236" s="65"/>
      <c r="AE236" s="68"/>
      <c r="AF236" s="66"/>
      <c r="AG236" s="68"/>
      <c r="AH236" s="67"/>
      <c r="AI236" s="69"/>
      <c r="AJ236" s="69"/>
      <c r="AK236" s="69"/>
      <c r="AL236" s="86"/>
      <c r="AM236" s="88"/>
      <c r="AN236" s="88"/>
      <c r="AO236" s="88"/>
      <c r="AP236" s="59"/>
      <c r="AQ236" s="68"/>
      <c r="AR236" s="59"/>
      <c r="AS236" s="68"/>
      <c r="AT236" s="59"/>
      <c r="AU236" s="68"/>
    </row>
    <row r="237" spans="1:47" ht="45" customHeight="1">
      <c r="A237" s="3" t="s">
        <v>148</v>
      </c>
      <c r="B237" s="3" t="s">
        <v>160</v>
      </c>
      <c r="C237" s="6">
        <v>46276</v>
      </c>
      <c r="D237" s="3" t="s">
        <v>1432</v>
      </c>
      <c r="E237" s="3" t="s">
        <v>1094</v>
      </c>
      <c r="F237" s="20">
        <f>LEN(G237)</f>
        <v>28</v>
      </c>
      <c r="G237" s="3" t="s">
        <v>1433</v>
      </c>
      <c r="H237" s="24" t="s">
        <v>1096</v>
      </c>
      <c r="I237" s="24" t="s">
        <v>857</v>
      </c>
      <c r="J237" s="3" t="s">
        <v>154</v>
      </c>
      <c r="K237" s="3" t="s">
        <v>154</v>
      </c>
      <c r="L237" s="3" t="s">
        <v>155</v>
      </c>
      <c r="M237" s="3" t="s">
        <v>1097</v>
      </c>
      <c r="N237" s="20">
        <v>37088</v>
      </c>
      <c r="O237" s="3" t="s">
        <v>1432</v>
      </c>
      <c r="P237" s="3" t="s">
        <v>157</v>
      </c>
      <c r="Q237" s="5"/>
      <c r="R237" s="3" t="s">
        <v>1434</v>
      </c>
      <c r="S237" s="6">
        <v>46288</v>
      </c>
      <c r="T237" s="24"/>
      <c r="U237" s="3" t="b">
        <v>1</v>
      </c>
      <c r="V237" s="3" t="s">
        <v>1100</v>
      </c>
      <c r="W237" s="64"/>
      <c r="X237" s="64"/>
      <c r="Y237" s="64"/>
      <c r="Z237" s="64"/>
      <c r="AA237" s="59" t="s">
        <v>1435</v>
      </c>
      <c r="AB237" s="65"/>
      <c r="AC237" s="68"/>
      <c r="AD237" s="65"/>
      <c r="AE237" s="68"/>
      <c r="AF237" s="66"/>
      <c r="AG237" s="68"/>
      <c r="AH237" s="67"/>
      <c r="AI237" s="69"/>
      <c r="AJ237" s="69"/>
      <c r="AK237" s="69"/>
      <c r="AL237" s="86"/>
      <c r="AM237" s="88"/>
      <c r="AN237" s="88"/>
      <c r="AO237" s="88"/>
      <c r="AP237" s="59"/>
      <c r="AQ237" s="68"/>
      <c r="AR237" s="59"/>
      <c r="AS237" s="68"/>
      <c r="AT237" s="59"/>
      <c r="AU237" s="68"/>
    </row>
    <row r="238" spans="1:47" ht="45" customHeight="1">
      <c r="A238" s="3" t="s">
        <v>148</v>
      </c>
      <c r="B238" s="3" t="s">
        <v>160</v>
      </c>
      <c r="C238" s="6">
        <v>46276</v>
      </c>
      <c r="D238" s="3" t="s">
        <v>1436</v>
      </c>
      <c r="E238" s="3" t="s">
        <v>1094</v>
      </c>
      <c r="F238" s="20">
        <f>LEN(G238)</f>
        <v>40</v>
      </c>
      <c r="G238" s="3" t="s">
        <v>1437</v>
      </c>
      <c r="H238" s="24" t="s">
        <v>1096</v>
      </c>
      <c r="I238" s="24" t="s">
        <v>857</v>
      </c>
      <c r="J238" s="3" t="s">
        <v>154</v>
      </c>
      <c r="K238" s="3" t="s">
        <v>154</v>
      </c>
      <c r="L238" s="3" t="s">
        <v>155</v>
      </c>
      <c r="M238" s="3" t="s">
        <v>1097</v>
      </c>
      <c r="N238" s="20">
        <v>37088</v>
      </c>
      <c r="O238" s="3" t="s">
        <v>1436</v>
      </c>
      <c r="P238" s="3" t="s">
        <v>157</v>
      </c>
      <c r="Q238" s="5"/>
      <c r="R238" s="3" t="s">
        <v>1438</v>
      </c>
      <c r="S238" s="6">
        <v>46288</v>
      </c>
      <c r="T238" s="24"/>
      <c r="U238" s="3" t="b">
        <v>1</v>
      </c>
      <c r="V238" s="3" t="s">
        <v>1100</v>
      </c>
      <c r="W238" s="64"/>
      <c r="X238" s="64"/>
      <c r="Y238" s="64"/>
      <c r="Z238" s="64"/>
      <c r="AA238" s="59" t="s">
        <v>1439</v>
      </c>
      <c r="AB238" s="65"/>
      <c r="AC238" s="68"/>
      <c r="AD238" s="65"/>
      <c r="AE238" s="68"/>
      <c r="AF238" s="66"/>
      <c r="AG238" s="68"/>
      <c r="AH238" s="67"/>
      <c r="AI238" s="69"/>
      <c r="AJ238" s="69"/>
      <c r="AK238" s="69"/>
      <c r="AL238" s="86"/>
      <c r="AM238" s="88"/>
      <c r="AN238" s="88"/>
      <c r="AO238" s="88"/>
      <c r="AP238" s="59"/>
      <c r="AQ238" s="68"/>
      <c r="AR238" s="59"/>
      <c r="AS238" s="68"/>
      <c r="AT238" s="59"/>
      <c r="AU238" s="68"/>
    </row>
    <row r="239" spans="1:47" ht="98.25" customHeight="1">
      <c r="A239" s="3" t="s">
        <v>148</v>
      </c>
      <c r="B239" s="3" t="s">
        <v>160</v>
      </c>
      <c r="C239" s="6">
        <v>46276</v>
      </c>
      <c r="D239" s="3" t="s">
        <v>1440</v>
      </c>
      <c r="E239" s="3" t="s">
        <v>1094</v>
      </c>
      <c r="F239" s="20">
        <f>LEN(G239)</f>
        <v>13</v>
      </c>
      <c r="G239" s="3" t="s">
        <v>1441</v>
      </c>
      <c r="H239" s="24" t="s">
        <v>1096</v>
      </c>
      <c r="I239" s="3" t="s">
        <v>857</v>
      </c>
      <c r="J239" s="3" t="s">
        <v>154</v>
      </c>
      <c r="K239" s="3" t="s">
        <v>154</v>
      </c>
      <c r="L239" s="3" t="s">
        <v>155</v>
      </c>
      <c r="M239" s="3" t="s">
        <v>1097</v>
      </c>
      <c r="N239" s="20">
        <v>37088</v>
      </c>
      <c r="O239" s="3" t="s">
        <v>1440</v>
      </c>
      <c r="P239" s="3" t="s">
        <v>157</v>
      </c>
      <c r="Q239" s="5"/>
      <c r="R239" s="5"/>
      <c r="S239" s="5"/>
      <c r="T239" s="24"/>
      <c r="U239" s="3" t="b">
        <v>0</v>
      </c>
      <c r="V239" s="3" t="s">
        <v>1100</v>
      </c>
      <c r="W239" s="64"/>
      <c r="X239" s="64"/>
      <c r="Y239" s="64" t="s">
        <v>1118</v>
      </c>
      <c r="Z239" s="64"/>
      <c r="AA239" s="59" t="s">
        <v>784</v>
      </c>
      <c r="AB239" s="65"/>
      <c r="AC239" s="68" t="s">
        <v>213</v>
      </c>
      <c r="AD239" s="65" t="s">
        <v>1442</v>
      </c>
      <c r="AE239" s="68" t="s">
        <v>786</v>
      </c>
      <c r="AF239" s="66" t="s">
        <v>1441</v>
      </c>
      <c r="AG239" s="68" t="s">
        <v>1121</v>
      </c>
      <c r="AH239" s="67"/>
      <c r="AI239" s="69"/>
      <c r="AJ239" s="69"/>
      <c r="AK239" s="69"/>
      <c r="AL239" s="86" t="s">
        <v>218</v>
      </c>
      <c r="AM239" s="88"/>
      <c r="AN239" s="88"/>
      <c r="AO239" s="88"/>
      <c r="AP239" s="59" t="s">
        <v>74</v>
      </c>
      <c r="AQ239" s="68" t="s">
        <v>1443</v>
      </c>
      <c r="AR239" s="59"/>
      <c r="AS239" s="68" t="s">
        <v>788</v>
      </c>
      <c r="AT239" s="59" t="s">
        <v>857</v>
      </c>
      <c r="AU239" s="68" t="s">
        <v>1077</v>
      </c>
    </row>
    <row r="240" spans="1:47" ht="98.25" customHeight="1">
      <c r="A240" s="3" t="s">
        <v>148</v>
      </c>
      <c r="B240" s="3" t="s">
        <v>160</v>
      </c>
      <c r="C240" s="6">
        <v>46276</v>
      </c>
      <c r="D240" s="3" t="s">
        <v>1444</v>
      </c>
      <c r="E240" s="3" t="s">
        <v>1094</v>
      </c>
      <c r="F240" s="20">
        <f>LEN(G240)</f>
        <v>13</v>
      </c>
      <c r="G240" s="3" t="s">
        <v>1445</v>
      </c>
      <c r="H240" s="24" t="s">
        <v>1096</v>
      </c>
      <c r="I240" s="3" t="s">
        <v>857</v>
      </c>
      <c r="J240" s="3" t="s">
        <v>154</v>
      </c>
      <c r="K240" s="3" t="s">
        <v>154</v>
      </c>
      <c r="L240" s="3" t="s">
        <v>155</v>
      </c>
      <c r="M240" s="3" t="s">
        <v>1097</v>
      </c>
      <c r="N240" s="20">
        <v>37088</v>
      </c>
      <c r="O240" s="3" t="s">
        <v>1444</v>
      </c>
      <c r="P240" s="3" t="s">
        <v>157</v>
      </c>
      <c r="Q240" s="5"/>
      <c r="R240" s="5"/>
      <c r="S240" s="5"/>
      <c r="T240" s="24"/>
      <c r="U240" s="3" t="b">
        <v>0</v>
      </c>
      <c r="V240" s="3" t="s">
        <v>1100</v>
      </c>
      <c r="W240" s="64"/>
      <c r="X240" s="64"/>
      <c r="Y240" s="64" t="s">
        <v>1118</v>
      </c>
      <c r="Z240" s="64"/>
      <c r="AA240" s="59" t="s">
        <v>784</v>
      </c>
      <c r="AB240" s="65"/>
      <c r="AC240" s="68" t="s">
        <v>213</v>
      </c>
      <c r="AD240" s="65" t="s">
        <v>1446</v>
      </c>
      <c r="AE240" s="68" t="s">
        <v>786</v>
      </c>
      <c r="AF240" s="66" t="s">
        <v>1445</v>
      </c>
      <c r="AG240" s="68" t="s">
        <v>1121</v>
      </c>
      <c r="AH240" s="67"/>
      <c r="AI240" s="69"/>
      <c r="AJ240" s="69"/>
      <c r="AK240" s="69"/>
      <c r="AL240" s="86" t="s">
        <v>218</v>
      </c>
      <c r="AM240" s="88"/>
      <c r="AN240" s="88"/>
      <c r="AO240" s="88"/>
      <c r="AP240" s="59" t="s">
        <v>74</v>
      </c>
      <c r="AQ240" s="68" t="s">
        <v>1447</v>
      </c>
      <c r="AR240" s="59"/>
      <c r="AS240" s="68" t="s">
        <v>788</v>
      </c>
      <c r="AT240" s="59" t="s">
        <v>857</v>
      </c>
      <c r="AU240" s="68" t="s">
        <v>1077</v>
      </c>
    </row>
    <row r="241" spans="1:47" ht="98.25" customHeight="1">
      <c r="A241" s="3" t="s">
        <v>148</v>
      </c>
      <c r="B241" s="3" t="s">
        <v>160</v>
      </c>
      <c r="C241" s="6">
        <v>46276</v>
      </c>
      <c r="D241" s="3" t="s">
        <v>1448</v>
      </c>
      <c r="E241" s="3" t="s">
        <v>1094</v>
      </c>
      <c r="F241" s="20">
        <f>LEN(G241)</f>
        <v>20</v>
      </c>
      <c r="G241" s="3" t="s">
        <v>1449</v>
      </c>
      <c r="H241" s="24" t="s">
        <v>1096</v>
      </c>
      <c r="I241" s="3" t="s">
        <v>857</v>
      </c>
      <c r="J241" s="3" t="s">
        <v>154</v>
      </c>
      <c r="K241" s="3" t="s">
        <v>154</v>
      </c>
      <c r="L241" s="3" t="s">
        <v>155</v>
      </c>
      <c r="M241" s="3" t="s">
        <v>1097</v>
      </c>
      <c r="N241" s="20">
        <v>37088</v>
      </c>
      <c r="O241" s="3" t="s">
        <v>1448</v>
      </c>
      <c r="P241" s="3" t="s">
        <v>157</v>
      </c>
      <c r="Q241" s="5"/>
      <c r="R241" s="5"/>
      <c r="S241" s="5"/>
      <c r="T241" s="24"/>
      <c r="U241" s="3" t="b">
        <v>0</v>
      </c>
      <c r="V241" s="3" t="s">
        <v>1100</v>
      </c>
      <c r="W241" s="64"/>
      <c r="X241" s="64"/>
      <c r="Y241" s="64" t="s">
        <v>1118</v>
      </c>
      <c r="Z241" s="64"/>
      <c r="AA241" s="59" t="s">
        <v>784</v>
      </c>
      <c r="AB241" s="65"/>
      <c r="AC241" s="68" t="s">
        <v>213</v>
      </c>
      <c r="AD241" s="65" t="s">
        <v>1450</v>
      </c>
      <c r="AE241" s="68" t="s">
        <v>786</v>
      </c>
      <c r="AF241" s="66" t="s">
        <v>1449</v>
      </c>
      <c r="AG241" s="68" t="s">
        <v>1121</v>
      </c>
      <c r="AH241" s="67"/>
      <c r="AI241" s="69"/>
      <c r="AJ241" s="69"/>
      <c r="AK241" s="69"/>
      <c r="AL241" s="86" t="s">
        <v>218</v>
      </c>
      <c r="AM241" s="88"/>
      <c r="AN241" s="88"/>
      <c r="AO241" s="88"/>
      <c r="AP241" s="59" t="s">
        <v>74</v>
      </c>
      <c r="AQ241" s="68" t="s">
        <v>1451</v>
      </c>
      <c r="AR241" s="59"/>
      <c r="AS241" s="68" t="s">
        <v>788</v>
      </c>
      <c r="AT241" s="59" t="s">
        <v>857</v>
      </c>
      <c r="AU241" s="68" t="s">
        <v>1077</v>
      </c>
    </row>
    <row r="242" spans="1:47" ht="98.25" customHeight="1">
      <c r="A242" s="3" t="s">
        <v>148</v>
      </c>
      <c r="B242" s="3" t="s">
        <v>160</v>
      </c>
      <c r="C242" s="6">
        <v>46276</v>
      </c>
      <c r="D242" s="3" t="s">
        <v>1452</v>
      </c>
      <c r="E242" s="3" t="s">
        <v>1094</v>
      </c>
      <c r="F242" s="20">
        <f>LEN(G242)</f>
        <v>45</v>
      </c>
      <c r="G242" s="3" t="s">
        <v>1453</v>
      </c>
      <c r="H242" s="24" t="s">
        <v>1096</v>
      </c>
      <c r="I242" s="3" t="s">
        <v>857</v>
      </c>
      <c r="J242" s="3" t="s">
        <v>154</v>
      </c>
      <c r="K242" s="3" t="s">
        <v>154</v>
      </c>
      <c r="L242" s="3" t="s">
        <v>155</v>
      </c>
      <c r="M242" s="3" t="s">
        <v>1097</v>
      </c>
      <c r="N242" s="20">
        <v>37088</v>
      </c>
      <c r="O242" s="3" t="s">
        <v>1452</v>
      </c>
      <c r="P242" s="3" t="s">
        <v>157</v>
      </c>
      <c r="Q242" s="5"/>
      <c r="R242" s="5"/>
      <c r="S242" s="5"/>
      <c r="T242" s="24"/>
      <c r="U242" s="3" t="b">
        <v>0</v>
      </c>
      <c r="V242" s="3" t="s">
        <v>1100</v>
      </c>
      <c r="W242" s="64"/>
      <c r="X242" s="64"/>
      <c r="Y242" s="64" t="s">
        <v>1118</v>
      </c>
      <c r="Z242" s="64"/>
      <c r="AA242" s="59" t="s">
        <v>784</v>
      </c>
      <c r="AB242" s="65"/>
      <c r="AC242" s="68" t="s">
        <v>213</v>
      </c>
      <c r="AD242" s="65" t="s">
        <v>1454</v>
      </c>
      <c r="AE242" s="68" t="s">
        <v>786</v>
      </c>
      <c r="AF242" s="66" t="s">
        <v>1453</v>
      </c>
      <c r="AG242" s="68" t="s">
        <v>1121</v>
      </c>
      <c r="AH242" s="67"/>
      <c r="AI242" s="69"/>
      <c r="AJ242" s="69"/>
      <c r="AK242" s="69"/>
      <c r="AL242" s="86" t="s">
        <v>218</v>
      </c>
      <c r="AM242" s="88"/>
      <c r="AN242" s="88"/>
      <c r="AO242" s="88"/>
      <c r="AP242" s="59" t="s">
        <v>74</v>
      </c>
      <c r="AQ242" s="68" t="s">
        <v>1455</v>
      </c>
      <c r="AR242" s="59"/>
      <c r="AS242" s="68" t="s">
        <v>788</v>
      </c>
      <c r="AT242" s="59" t="s">
        <v>857</v>
      </c>
      <c r="AU242" s="68" t="s">
        <v>1077</v>
      </c>
    </row>
    <row r="243" spans="1:47" ht="98.25" customHeight="1">
      <c r="A243" s="3" t="s">
        <v>148</v>
      </c>
      <c r="B243" s="3" t="s">
        <v>160</v>
      </c>
      <c r="C243" s="6">
        <v>46276</v>
      </c>
      <c r="D243" s="3" t="s">
        <v>1456</v>
      </c>
      <c r="E243" s="3" t="s">
        <v>1094</v>
      </c>
      <c r="F243" s="20">
        <f>LEN(G243)</f>
        <v>22</v>
      </c>
      <c r="G243" s="3" t="s">
        <v>1457</v>
      </c>
      <c r="H243" s="24" t="s">
        <v>1096</v>
      </c>
      <c r="I243" s="3" t="s">
        <v>857</v>
      </c>
      <c r="J243" s="3" t="s">
        <v>154</v>
      </c>
      <c r="K243" s="3" t="s">
        <v>154</v>
      </c>
      <c r="L243" s="3" t="s">
        <v>155</v>
      </c>
      <c r="M243" s="3" t="s">
        <v>1097</v>
      </c>
      <c r="N243" s="20">
        <v>37088</v>
      </c>
      <c r="O243" s="3" t="s">
        <v>1456</v>
      </c>
      <c r="P243" s="3" t="s">
        <v>157</v>
      </c>
      <c r="Q243" s="5"/>
      <c r="R243" s="5"/>
      <c r="S243" s="5"/>
      <c r="T243" s="24"/>
      <c r="U243" s="3" t="b">
        <v>0</v>
      </c>
      <c r="V243" s="3" t="s">
        <v>1100</v>
      </c>
      <c r="W243" s="64"/>
      <c r="X243" s="64"/>
      <c r="Y243" s="64" t="s">
        <v>1118</v>
      </c>
      <c r="Z243" s="64"/>
      <c r="AA243" s="59" t="s">
        <v>784</v>
      </c>
      <c r="AB243" s="65"/>
      <c r="AC243" s="68" t="s">
        <v>213</v>
      </c>
      <c r="AD243" s="65" t="s">
        <v>1458</v>
      </c>
      <c r="AE243" s="68" t="s">
        <v>786</v>
      </c>
      <c r="AF243" s="66" t="s">
        <v>1457</v>
      </c>
      <c r="AG243" s="68" t="s">
        <v>1121</v>
      </c>
      <c r="AH243" s="67"/>
      <c r="AI243" s="69"/>
      <c r="AJ243" s="69"/>
      <c r="AK243" s="69"/>
      <c r="AL243" s="86" t="s">
        <v>218</v>
      </c>
      <c r="AM243" s="88"/>
      <c r="AN243" s="88"/>
      <c r="AO243" s="88"/>
      <c r="AP243" s="59" t="s">
        <v>74</v>
      </c>
      <c r="AQ243" s="68" t="s">
        <v>1459</v>
      </c>
      <c r="AR243" s="59"/>
      <c r="AS243" s="68" t="s">
        <v>788</v>
      </c>
      <c r="AT243" s="59" t="s">
        <v>857</v>
      </c>
      <c r="AU243" s="68" t="s">
        <v>1077</v>
      </c>
    </row>
    <row r="244" spans="1:47" ht="98.25" customHeight="1">
      <c r="A244" s="3" t="s">
        <v>148</v>
      </c>
      <c r="B244" s="3" t="s">
        <v>160</v>
      </c>
      <c r="C244" s="6">
        <v>46276</v>
      </c>
      <c r="D244" s="3" t="s">
        <v>1460</v>
      </c>
      <c r="E244" s="3" t="s">
        <v>1094</v>
      </c>
      <c r="F244" s="20">
        <f>LEN(G244)</f>
        <v>13</v>
      </c>
      <c r="G244" s="3" t="s">
        <v>1461</v>
      </c>
      <c r="H244" s="24" t="s">
        <v>1096</v>
      </c>
      <c r="I244" s="3" t="s">
        <v>857</v>
      </c>
      <c r="J244" s="3" t="s">
        <v>154</v>
      </c>
      <c r="K244" s="3" t="s">
        <v>154</v>
      </c>
      <c r="L244" s="3" t="s">
        <v>155</v>
      </c>
      <c r="M244" s="3" t="s">
        <v>1097</v>
      </c>
      <c r="N244" s="20">
        <v>37088</v>
      </c>
      <c r="O244" s="3" t="s">
        <v>1460</v>
      </c>
      <c r="P244" s="3" t="s">
        <v>157</v>
      </c>
      <c r="Q244" s="5"/>
      <c r="R244" s="5"/>
      <c r="S244" s="5"/>
      <c r="T244" s="24"/>
      <c r="U244" s="3" t="b">
        <v>0</v>
      </c>
      <c r="V244" s="3" t="s">
        <v>1100</v>
      </c>
      <c r="W244" s="64"/>
      <c r="X244" s="64"/>
      <c r="Y244" s="64" t="s">
        <v>1118</v>
      </c>
      <c r="Z244" s="64"/>
      <c r="AA244" s="59" t="s">
        <v>784</v>
      </c>
      <c r="AB244" s="65"/>
      <c r="AC244" s="68" t="s">
        <v>213</v>
      </c>
      <c r="AD244" s="65" t="s">
        <v>1462</v>
      </c>
      <c r="AE244" s="68" t="s">
        <v>786</v>
      </c>
      <c r="AF244" s="66" t="s">
        <v>1461</v>
      </c>
      <c r="AG244" s="68" t="s">
        <v>1121</v>
      </c>
      <c r="AH244" s="67"/>
      <c r="AI244" s="69"/>
      <c r="AJ244" s="69"/>
      <c r="AK244" s="69"/>
      <c r="AL244" s="86" t="s">
        <v>218</v>
      </c>
      <c r="AM244" s="88"/>
      <c r="AN244" s="88"/>
      <c r="AO244" s="88"/>
      <c r="AP244" s="59" t="s">
        <v>74</v>
      </c>
      <c r="AQ244" s="68" t="s">
        <v>1463</v>
      </c>
      <c r="AR244" s="59"/>
      <c r="AS244" s="68" t="s">
        <v>788</v>
      </c>
      <c r="AT244" s="59" t="s">
        <v>857</v>
      </c>
      <c r="AU244" s="68" t="s">
        <v>1077</v>
      </c>
    </row>
    <row r="245" spans="1:47" ht="98.25" customHeight="1">
      <c r="A245" s="3" t="s">
        <v>148</v>
      </c>
      <c r="B245" s="3" t="s">
        <v>160</v>
      </c>
      <c r="C245" s="6">
        <v>46276</v>
      </c>
      <c r="D245" s="3" t="s">
        <v>1464</v>
      </c>
      <c r="E245" s="3" t="s">
        <v>1094</v>
      </c>
      <c r="F245" s="20">
        <f>LEN(G245)</f>
        <v>22</v>
      </c>
      <c r="G245" s="3" t="s">
        <v>1465</v>
      </c>
      <c r="H245" s="24" t="s">
        <v>1096</v>
      </c>
      <c r="I245" s="3" t="s">
        <v>857</v>
      </c>
      <c r="J245" s="3" t="s">
        <v>154</v>
      </c>
      <c r="K245" s="3" t="s">
        <v>154</v>
      </c>
      <c r="L245" s="3" t="s">
        <v>155</v>
      </c>
      <c r="M245" s="3" t="s">
        <v>1097</v>
      </c>
      <c r="N245" s="20">
        <v>37088</v>
      </c>
      <c r="O245" s="3" t="s">
        <v>1464</v>
      </c>
      <c r="P245" s="3" t="s">
        <v>157</v>
      </c>
      <c r="Q245" s="5"/>
      <c r="R245" s="5"/>
      <c r="S245" s="5"/>
      <c r="T245" s="24"/>
      <c r="U245" s="3" t="b">
        <v>0</v>
      </c>
      <c r="V245" s="3" t="s">
        <v>1100</v>
      </c>
      <c r="W245" s="64"/>
      <c r="X245" s="64"/>
      <c r="Y245" s="64" t="s">
        <v>1118</v>
      </c>
      <c r="Z245" s="64"/>
      <c r="AA245" s="59" t="s">
        <v>784</v>
      </c>
      <c r="AB245" s="65"/>
      <c r="AC245" s="68" t="s">
        <v>213</v>
      </c>
      <c r="AD245" s="65" t="s">
        <v>1466</v>
      </c>
      <c r="AE245" s="68" t="s">
        <v>786</v>
      </c>
      <c r="AF245" s="66" t="s">
        <v>1465</v>
      </c>
      <c r="AG245" s="68" t="s">
        <v>1121</v>
      </c>
      <c r="AH245" s="67"/>
      <c r="AI245" s="69"/>
      <c r="AJ245" s="69"/>
      <c r="AK245" s="69"/>
      <c r="AL245" s="86" t="s">
        <v>218</v>
      </c>
      <c r="AM245" s="88"/>
      <c r="AN245" s="88"/>
      <c r="AO245" s="88"/>
      <c r="AP245" s="59" t="s">
        <v>74</v>
      </c>
      <c r="AQ245" s="68" t="s">
        <v>1467</v>
      </c>
      <c r="AR245" s="59"/>
      <c r="AS245" s="68" t="s">
        <v>788</v>
      </c>
      <c r="AT245" s="59" t="s">
        <v>857</v>
      </c>
      <c r="AU245" s="68" t="s">
        <v>1077</v>
      </c>
    </row>
    <row r="246" spans="1:47" ht="98.25" customHeight="1">
      <c r="A246" s="3" t="s">
        <v>148</v>
      </c>
      <c r="B246" s="3" t="s">
        <v>160</v>
      </c>
      <c r="C246" s="6">
        <v>46276</v>
      </c>
      <c r="D246" s="3" t="s">
        <v>1468</v>
      </c>
      <c r="E246" s="3" t="s">
        <v>1094</v>
      </c>
      <c r="F246" s="20">
        <f>LEN(G246)</f>
        <v>22</v>
      </c>
      <c r="G246" s="3" t="s">
        <v>1469</v>
      </c>
      <c r="H246" s="24" t="s">
        <v>1096</v>
      </c>
      <c r="I246" s="3" t="s">
        <v>857</v>
      </c>
      <c r="J246" s="3" t="s">
        <v>154</v>
      </c>
      <c r="K246" s="3" t="s">
        <v>154</v>
      </c>
      <c r="L246" s="3" t="s">
        <v>155</v>
      </c>
      <c r="M246" s="3" t="s">
        <v>1097</v>
      </c>
      <c r="N246" s="20">
        <v>37088</v>
      </c>
      <c r="O246" s="3" t="s">
        <v>1468</v>
      </c>
      <c r="P246" s="3" t="s">
        <v>157</v>
      </c>
      <c r="Q246" s="5"/>
      <c r="R246" s="5"/>
      <c r="S246" s="5"/>
      <c r="T246" s="24"/>
      <c r="U246" s="3" t="b">
        <v>0</v>
      </c>
      <c r="V246" s="3" t="s">
        <v>1100</v>
      </c>
      <c r="W246" s="64"/>
      <c r="X246" s="64"/>
      <c r="Y246" s="64" t="s">
        <v>1118</v>
      </c>
      <c r="Z246" s="64"/>
      <c r="AA246" s="59" t="s">
        <v>784</v>
      </c>
      <c r="AB246" s="65"/>
      <c r="AC246" s="68" t="s">
        <v>213</v>
      </c>
      <c r="AD246" s="65" t="s">
        <v>1470</v>
      </c>
      <c r="AE246" s="68" t="s">
        <v>786</v>
      </c>
      <c r="AF246" s="66" t="s">
        <v>1469</v>
      </c>
      <c r="AG246" s="68" t="s">
        <v>1121</v>
      </c>
      <c r="AH246" s="67"/>
      <c r="AI246" s="69"/>
      <c r="AJ246" s="69"/>
      <c r="AK246" s="69"/>
      <c r="AL246" s="86" t="s">
        <v>218</v>
      </c>
      <c r="AM246" s="88"/>
      <c r="AN246" s="88"/>
      <c r="AO246" s="88"/>
      <c r="AP246" s="59" t="s">
        <v>74</v>
      </c>
      <c r="AQ246" s="68" t="s">
        <v>1471</v>
      </c>
      <c r="AR246" s="59"/>
      <c r="AS246" s="68" t="s">
        <v>788</v>
      </c>
      <c r="AT246" s="59" t="s">
        <v>857</v>
      </c>
      <c r="AU246" s="68" t="s">
        <v>1077</v>
      </c>
    </row>
    <row r="247" spans="1:47" ht="98.25" customHeight="1">
      <c r="A247" s="3" t="s">
        <v>148</v>
      </c>
      <c r="B247" s="3" t="s">
        <v>160</v>
      </c>
      <c r="C247" s="6">
        <v>46276</v>
      </c>
      <c r="D247" s="3" t="s">
        <v>1472</v>
      </c>
      <c r="E247" s="3" t="s">
        <v>1094</v>
      </c>
      <c r="F247" s="20">
        <f>LEN(G247)</f>
        <v>21</v>
      </c>
      <c r="G247" s="3" t="s">
        <v>1473</v>
      </c>
      <c r="H247" s="24" t="s">
        <v>1096</v>
      </c>
      <c r="I247" s="3" t="s">
        <v>857</v>
      </c>
      <c r="J247" s="3" t="s">
        <v>154</v>
      </c>
      <c r="K247" s="3" t="s">
        <v>154</v>
      </c>
      <c r="L247" s="3" t="s">
        <v>155</v>
      </c>
      <c r="M247" s="3" t="s">
        <v>1097</v>
      </c>
      <c r="N247" s="20">
        <v>37088</v>
      </c>
      <c r="O247" s="3" t="s">
        <v>1472</v>
      </c>
      <c r="P247" s="3" t="s">
        <v>157</v>
      </c>
      <c r="Q247" s="5"/>
      <c r="R247" s="5"/>
      <c r="S247" s="5"/>
      <c r="T247" s="24"/>
      <c r="U247" s="3" t="b">
        <v>0</v>
      </c>
      <c r="V247" s="3" t="s">
        <v>1100</v>
      </c>
      <c r="W247" s="64"/>
      <c r="X247" s="64"/>
      <c r="Y247" s="64" t="s">
        <v>1118</v>
      </c>
      <c r="Z247" s="64"/>
      <c r="AA247" s="59" t="s">
        <v>784</v>
      </c>
      <c r="AB247" s="65"/>
      <c r="AC247" s="68" t="s">
        <v>213</v>
      </c>
      <c r="AD247" s="65" t="s">
        <v>1474</v>
      </c>
      <c r="AE247" s="68" t="s">
        <v>786</v>
      </c>
      <c r="AF247" s="66" t="s">
        <v>1473</v>
      </c>
      <c r="AG247" s="68" t="s">
        <v>1121</v>
      </c>
      <c r="AH247" s="67"/>
      <c r="AI247" s="69"/>
      <c r="AJ247" s="69"/>
      <c r="AK247" s="69"/>
      <c r="AL247" s="86" t="s">
        <v>218</v>
      </c>
      <c r="AM247" s="88"/>
      <c r="AN247" s="88"/>
      <c r="AO247" s="88"/>
      <c r="AP247" s="59" t="s">
        <v>74</v>
      </c>
      <c r="AQ247" s="68" t="s">
        <v>1475</v>
      </c>
      <c r="AR247" s="59"/>
      <c r="AS247" s="68" t="s">
        <v>788</v>
      </c>
      <c r="AT247" s="59" t="s">
        <v>857</v>
      </c>
      <c r="AU247" s="68" t="s">
        <v>1077</v>
      </c>
    </row>
    <row r="248" spans="1:47" ht="98.25" customHeight="1">
      <c r="A248" s="3" t="s">
        <v>148</v>
      </c>
      <c r="B248" s="3" t="s">
        <v>160</v>
      </c>
      <c r="C248" s="6">
        <v>46276</v>
      </c>
      <c r="D248" s="3" t="s">
        <v>1476</v>
      </c>
      <c r="E248" s="3" t="s">
        <v>1094</v>
      </c>
      <c r="F248" s="20">
        <f>LEN(G248)</f>
        <v>24</v>
      </c>
      <c r="G248" s="3" t="s">
        <v>1477</v>
      </c>
      <c r="H248" s="24" t="s">
        <v>1096</v>
      </c>
      <c r="I248" s="3" t="s">
        <v>857</v>
      </c>
      <c r="J248" s="3" t="s">
        <v>154</v>
      </c>
      <c r="K248" s="3" t="s">
        <v>154</v>
      </c>
      <c r="L248" s="3" t="s">
        <v>155</v>
      </c>
      <c r="M248" s="3" t="s">
        <v>1097</v>
      </c>
      <c r="N248" s="20">
        <v>37088</v>
      </c>
      <c r="O248" s="3" t="s">
        <v>1476</v>
      </c>
      <c r="P248" s="3" t="s">
        <v>157</v>
      </c>
      <c r="Q248" s="5"/>
      <c r="R248" s="5"/>
      <c r="S248" s="5"/>
      <c r="T248" s="24"/>
      <c r="U248" s="3" t="b">
        <v>0</v>
      </c>
      <c r="V248" s="3" t="s">
        <v>1100</v>
      </c>
      <c r="W248" s="64"/>
      <c r="X248" s="64"/>
      <c r="Y248" s="64" t="s">
        <v>1118</v>
      </c>
      <c r="Z248" s="64"/>
      <c r="AA248" s="59" t="s">
        <v>784</v>
      </c>
      <c r="AB248" s="65"/>
      <c r="AC248" s="68" t="s">
        <v>213</v>
      </c>
      <c r="AD248" s="65" t="s">
        <v>1478</v>
      </c>
      <c r="AE248" s="68" t="s">
        <v>786</v>
      </c>
      <c r="AF248" s="66" t="s">
        <v>1477</v>
      </c>
      <c r="AG248" s="68" t="s">
        <v>1121</v>
      </c>
      <c r="AH248" s="67"/>
      <c r="AI248" s="69"/>
      <c r="AJ248" s="69"/>
      <c r="AK248" s="69"/>
      <c r="AL248" s="86" t="s">
        <v>218</v>
      </c>
      <c r="AM248" s="88"/>
      <c r="AN248" s="88"/>
      <c r="AO248" s="88"/>
      <c r="AP248" s="59" t="s">
        <v>74</v>
      </c>
      <c r="AQ248" s="68" t="s">
        <v>1479</v>
      </c>
      <c r="AR248" s="59"/>
      <c r="AS248" s="68" t="s">
        <v>788</v>
      </c>
      <c r="AT248" s="59" t="s">
        <v>857</v>
      </c>
      <c r="AU248" s="68" t="s">
        <v>1077</v>
      </c>
    </row>
    <row r="249" spans="1:47" ht="87" customHeight="1">
      <c r="A249" s="3" t="s">
        <v>148</v>
      </c>
      <c r="B249" s="3" t="s">
        <v>160</v>
      </c>
      <c r="C249" s="6">
        <v>46276</v>
      </c>
      <c r="D249" s="3" t="s">
        <v>1480</v>
      </c>
      <c r="E249" s="3" t="s">
        <v>1094</v>
      </c>
      <c r="F249" s="20">
        <f>LEN(G249)</f>
        <v>22</v>
      </c>
      <c r="G249" s="3" t="s">
        <v>1481</v>
      </c>
      <c r="H249" s="24" t="s">
        <v>1096</v>
      </c>
      <c r="I249" s="3" t="s">
        <v>857</v>
      </c>
      <c r="J249" s="3" t="s">
        <v>154</v>
      </c>
      <c r="K249" s="3" t="s">
        <v>154</v>
      </c>
      <c r="L249" s="3" t="s">
        <v>155</v>
      </c>
      <c r="M249" s="3" t="s">
        <v>1097</v>
      </c>
      <c r="N249" s="20">
        <v>37088</v>
      </c>
      <c r="O249" s="3" t="s">
        <v>1480</v>
      </c>
      <c r="P249" s="3" t="s">
        <v>157</v>
      </c>
      <c r="Q249" s="5"/>
      <c r="R249" s="5"/>
      <c r="S249" s="5"/>
      <c r="T249" s="24"/>
      <c r="U249" s="3" t="b">
        <v>0</v>
      </c>
      <c r="V249" s="3" t="s">
        <v>1100</v>
      </c>
      <c r="W249" s="64"/>
      <c r="X249" s="64"/>
      <c r="Y249" s="64" t="s">
        <v>1118</v>
      </c>
      <c r="Z249" s="64"/>
      <c r="AA249" s="59" t="s">
        <v>784</v>
      </c>
      <c r="AB249" s="65"/>
      <c r="AC249" s="68" t="s">
        <v>213</v>
      </c>
      <c r="AD249" s="65" t="s">
        <v>1482</v>
      </c>
      <c r="AE249" s="68" t="s">
        <v>786</v>
      </c>
      <c r="AF249" s="66" t="s">
        <v>1481</v>
      </c>
      <c r="AG249" s="68" t="s">
        <v>1121</v>
      </c>
      <c r="AH249" s="67"/>
      <c r="AI249" s="69"/>
      <c r="AJ249" s="69"/>
      <c r="AK249" s="69"/>
      <c r="AL249" s="86" t="s">
        <v>218</v>
      </c>
      <c r="AM249" s="88"/>
      <c r="AN249" s="88"/>
      <c r="AO249" s="88"/>
      <c r="AP249" s="59" t="s">
        <v>74</v>
      </c>
      <c r="AQ249" s="68" t="s">
        <v>1483</v>
      </c>
      <c r="AR249" s="59"/>
      <c r="AS249" s="68" t="s">
        <v>788</v>
      </c>
      <c r="AT249" s="59" t="s">
        <v>857</v>
      </c>
      <c r="AU249" s="68" t="s">
        <v>1077</v>
      </c>
    </row>
    <row r="250" spans="1:47" ht="98.25" customHeight="1">
      <c r="A250" s="3" t="s">
        <v>148</v>
      </c>
      <c r="B250" s="3" t="s">
        <v>160</v>
      </c>
      <c r="C250" s="6">
        <v>46276</v>
      </c>
      <c r="D250" s="3" t="s">
        <v>1484</v>
      </c>
      <c r="E250" s="3" t="s">
        <v>1094</v>
      </c>
      <c r="F250" s="20">
        <f>LEN(G250)</f>
        <v>24</v>
      </c>
      <c r="G250" s="3" t="s">
        <v>1485</v>
      </c>
      <c r="H250" s="24" t="s">
        <v>1096</v>
      </c>
      <c r="I250" s="3" t="s">
        <v>857</v>
      </c>
      <c r="J250" s="3" t="s">
        <v>154</v>
      </c>
      <c r="K250" s="3" t="s">
        <v>154</v>
      </c>
      <c r="L250" s="3" t="s">
        <v>155</v>
      </c>
      <c r="M250" s="3" t="s">
        <v>1097</v>
      </c>
      <c r="N250" s="20">
        <v>37088</v>
      </c>
      <c r="O250" s="3" t="s">
        <v>1484</v>
      </c>
      <c r="P250" s="3" t="s">
        <v>157</v>
      </c>
      <c r="Q250" s="5"/>
      <c r="R250" s="5"/>
      <c r="S250" s="5"/>
      <c r="T250" s="24"/>
      <c r="U250" s="3" t="b">
        <v>0</v>
      </c>
      <c r="V250" s="3" t="s">
        <v>1100</v>
      </c>
      <c r="W250" s="64"/>
      <c r="X250" s="64"/>
      <c r="Y250" s="64" t="s">
        <v>1118</v>
      </c>
      <c r="Z250" s="64"/>
      <c r="AA250" s="59" t="s">
        <v>784</v>
      </c>
      <c r="AB250" s="65"/>
      <c r="AC250" s="68" t="s">
        <v>213</v>
      </c>
      <c r="AD250" s="65" t="s">
        <v>1486</v>
      </c>
      <c r="AE250" s="68" t="s">
        <v>786</v>
      </c>
      <c r="AF250" s="66" t="s">
        <v>1485</v>
      </c>
      <c r="AG250" s="68" t="s">
        <v>1121</v>
      </c>
      <c r="AH250" s="67"/>
      <c r="AI250" s="69"/>
      <c r="AJ250" s="69"/>
      <c r="AK250" s="69"/>
      <c r="AL250" s="86" t="s">
        <v>218</v>
      </c>
      <c r="AM250" s="88"/>
      <c r="AN250" s="88"/>
      <c r="AO250" s="88"/>
      <c r="AP250" s="59" t="s">
        <v>74</v>
      </c>
      <c r="AQ250" s="68" t="s">
        <v>1487</v>
      </c>
      <c r="AR250" s="59"/>
      <c r="AS250" s="68" t="s">
        <v>788</v>
      </c>
      <c r="AT250" s="59" t="s">
        <v>857</v>
      </c>
      <c r="AU250" s="68" t="s">
        <v>1077</v>
      </c>
    </row>
    <row r="251" spans="1:47" ht="98.25" customHeight="1">
      <c r="A251" s="3" t="s">
        <v>148</v>
      </c>
      <c r="B251" s="3" t="s">
        <v>160</v>
      </c>
      <c r="C251" s="6">
        <v>46276</v>
      </c>
      <c r="D251" s="3" t="s">
        <v>1488</v>
      </c>
      <c r="E251" s="3" t="s">
        <v>1094</v>
      </c>
      <c r="F251" s="20">
        <f>LEN(G251)</f>
        <v>22</v>
      </c>
      <c r="G251" s="3" t="s">
        <v>1489</v>
      </c>
      <c r="H251" s="24" t="s">
        <v>1096</v>
      </c>
      <c r="I251" s="3" t="s">
        <v>857</v>
      </c>
      <c r="J251" s="3" t="s">
        <v>154</v>
      </c>
      <c r="K251" s="3" t="s">
        <v>154</v>
      </c>
      <c r="L251" s="3" t="s">
        <v>155</v>
      </c>
      <c r="M251" s="3" t="s">
        <v>1097</v>
      </c>
      <c r="N251" s="20">
        <v>37088</v>
      </c>
      <c r="O251" s="3" t="s">
        <v>1488</v>
      </c>
      <c r="P251" s="3" t="s">
        <v>157</v>
      </c>
      <c r="Q251" s="5"/>
      <c r="R251" s="5"/>
      <c r="S251" s="5"/>
      <c r="T251" s="24"/>
      <c r="U251" s="3" t="b">
        <v>0</v>
      </c>
      <c r="V251" s="3" t="s">
        <v>1100</v>
      </c>
      <c r="W251" s="64"/>
      <c r="X251" s="64"/>
      <c r="Y251" s="64" t="s">
        <v>1118</v>
      </c>
      <c r="Z251" s="64"/>
      <c r="AA251" s="59" t="s">
        <v>784</v>
      </c>
      <c r="AB251" s="65"/>
      <c r="AC251" s="68" t="s">
        <v>213</v>
      </c>
      <c r="AD251" s="65" t="s">
        <v>1490</v>
      </c>
      <c r="AE251" s="68" t="s">
        <v>786</v>
      </c>
      <c r="AF251" s="66" t="s">
        <v>1489</v>
      </c>
      <c r="AG251" s="68" t="s">
        <v>1121</v>
      </c>
      <c r="AH251" s="67"/>
      <c r="AI251" s="69"/>
      <c r="AJ251" s="69"/>
      <c r="AK251" s="69"/>
      <c r="AL251" s="86" t="s">
        <v>218</v>
      </c>
      <c r="AM251" s="88"/>
      <c r="AN251" s="88"/>
      <c r="AO251" s="88"/>
      <c r="AP251" s="59" t="s">
        <v>74</v>
      </c>
      <c r="AQ251" s="68" t="s">
        <v>1491</v>
      </c>
      <c r="AR251" s="59"/>
      <c r="AS251" s="68" t="s">
        <v>788</v>
      </c>
      <c r="AT251" s="59" t="s">
        <v>857</v>
      </c>
      <c r="AU251" s="68" t="s">
        <v>1077</v>
      </c>
    </row>
    <row r="252" spans="1:47" ht="98.25" customHeight="1">
      <c r="A252" s="3" t="s">
        <v>148</v>
      </c>
      <c r="B252" s="3" t="s">
        <v>160</v>
      </c>
      <c r="C252" s="6">
        <v>46276</v>
      </c>
      <c r="D252" s="3" t="s">
        <v>1492</v>
      </c>
      <c r="E252" s="3" t="s">
        <v>1094</v>
      </c>
      <c r="F252" s="20">
        <f>LEN(G252)</f>
        <v>20</v>
      </c>
      <c r="G252" s="3" t="s">
        <v>1493</v>
      </c>
      <c r="H252" s="24" t="s">
        <v>1096</v>
      </c>
      <c r="I252" s="3" t="s">
        <v>857</v>
      </c>
      <c r="J252" s="3" t="s">
        <v>154</v>
      </c>
      <c r="K252" s="3" t="s">
        <v>154</v>
      </c>
      <c r="L252" s="3" t="s">
        <v>155</v>
      </c>
      <c r="M252" s="3" t="s">
        <v>1097</v>
      </c>
      <c r="N252" s="20">
        <v>37088</v>
      </c>
      <c r="O252" s="3" t="s">
        <v>1492</v>
      </c>
      <c r="P252" s="3" t="s">
        <v>157</v>
      </c>
      <c r="Q252" s="5"/>
      <c r="R252" s="5"/>
      <c r="S252" s="5"/>
      <c r="T252" s="24"/>
      <c r="U252" s="3" t="b">
        <v>0</v>
      </c>
      <c r="V252" s="3" t="s">
        <v>1100</v>
      </c>
      <c r="W252" s="64"/>
      <c r="X252" s="64"/>
      <c r="Y252" s="64" t="s">
        <v>1118</v>
      </c>
      <c r="Z252" s="64"/>
      <c r="AA252" s="59" t="s">
        <v>784</v>
      </c>
      <c r="AB252" s="65"/>
      <c r="AC252" s="68" t="s">
        <v>213</v>
      </c>
      <c r="AD252" s="65" t="s">
        <v>1494</v>
      </c>
      <c r="AE252" s="68" t="s">
        <v>786</v>
      </c>
      <c r="AF252" s="66" t="s">
        <v>1493</v>
      </c>
      <c r="AG252" s="68" t="s">
        <v>1121</v>
      </c>
      <c r="AH252" s="67"/>
      <c r="AI252" s="69"/>
      <c r="AJ252" s="69"/>
      <c r="AK252" s="69"/>
      <c r="AL252" s="86" t="s">
        <v>218</v>
      </c>
      <c r="AM252" s="88"/>
      <c r="AN252" s="88"/>
      <c r="AO252" s="88"/>
      <c r="AP252" s="59" t="s">
        <v>74</v>
      </c>
      <c r="AQ252" s="68" t="s">
        <v>1495</v>
      </c>
      <c r="AR252" s="59"/>
      <c r="AS252" s="68" t="s">
        <v>788</v>
      </c>
      <c r="AT252" s="59" t="s">
        <v>857</v>
      </c>
      <c r="AU252" s="68" t="s">
        <v>1077</v>
      </c>
    </row>
    <row r="253" spans="1:47" ht="98.25" customHeight="1">
      <c r="A253" s="3" t="s">
        <v>148</v>
      </c>
      <c r="B253" s="3" t="s">
        <v>160</v>
      </c>
      <c r="C253" s="6">
        <v>46276</v>
      </c>
      <c r="D253" s="3" t="s">
        <v>1496</v>
      </c>
      <c r="E253" s="3" t="s">
        <v>1094</v>
      </c>
      <c r="F253" s="20">
        <f>LEN(G253)</f>
        <v>27</v>
      </c>
      <c r="G253" s="3" t="s">
        <v>1497</v>
      </c>
      <c r="H253" s="24" t="s">
        <v>1096</v>
      </c>
      <c r="I253" s="3" t="s">
        <v>857</v>
      </c>
      <c r="J253" s="3" t="s">
        <v>615</v>
      </c>
      <c r="K253" s="3" t="s">
        <v>615</v>
      </c>
      <c r="L253" s="3" t="s">
        <v>155</v>
      </c>
      <c r="M253" s="3" t="s">
        <v>1097</v>
      </c>
      <c r="N253" s="20">
        <v>37088</v>
      </c>
      <c r="O253" s="3" t="s">
        <v>1496</v>
      </c>
      <c r="P253" s="3" t="s">
        <v>157</v>
      </c>
      <c r="Q253" s="5"/>
      <c r="R253" s="5"/>
      <c r="S253" s="5"/>
      <c r="T253" s="24"/>
      <c r="U253" s="3" t="b">
        <v>0</v>
      </c>
      <c r="V253" s="3" t="s">
        <v>1100</v>
      </c>
      <c r="W253" s="64"/>
      <c r="X253" s="64"/>
      <c r="Y253" s="64" t="s">
        <v>1118</v>
      </c>
      <c r="Z253" s="64"/>
      <c r="AA253" s="59" t="s">
        <v>784</v>
      </c>
      <c r="AB253" s="65"/>
      <c r="AC253" s="68" t="s">
        <v>213</v>
      </c>
      <c r="AD253" s="65" t="s">
        <v>1498</v>
      </c>
      <c r="AE253" s="68" t="s">
        <v>786</v>
      </c>
      <c r="AF253" s="66" t="s">
        <v>1497</v>
      </c>
      <c r="AG253" s="68" t="s">
        <v>1121</v>
      </c>
      <c r="AH253" s="67"/>
      <c r="AI253" s="69"/>
      <c r="AJ253" s="69"/>
      <c r="AK253" s="69"/>
      <c r="AL253" s="86" t="s">
        <v>218</v>
      </c>
      <c r="AM253" s="88"/>
      <c r="AN253" s="88"/>
      <c r="AO253" s="88"/>
      <c r="AP253" s="59" t="s">
        <v>74</v>
      </c>
      <c r="AQ253" s="68" t="s">
        <v>1499</v>
      </c>
      <c r="AR253" s="59"/>
      <c r="AS253" s="68" t="s">
        <v>788</v>
      </c>
      <c r="AT253" s="59" t="s">
        <v>857</v>
      </c>
      <c r="AU253" s="68" t="s">
        <v>1077</v>
      </c>
    </row>
    <row r="254" spans="1:47" ht="120" customHeight="1">
      <c r="A254" s="3" t="s">
        <v>148</v>
      </c>
      <c r="B254" s="3" t="s">
        <v>160</v>
      </c>
      <c r="C254" s="6">
        <v>46276</v>
      </c>
      <c r="D254" s="3" t="s">
        <v>1500</v>
      </c>
      <c r="E254" s="3" t="s">
        <v>1094</v>
      </c>
      <c r="F254" s="20">
        <f>LEN(G254)</f>
        <v>26</v>
      </c>
      <c r="G254" s="3" t="s">
        <v>1501</v>
      </c>
      <c r="H254" s="24" t="s">
        <v>1096</v>
      </c>
      <c r="I254" s="3" t="s">
        <v>857</v>
      </c>
      <c r="J254" s="3" t="s">
        <v>154</v>
      </c>
      <c r="K254" s="3" t="s">
        <v>154</v>
      </c>
      <c r="L254" s="3" t="s">
        <v>155</v>
      </c>
      <c r="M254" s="3" t="s">
        <v>1097</v>
      </c>
      <c r="N254" s="20">
        <v>37088</v>
      </c>
      <c r="O254" s="3" t="s">
        <v>1500</v>
      </c>
      <c r="P254" s="3" t="s">
        <v>157</v>
      </c>
      <c r="Q254" s="5"/>
      <c r="R254" s="5"/>
      <c r="S254" s="5"/>
      <c r="T254" s="24"/>
      <c r="U254" s="3" t="b">
        <v>0</v>
      </c>
      <c r="V254" s="3" t="s">
        <v>1100</v>
      </c>
      <c r="W254" s="64"/>
      <c r="X254" s="64"/>
      <c r="Y254" s="64" t="s">
        <v>1118</v>
      </c>
      <c r="Z254" s="64"/>
      <c r="AA254" s="59" t="s">
        <v>212</v>
      </c>
      <c r="AB254" s="65"/>
      <c r="AC254" s="68" t="s">
        <v>213</v>
      </c>
      <c r="AD254" s="65" t="s">
        <v>1502</v>
      </c>
      <c r="AE254" s="68" t="s">
        <v>1503</v>
      </c>
      <c r="AF254" s="66" t="s">
        <v>1501</v>
      </c>
      <c r="AG254" s="68" t="s">
        <v>1504</v>
      </c>
      <c r="AH254" s="67"/>
      <c r="AI254" s="69"/>
      <c r="AJ254" s="69"/>
      <c r="AK254" s="69"/>
      <c r="AL254" s="86" t="s">
        <v>218</v>
      </c>
      <c r="AM254" s="88"/>
      <c r="AN254" s="89" t="str">
        <f>HYPERLINK("https://shop.nord.com/US-en/71-lp4-iec-b14-c140-230400v-hmt-3765.html","https://shop.nord.com/US-en/71-lp4-iec-b14-c140-230400v-hmt-3765.html")</f>
        <v>https://shop.nord.com/US-en/71-lp4-iec-b14-c140-230400v-hmt-3765.html</v>
      </c>
      <c r="AO254" s="89" t="str">
        <f>HYPERLINK("https://www.im-tek.com/nord-71lp4-motor","https://www.im-tek.com/nord-71lp4-motor")</f>
        <v>https://www.im-tek.com/nord-71lp4-motor</v>
      </c>
      <c r="AP254" s="59" t="s">
        <v>74</v>
      </c>
      <c r="AQ254" s="68" t="s">
        <v>1505</v>
      </c>
      <c r="AR254" s="59"/>
      <c r="AS254" s="68" t="s">
        <v>746</v>
      </c>
      <c r="AT254" s="59" t="s">
        <v>857</v>
      </c>
      <c r="AU254" s="68" t="s">
        <v>1077</v>
      </c>
    </row>
    <row r="255" spans="1:47" ht="131.25" customHeight="1">
      <c r="A255" s="3" t="s">
        <v>148</v>
      </c>
      <c r="B255" s="3" t="s">
        <v>160</v>
      </c>
      <c r="C255" s="6">
        <v>46276</v>
      </c>
      <c r="D255" s="3" t="s">
        <v>1506</v>
      </c>
      <c r="E255" s="3" t="s">
        <v>1094</v>
      </c>
      <c r="F255" s="20">
        <f>LEN(G255)</f>
        <v>30</v>
      </c>
      <c r="G255" s="3" t="s">
        <v>1507</v>
      </c>
      <c r="H255" s="24" t="s">
        <v>1096</v>
      </c>
      <c r="I255" s="3" t="s">
        <v>857</v>
      </c>
      <c r="J255" s="3" t="s">
        <v>154</v>
      </c>
      <c r="K255" s="3" t="s">
        <v>154</v>
      </c>
      <c r="L255" s="3" t="s">
        <v>155</v>
      </c>
      <c r="M255" s="3" t="s">
        <v>1097</v>
      </c>
      <c r="N255" s="20">
        <v>37088</v>
      </c>
      <c r="O255" s="3" t="s">
        <v>1506</v>
      </c>
      <c r="P255" s="3" t="s">
        <v>157</v>
      </c>
      <c r="Q255" s="5"/>
      <c r="R255" s="5"/>
      <c r="S255" s="5"/>
      <c r="T255" s="24"/>
      <c r="U255" s="3" t="b">
        <v>0</v>
      </c>
      <c r="V255" s="3" t="s">
        <v>1100</v>
      </c>
      <c r="W255" s="64"/>
      <c r="X255" s="64"/>
      <c r="Y255" s="64" t="s">
        <v>1118</v>
      </c>
      <c r="Z255" s="64"/>
      <c r="AA255" s="59" t="s">
        <v>212</v>
      </c>
      <c r="AB255" s="65"/>
      <c r="AC255" s="68" t="s">
        <v>213</v>
      </c>
      <c r="AD255" s="65" t="s">
        <v>1508</v>
      </c>
      <c r="AE255" s="68" t="s">
        <v>1509</v>
      </c>
      <c r="AF255" s="66" t="s">
        <v>1507</v>
      </c>
      <c r="AG255" s="68" t="s">
        <v>1121</v>
      </c>
      <c r="AH255" s="67"/>
      <c r="AI255" s="69"/>
      <c r="AJ255" s="69"/>
      <c r="AK255" s="69"/>
      <c r="AL255" s="86" t="s">
        <v>218</v>
      </c>
      <c r="AM255" s="88"/>
      <c r="AN255" s="89" t="str">
        <f>HYPERLINK("https://www.nord.com/us/company/current-events/news-archives/articles/news_163456.jsp","https://www.nord.com/us/company/current-events/news-archives/articles/news_163456.jsp")</f>
        <v>https://www.nord.com/us/company/current-events/news-archives/articles/news_163456.jsp</v>
      </c>
      <c r="AO255" s="89" t="str">
        <f>HYPERLINK("https://www.chem17.com/product/detail/39937028.html","https://www.chem17.com/product/detail/39937028.html")</f>
        <v>https://www.chem17.com/product/detail/39937028.html</v>
      </c>
      <c r="AP255" s="59" t="s">
        <v>74</v>
      </c>
      <c r="AQ255" s="68" t="s">
        <v>1510</v>
      </c>
      <c r="AR255" s="59"/>
      <c r="AS255" s="68" t="s">
        <v>746</v>
      </c>
      <c r="AT255" s="59" t="s">
        <v>857</v>
      </c>
      <c r="AU255" s="68" t="s">
        <v>1077</v>
      </c>
    </row>
    <row r="256" spans="1:47" ht="153" customHeight="1">
      <c r="A256" s="3" t="s">
        <v>148</v>
      </c>
      <c r="B256" s="3" t="s">
        <v>160</v>
      </c>
      <c r="C256" s="6">
        <v>46276</v>
      </c>
      <c r="D256" s="3" t="s">
        <v>1511</v>
      </c>
      <c r="E256" s="3" t="s">
        <v>1094</v>
      </c>
      <c r="F256" s="20">
        <f>LEN(G256)</f>
        <v>43</v>
      </c>
      <c r="G256" s="3" t="s">
        <v>1512</v>
      </c>
      <c r="H256" s="24" t="s">
        <v>1096</v>
      </c>
      <c r="I256" s="3" t="s">
        <v>857</v>
      </c>
      <c r="J256" s="3" t="s">
        <v>154</v>
      </c>
      <c r="K256" s="3" t="s">
        <v>154</v>
      </c>
      <c r="L256" s="3" t="s">
        <v>155</v>
      </c>
      <c r="M256" s="3" t="s">
        <v>1097</v>
      </c>
      <c r="N256" s="20">
        <v>37088</v>
      </c>
      <c r="O256" s="3" t="s">
        <v>1511</v>
      </c>
      <c r="P256" s="3" t="s">
        <v>157</v>
      </c>
      <c r="Q256" s="5"/>
      <c r="R256" s="5"/>
      <c r="S256" s="5"/>
      <c r="T256" s="24"/>
      <c r="U256" s="3" t="b">
        <v>0</v>
      </c>
      <c r="V256" s="3" t="s">
        <v>1100</v>
      </c>
      <c r="W256" s="64"/>
      <c r="X256" s="64"/>
      <c r="Y256" s="64" t="s">
        <v>1118</v>
      </c>
      <c r="Z256" s="64"/>
      <c r="AA256" s="59" t="s">
        <v>212</v>
      </c>
      <c r="AB256" s="65"/>
      <c r="AC256" s="68" t="s">
        <v>213</v>
      </c>
      <c r="AD256" s="65" t="s">
        <v>1513</v>
      </c>
      <c r="AE256" s="68" t="s">
        <v>1514</v>
      </c>
      <c r="AF256" s="66" t="s">
        <v>1512</v>
      </c>
      <c r="AG256" s="68" t="s">
        <v>1515</v>
      </c>
      <c r="AH256" s="67"/>
      <c r="AI256" s="69"/>
      <c r="AJ256" s="69"/>
      <c r="AK256" s="69"/>
      <c r="AL256" s="86" t="s">
        <v>218</v>
      </c>
      <c r="AM256" s="88"/>
      <c r="AN256" s="89" t="str">
        <f>HYPERLINK("https://www.nord.com/us/company/current-events/news-archives/articles/news_163456.jsp","https://www.nord.com/us/company/current-events/news-archives/articles/news_163456.jsp")</f>
        <v>https://www.nord.com/us/company/current-events/news-archives/articles/news_163456.jsp</v>
      </c>
      <c r="AO256" s="89" t="str">
        <f>HYPERLINK("https://www.chem17.com/product/detail/39937028.html","https://www.chem17.com/product/detail/39937028.html")</f>
        <v>https://www.chem17.com/product/detail/39937028.html</v>
      </c>
      <c r="AP256" s="59" t="s">
        <v>74</v>
      </c>
      <c r="AQ256" s="68" t="s">
        <v>1516</v>
      </c>
      <c r="AR256" s="59"/>
      <c r="AS256" s="68" t="s">
        <v>746</v>
      </c>
      <c r="AT256" s="59" t="s">
        <v>857</v>
      </c>
      <c r="AU256" s="68" t="s">
        <v>1077</v>
      </c>
    </row>
    <row r="257" spans="1:47" ht="98.25" customHeight="1">
      <c r="A257" s="3" t="s">
        <v>148</v>
      </c>
      <c r="B257" s="3" t="s">
        <v>160</v>
      </c>
      <c r="C257" s="6">
        <v>46276</v>
      </c>
      <c r="D257" s="3" t="s">
        <v>1517</v>
      </c>
      <c r="E257" s="3" t="s">
        <v>1094</v>
      </c>
      <c r="F257" s="20">
        <f>LEN(G257)</f>
        <v>26</v>
      </c>
      <c r="G257" s="3" t="s">
        <v>1518</v>
      </c>
      <c r="H257" s="24" t="s">
        <v>1096</v>
      </c>
      <c r="I257" s="3" t="s">
        <v>857</v>
      </c>
      <c r="J257" s="3" t="s">
        <v>154</v>
      </c>
      <c r="K257" s="3" t="s">
        <v>154</v>
      </c>
      <c r="L257" s="3" t="s">
        <v>155</v>
      </c>
      <c r="M257" s="3" t="s">
        <v>1097</v>
      </c>
      <c r="N257" s="20">
        <v>37088</v>
      </c>
      <c r="O257" s="3" t="s">
        <v>1517</v>
      </c>
      <c r="P257" s="3" t="s">
        <v>157</v>
      </c>
      <c r="Q257" s="5"/>
      <c r="R257" s="5"/>
      <c r="S257" s="5"/>
      <c r="T257" s="24"/>
      <c r="U257" s="3" t="b">
        <v>0</v>
      </c>
      <c r="V257" s="3" t="s">
        <v>1100</v>
      </c>
      <c r="W257" s="64" t="s">
        <v>1517</v>
      </c>
      <c r="X257" s="64" t="s">
        <v>1094</v>
      </c>
      <c r="Y257" s="64" t="s">
        <v>1118</v>
      </c>
      <c r="Z257" s="64"/>
      <c r="AA257" s="59" t="s">
        <v>1519</v>
      </c>
      <c r="AB257" s="65"/>
      <c r="AC257" s="68" t="s">
        <v>213</v>
      </c>
      <c r="AD257" s="65" t="s">
        <v>1520</v>
      </c>
      <c r="AE257" s="68" t="s">
        <v>1521</v>
      </c>
      <c r="AF257" s="66" t="s">
        <v>1518</v>
      </c>
      <c r="AG257" s="68" t="s">
        <v>1522</v>
      </c>
      <c r="AH257" s="67"/>
      <c r="AI257" s="69"/>
      <c r="AJ257" s="69"/>
      <c r="AK257" s="69"/>
      <c r="AL257" s="86" t="s">
        <v>218</v>
      </c>
      <c r="AM257" s="88"/>
      <c r="AN257" s="88"/>
      <c r="AO257" s="89" t="str">
        <f>HYPERLINK("https://heritageequipment.com/product-detail/conveyor-chain-guide-wear-strip-7-8-0-6-id-109394-fmc-foodtech-lot-of-10-7308/","https://heritageequipment.com/product-detail/conveyor-chain-guide-wear-strip-7-8-0-6-id-109394-fmc-foodtech-lot-of-10-7308/")</f>
        <v>https://heritageequipment.com/product-detail/conveyor-chain-guide-wear-strip-7-8-0-6-id-109394-fmc-foodtech-lot-of-10-7308/</v>
      </c>
      <c r="AP257" s="59" t="s">
        <v>72</v>
      </c>
      <c r="AQ257" s="68" t="s">
        <v>1523</v>
      </c>
      <c r="AR257" s="59"/>
      <c r="AS257" s="68" t="s">
        <v>746</v>
      </c>
      <c r="AT257" s="59" t="s">
        <v>857</v>
      </c>
      <c r="AU257" s="68" t="s">
        <v>1077</v>
      </c>
    </row>
    <row r="258" spans="1:47" ht="98.25" customHeight="1">
      <c r="A258" s="3" t="s">
        <v>148</v>
      </c>
      <c r="B258" s="3" t="s">
        <v>160</v>
      </c>
      <c r="C258" s="6">
        <v>46276</v>
      </c>
      <c r="D258" s="3" t="s">
        <v>1524</v>
      </c>
      <c r="E258" s="3" t="s">
        <v>1094</v>
      </c>
      <c r="F258" s="20">
        <f>LEN(G258)</f>
        <v>34</v>
      </c>
      <c r="G258" s="3" t="s">
        <v>1525</v>
      </c>
      <c r="H258" s="24" t="s">
        <v>1096</v>
      </c>
      <c r="I258" s="3" t="s">
        <v>857</v>
      </c>
      <c r="J258" s="3" t="s">
        <v>154</v>
      </c>
      <c r="K258" s="3" t="s">
        <v>154</v>
      </c>
      <c r="L258" s="3" t="s">
        <v>155</v>
      </c>
      <c r="M258" s="3" t="s">
        <v>1097</v>
      </c>
      <c r="N258" s="20">
        <v>37088</v>
      </c>
      <c r="O258" s="3" t="s">
        <v>1524</v>
      </c>
      <c r="P258" s="3" t="s">
        <v>157</v>
      </c>
      <c r="Q258" s="5"/>
      <c r="R258" s="5"/>
      <c r="S258" s="5"/>
      <c r="T258" s="24"/>
      <c r="U258" s="3" t="b">
        <v>0</v>
      </c>
      <c r="V258" s="3" t="s">
        <v>1100</v>
      </c>
      <c r="W258" s="64"/>
      <c r="X258" s="64"/>
      <c r="Y258" s="64" t="s">
        <v>1118</v>
      </c>
      <c r="Z258" s="64"/>
      <c r="AA258" s="59" t="s">
        <v>784</v>
      </c>
      <c r="AB258" s="65"/>
      <c r="AC258" s="68" t="s">
        <v>213</v>
      </c>
      <c r="AD258" s="65" t="s">
        <v>1526</v>
      </c>
      <c r="AE258" s="68" t="s">
        <v>786</v>
      </c>
      <c r="AF258" s="66" t="s">
        <v>1525</v>
      </c>
      <c r="AG258" s="68" t="s">
        <v>1522</v>
      </c>
      <c r="AH258" s="67"/>
      <c r="AI258" s="69"/>
      <c r="AJ258" s="69"/>
      <c r="AK258" s="69"/>
      <c r="AL258" s="86" t="s">
        <v>218</v>
      </c>
      <c r="AM258" s="88"/>
      <c r="AN258" s="88"/>
      <c r="AO258" s="88"/>
      <c r="AP258" s="59" t="s">
        <v>74</v>
      </c>
      <c r="AQ258" s="68" t="s">
        <v>1527</v>
      </c>
      <c r="AR258" s="59"/>
      <c r="AS258" s="68" t="s">
        <v>788</v>
      </c>
      <c r="AT258" s="59" t="s">
        <v>857</v>
      </c>
      <c r="AU258" s="68" t="s">
        <v>1077</v>
      </c>
    </row>
    <row r="259" spans="1:47" ht="98.25" customHeight="1">
      <c r="A259" s="3" t="s">
        <v>148</v>
      </c>
      <c r="B259" s="3" t="s">
        <v>160</v>
      </c>
      <c r="C259" s="6">
        <v>46276</v>
      </c>
      <c r="D259" s="3" t="s">
        <v>1528</v>
      </c>
      <c r="E259" s="3" t="s">
        <v>1094</v>
      </c>
      <c r="F259" s="20">
        <f>LEN(G259)</f>
        <v>26</v>
      </c>
      <c r="G259" s="3" t="s">
        <v>1529</v>
      </c>
      <c r="H259" s="24" t="s">
        <v>1096</v>
      </c>
      <c r="I259" s="3" t="s">
        <v>857</v>
      </c>
      <c r="J259" s="3" t="s">
        <v>154</v>
      </c>
      <c r="K259" s="3" t="s">
        <v>154</v>
      </c>
      <c r="L259" s="3" t="s">
        <v>155</v>
      </c>
      <c r="M259" s="3" t="s">
        <v>1097</v>
      </c>
      <c r="N259" s="20">
        <v>37088</v>
      </c>
      <c r="O259" s="3" t="s">
        <v>1528</v>
      </c>
      <c r="P259" s="3" t="s">
        <v>157</v>
      </c>
      <c r="Q259" s="5"/>
      <c r="R259" s="5"/>
      <c r="S259" s="5"/>
      <c r="T259" s="24"/>
      <c r="U259" s="3" t="b">
        <v>0</v>
      </c>
      <c r="V259" s="3" t="s">
        <v>1100</v>
      </c>
      <c r="W259" s="64"/>
      <c r="X259" s="64"/>
      <c r="Y259" s="64" t="s">
        <v>1118</v>
      </c>
      <c r="Z259" s="64"/>
      <c r="AA259" s="59" t="s">
        <v>784</v>
      </c>
      <c r="AB259" s="65"/>
      <c r="AC259" s="68" t="s">
        <v>213</v>
      </c>
      <c r="AD259" s="65" t="s">
        <v>1530</v>
      </c>
      <c r="AE259" s="68" t="s">
        <v>786</v>
      </c>
      <c r="AF259" s="66" t="s">
        <v>1529</v>
      </c>
      <c r="AG259" s="68" t="s">
        <v>1121</v>
      </c>
      <c r="AH259" s="67"/>
      <c r="AI259" s="69"/>
      <c r="AJ259" s="69"/>
      <c r="AK259" s="69"/>
      <c r="AL259" s="86" t="s">
        <v>218</v>
      </c>
      <c r="AM259" s="88"/>
      <c r="AN259" s="88"/>
      <c r="AO259" s="88"/>
      <c r="AP259" s="59" t="s">
        <v>74</v>
      </c>
      <c r="AQ259" s="68" t="s">
        <v>1531</v>
      </c>
      <c r="AR259" s="59"/>
      <c r="AS259" s="68" t="s">
        <v>788</v>
      </c>
      <c r="AT259" s="59" t="s">
        <v>857</v>
      </c>
      <c r="AU259" s="68" t="s">
        <v>1077</v>
      </c>
    </row>
    <row r="260" spans="1:47" ht="98.25" customHeight="1">
      <c r="A260" s="3" t="s">
        <v>148</v>
      </c>
      <c r="B260" s="3" t="s">
        <v>160</v>
      </c>
      <c r="C260" s="6">
        <v>46276</v>
      </c>
      <c r="D260" s="3" t="s">
        <v>1327</v>
      </c>
      <c r="E260" s="3" t="s">
        <v>1094</v>
      </c>
      <c r="F260" s="20">
        <f>LEN(G260)</f>
        <v>34</v>
      </c>
      <c r="G260" s="3" t="s">
        <v>1532</v>
      </c>
      <c r="H260" s="24" t="s">
        <v>1096</v>
      </c>
      <c r="I260" s="3" t="s">
        <v>857</v>
      </c>
      <c r="J260" s="3" t="s">
        <v>154</v>
      </c>
      <c r="K260" s="3" t="s">
        <v>154</v>
      </c>
      <c r="L260" s="3" t="s">
        <v>155</v>
      </c>
      <c r="M260" s="3" t="s">
        <v>1097</v>
      </c>
      <c r="N260" s="20">
        <v>37088</v>
      </c>
      <c r="O260" s="3" t="s">
        <v>1327</v>
      </c>
      <c r="P260" s="3" t="s">
        <v>157</v>
      </c>
      <c r="Q260" s="5"/>
      <c r="R260" s="5"/>
      <c r="S260" s="5"/>
      <c r="T260" s="24"/>
      <c r="U260" s="3" t="b">
        <v>0</v>
      </c>
      <c r="V260" s="3" t="s">
        <v>1100</v>
      </c>
      <c r="W260" s="64"/>
      <c r="X260" s="64"/>
      <c r="Y260" s="64" t="s">
        <v>1118</v>
      </c>
      <c r="Z260" s="64"/>
      <c r="AA260" s="59" t="s">
        <v>784</v>
      </c>
      <c r="AB260" s="65"/>
      <c r="AC260" s="68" t="s">
        <v>213</v>
      </c>
      <c r="AD260" s="65" t="s">
        <v>1533</v>
      </c>
      <c r="AE260" s="68" t="s">
        <v>786</v>
      </c>
      <c r="AF260" s="66" t="s">
        <v>1532</v>
      </c>
      <c r="AG260" s="68" t="s">
        <v>1522</v>
      </c>
      <c r="AH260" s="67"/>
      <c r="AI260" s="69"/>
      <c r="AJ260" s="69"/>
      <c r="AK260" s="69"/>
      <c r="AL260" s="86" t="s">
        <v>218</v>
      </c>
      <c r="AM260" s="88"/>
      <c r="AN260" s="88"/>
      <c r="AO260" s="88"/>
      <c r="AP260" s="59" t="s">
        <v>74</v>
      </c>
      <c r="AQ260" s="68" t="s">
        <v>1534</v>
      </c>
      <c r="AR260" s="59"/>
      <c r="AS260" s="68" t="s">
        <v>788</v>
      </c>
      <c r="AT260" s="59" t="s">
        <v>857</v>
      </c>
      <c r="AU260" s="68" t="s">
        <v>1077</v>
      </c>
    </row>
    <row r="261" spans="1:47" ht="131.25" customHeight="1">
      <c r="A261" s="3" t="s">
        <v>148</v>
      </c>
      <c r="B261" s="3" t="s">
        <v>160</v>
      </c>
      <c r="C261" s="6">
        <v>46276</v>
      </c>
      <c r="D261" s="3" t="s">
        <v>1535</v>
      </c>
      <c r="E261" s="3" t="s">
        <v>1094</v>
      </c>
      <c r="F261" s="20">
        <f>LEN(G261)</f>
        <v>43</v>
      </c>
      <c r="G261" s="3" t="s">
        <v>1536</v>
      </c>
      <c r="H261" s="24" t="s">
        <v>1096</v>
      </c>
      <c r="I261" s="3" t="s">
        <v>857</v>
      </c>
      <c r="J261" s="3" t="s">
        <v>154</v>
      </c>
      <c r="K261" s="3" t="s">
        <v>154</v>
      </c>
      <c r="L261" s="3" t="s">
        <v>155</v>
      </c>
      <c r="M261" s="3" t="s">
        <v>1097</v>
      </c>
      <c r="N261" s="20">
        <v>37088</v>
      </c>
      <c r="O261" s="3" t="s">
        <v>1535</v>
      </c>
      <c r="P261" s="3" t="s">
        <v>157</v>
      </c>
      <c r="Q261" s="5"/>
      <c r="R261" s="5"/>
      <c r="S261" s="5"/>
      <c r="T261" s="24"/>
      <c r="U261" s="3" t="b">
        <v>0</v>
      </c>
      <c r="V261" s="3" t="s">
        <v>1100</v>
      </c>
      <c r="W261" s="64"/>
      <c r="X261" s="64"/>
      <c r="Y261" s="64" t="s">
        <v>1118</v>
      </c>
      <c r="Z261" s="64"/>
      <c r="AA261" s="59" t="s">
        <v>784</v>
      </c>
      <c r="AB261" s="65"/>
      <c r="AC261" s="68" t="s">
        <v>213</v>
      </c>
      <c r="AD261" s="65" t="s">
        <v>1537</v>
      </c>
      <c r="AE261" s="68" t="s">
        <v>786</v>
      </c>
      <c r="AF261" s="66" t="s">
        <v>1536</v>
      </c>
      <c r="AG261" s="68" t="s">
        <v>1522</v>
      </c>
      <c r="AH261" s="67"/>
      <c r="AI261" s="69"/>
      <c r="AJ261" s="69"/>
      <c r="AK261" s="69"/>
      <c r="AL261" s="86" t="s">
        <v>218</v>
      </c>
      <c r="AM261" s="88"/>
      <c r="AN261" s="88"/>
      <c r="AO261" s="88"/>
      <c r="AP261" s="59" t="s">
        <v>74</v>
      </c>
      <c r="AQ261" s="68" t="s">
        <v>1538</v>
      </c>
      <c r="AR261" s="59"/>
      <c r="AS261" s="68" t="s">
        <v>788</v>
      </c>
      <c r="AT261" s="59" t="s">
        <v>857</v>
      </c>
      <c r="AU261" s="68" t="s">
        <v>1077</v>
      </c>
    </row>
    <row r="262" spans="1:47" ht="120" customHeight="1">
      <c r="A262" s="3" t="s">
        <v>148</v>
      </c>
      <c r="B262" s="3" t="s">
        <v>160</v>
      </c>
      <c r="C262" s="6">
        <v>46276</v>
      </c>
      <c r="D262" s="3" t="s">
        <v>1539</v>
      </c>
      <c r="E262" s="3" t="s">
        <v>1094</v>
      </c>
      <c r="F262" s="20">
        <f>LEN(G262)</f>
        <v>61</v>
      </c>
      <c r="G262" s="3" t="s">
        <v>1540</v>
      </c>
      <c r="H262" s="24" t="s">
        <v>1096</v>
      </c>
      <c r="I262" s="3" t="s">
        <v>857</v>
      </c>
      <c r="J262" s="3" t="s">
        <v>154</v>
      </c>
      <c r="K262" s="3" t="s">
        <v>154</v>
      </c>
      <c r="L262" s="3" t="s">
        <v>155</v>
      </c>
      <c r="M262" s="3" t="s">
        <v>1097</v>
      </c>
      <c r="N262" s="20">
        <v>37088</v>
      </c>
      <c r="O262" s="3" t="s">
        <v>1539</v>
      </c>
      <c r="P262" s="3" t="s">
        <v>157</v>
      </c>
      <c r="Q262" s="5"/>
      <c r="R262" s="5"/>
      <c r="S262" s="5"/>
      <c r="T262" s="24"/>
      <c r="U262" s="3" t="b">
        <v>0</v>
      </c>
      <c r="V262" s="3" t="s">
        <v>1100</v>
      </c>
      <c r="W262" s="64"/>
      <c r="X262" s="64"/>
      <c r="Y262" s="64" t="s">
        <v>1118</v>
      </c>
      <c r="Z262" s="64"/>
      <c r="AA262" s="59" t="s">
        <v>784</v>
      </c>
      <c r="AB262" s="65"/>
      <c r="AC262" s="68" t="s">
        <v>213</v>
      </c>
      <c r="AD262" s="65" t="s">
        <v>1541</v>
      </c>
      <c r="AE262" s="68" t="s">
        <v>786</v>
      </c>
      <c r="AF262" s="66" t="s">
        <v>1540</v>
      </c>
      <c r="AG262" s="68" t="s">
        <v>1542</v>
      </c>
      <c r="AH262" s="67"/>
      <c r="AI262" s="69"/>
      <c r="AJ262" s="69"/>
      <c r="AK262" s="69"/>
      <c r="AL262" s="86" t="s">
        <v>218</v>
      </c>
      <c r="AM262" s="88"/>
      <c r="AN262" s="88"/>
      <c r="AO262" s="88"/>
      <c r="AP262" s="59" t="s">
        <v>74</v>
      </c>
      <c r="AQ262" s="68" t="s">
        <v>1543</v>
      </c>
      <c r="AR262" s="59"/>
      <c r="AS262" s="68" t="s">
        <v>788</v>
      </c>
      <c r="AT262" s="59" t="s">
        <v>857</v>
      </c>
      <c r="AU262" s="68" t="s">
        <v>1077</v>
      </c>
    </row>
    <row r="263" spans="1:47" ht="120" customHeight="1">
      <c r="A263" s="3" t="s">
        <v>148</v>
      </c>
      <c r="B263" s="3" t="s">
        <v>160</v>
      </c>
      <c r="C263" s="6">
        <v>46276</v>
      </c>
      <c r="D263" s="3" t="s">
        <v>1544</v>
      </c>
      <c r="E263" s="3" t="s">
        <v>1094</v>
      </c>
      <c r="F263" s="20">
        <f>LEN(G263)</f>
        <v>61</v>
      </c>
      <c r="G263" s="3" t="s">
        <v>1545</v>
      </c>
      <c r="H263" s="24" t="s">
        <v>1096</v>
      </c>
      <c r="I263" s="3" t="s">
        <v>857</v>
      </c>
      <c r="J263" s="3" t="s">
        <v>154</v>
      </c>
      <c r="K263" s="3" t="s">
        <v>154</v>
      </c>
      <c r="L263" s="3" t="s">
        <v>155</v>
      </c>
      <c r="M263" s="3" t="s">
        <v>1097</v>
      </c>
      <c r="N263" s="20">
        <v>37088</v>
      </c>
      <c r="O263" s="3" t="s">
        <v>1544</v>
      </c>
      <c r="P263" s="3" t="s">
        <v>157</v>
      </c>
      <c r="Q263" s="5"/>
      <c r="R263" s="5"/>
      <c r="S263" s="5"/>
      <c r="T263" s="24"/>
      <c r="U263" s="3" t="b">
        <v>0</v>
      </c>
      <c r="V263" s="3" t="s">
        <v>1100</v>
      </c>
      <c r="W263" s="64"/>
      <c r="X263" s="64"/>
      <c r="Y263" s="64" t="s">
        <v>1118</v>
      </c>
      <c r="Z263" s="64"/>
      <c r="AA263" s="59" t="s">
        <v>784</v>
      </c>
      <c r="AB263" s="65"/>
      <c r="AC263" s="68" t="s">
        <v>213</v>
      </c>
      <c r="AD263" s="65" t="s">
        <v>1546</v>
      </c>
      <c r="AE263" s="68" t="s">
        <v>786</v>
      </c>
      <c r="AF263" s="66" t="s">
        <v>1547</v>
      </c>
      <c r="AG263" s="68" t="s">
        <v>1542</v>
      </c>
      <c r="AH263" s="67"/>
      <c r="AI263" s="69"/>
      <c r="AJ263" s="69"/>
      <c r="AK263" s="69"/>
      <c r="AL263" s="86" t="s">
        <v>218</v>
      </c>
      <c r="AM263" s="88"/>
      <c r="AN263" s="88"/>
      <c r="AO263" s="88"/>
      <c r="AP263" s="59" t="s">
        <v>74</v>
      </c>
      <c r="AQ263" s="68" t="s">
        <v>1548</v>
      </c>
      <c r="AR263" s="59"/>
      <c r="AS263" s="68" t="s">
        <v>788</v>
      </c>
      <c r="AT263" s="59" t="s">
        <v>857</v>
      </c>
      <c r="AU263" s="68" t="s">
        <v>1077</v>
      </c>
    </row>
    <row r="264" spans="1:47" ht="120" customHeight="1">
      <c r="A264" s="3" t="s">
        <v>148</v>
      </c>
      <c r="B264" s="3" t="s">
        <v>160</v>
      </c>
      <c r="C264" s="6">
        <v>46276</v>
      </c>
      <c r="D264" s="3" t="s">
        <v>1549</v>
      </c>
      <c r="E264" s="3" t="s">
        <v>1094</v>
      </c>
      <c r="F264" s="20">
        <f>LEN(G264)</f>
        <v>61</v>
      </c>
      <c r="G264" s="3" t="s">
        <v>1550</v>
      </c>
      <c r="H264" s="24" t="s">
        <v>1096</v>
      </c>
      <c r="I264" s="3" t="s">
        <v>857</v>
      </c>
      <c r="J264" s="3" t="s">
        <v>154</v>
      </c>
      <c r="K264" s="3" t="s">
        <v>154</v>
      </c>
      <c r="L264" s="3" t="s">
        <v>155</v>
      </c>
      <c r="M264" s="3" t="s">
        <v>1097</v>
      </c>
      <c r="N264" s="20">
        <v>37088</v>
      </c>
      <c r="O264" s="3" t="s">
        <v>1549</v>
      </c>
      <c r="P264" s="3" t="s">
        <v>157</v>
      </c>
      <c r="Q264" s="5"/>
      <c r="R264" s="5"/>
      <c r="S264" s="5"/>
      <c r="T264" s="24"/>
      <c r="U264" s="3" t="b">
        <v>0</v>
      </c>
      <c r="V264" s="3" t="s">
        <v>1100</v>
      </c>
      <c r="W264" s="64"/>
      <c r="X264" s="64"/>
      <c r="Y264" s="64" t="s">
        <v>1118</v>
      </c>
      <c r="Z264" s="64"/>
      <c r="AA264" s="59" t="s">
        <v>784</v>
      </c>
      <c r="AB264" s="65"/>
      <c r="AC264" s="68" t="s">
        <v>213</v>
      </c>
      <c r="AD264" s="65" t="s">
        <v>1551</v>
      </c>
      <c r="AE264" s="68" t="s">
        <v>786</v>
      </c>
      <c r="AF264" s="66" t="s">
        <v>1552</v>
      </c>
      <c r="AG264" s="68" t="s">
        <v>1542</v>
      </c>
      <c r="AH264" s="67"/>
      <c r="AI264" s="69"/>
      <c r="AJ264" s="69"/>
      <c r="AK264" s="69"/>
      <c r="AL264" s="86" t="s">
        <v>218</v>
      </c>
      <c r="AM264" s="88"/>
      <c r="AN264" s="88"/>
      <c r="AO264" s="88"/>
      <c r="AP264" s="59" t="s">
        <v>74</v>
      </c>
      <c r="AQ264" s="68" t="s">
        <v>1553</v>
      </c>
      <c r="AR264" s="59"/>
      <c r="AS264" s="68" t="s">
        <v>788</v>
      </c>
      <c r="AT264" s="59" t="s">
        <v>857</v>
      </c>
      <c r="AU264" s="68" t="s">
        <v>1077</v>
      </c>
    </row>
    <row r="265" spans="1:47" ht="120" customHeight="1">
      <c r="A265" s="3" t="s">
        <v>148</v>
      </c>
      <c r="B265" s="3" t="s">
        <v>160</v>
      </c>
      <c r="C265" s="6">
        <v>46276</v>
      </c>
      <c r="D265" s="3" t="s">
        <v>1554</v>
      </c>
      <c r="E265" s="3" t="s">
        <v>1094</v>
      </c>
      <c r="F265" s="20">
        <f>LEN(G265)</f>
        <v>60</v>
      </c>
      <c r="G265" s="3" t="s">
        <v>1555</v>
      </c>
      <c r="H265" s="24" t="s">
        <v>1096</v>
      </c>
      <c r="I265" s="3" t="s">
        <v>857</v>
      </c>
      <c r="J265" s="3" t="s">
        <v>154</v>
      </c>
      <c r="K265" s="3" t="s">
        <v>154</v>
      </c>
      <c r="L265" s="3" t="s">
        <v>155</v>
      </c>
      <c r="M265" s="3" t="s">
        <v>1097</v>
      </c>
      <c r="N265" s="20">
        <v>37088</v>
      </c>
      <c r="O265" s="3" t="s">
        <v>1554</v>
      </c>
      <c r="P265" s="3" t="s">
        <v>157</v>
      </c>
      <c r="Q265" s="5"/>
      <c r="R265" s="5"/>
      <c r="S265" s="5"/>
      <c r="T265" s="24"/>
      <c r="U265" s="3" t="b">
        <v>0</v>
      </c>
      <c r="V265" s="3" t="s">
        <v>1100</v>
      </c>
      <c r="W265" s="64"/>
      <c r="X265" s="64"/>
      <c r="Y265" s="64" t="s">
        <v>1118</v>
      </c>
      <c r="Z265" s="64"/>
      <c r="AA265" s="59" t="s">
        <v>784</v>
      </c>
      <c r="AB265" s="65"/>
      <c r="AC265" s="68" t="s">
        <v>213</v>
      </c>
      <c r="AD265" s="65" t="s">
        <v>1556</v>
      </c>
      <c r="AE265" s="68" t="s">
        <v>786</v>
      </c>
      <c r="AF265" s="66" t="s">
        <v>1555</v>
      </c>
      <c r="AG265" s="68" t="s">
        <v>1542</v>
      </c>
      <c r="AH265" s="67"/>
      <c r="AI265" s="69"/>
      <c r="AJ265" s="69"/>
      <c r="AK265" s="69"/>
      <c r="AL265" s="86" t="s">
        <v>218</v>
      </c>
      <c r="AM265" s="88"/>
      <c r="AN265" s="88"/>
      <c r="AO265" s="88"/>
      <c r="AP265" s="59" t="s">
        <v>74</v>
      </c>
      <c r="AQ265" s="68" t="s">
        <v>1557</v>
      </c>
      <c r="AR265" s="59"/>
      <c r="AS265" s="68" t="s">
        <v>788</v>
      </c>
      <c r="AT265" s="59" t="s">
        <v>857</v>
      </c>
      <c r="AU265" s="68" t="s">
        <v>1077</v>
      </c>
    </row>
    <row r="266" spans="1:47" ht="131.25" customHeight="1">
      <c r="A266" s="3" t="s">
        <v>148</v>
      </c>
      <c r="B266" s="3" t="s">
        <v>160</v>
      </c>
      <c r="C266" s="6">
        <v>46276</v>
      </c>
      <c r="D266" s="3" t="s">
        <v>1558</v>
      </c>
      <c r="E266" s="3" t="s">
        <v>1094</v>
      </c>
      <c r="F266" s="20">
        <f>LEN(G266)</f>
        <v>26</v>
      </c>
      <c r="G266" s="3" t="s">
        <v>1559</v>
      </c>
      <c r="H266" s="24" t="s">
        <v>1096</v>
      </c>
      <c r="I266" s="3" t="s">
        <v>857</v>
      </c>
      <c r="J266" s="3" t="s">
        <v>154</v>
      </c>
      <c r="K266" s="3" t="s">
        <v>154</v>
      </c>
      <c r="L266" s="3" t="s">
        <v>155</v>
      </c>
      <c r="M266" s="3" t="s">
        <v>1097</v>
      </c>
      <c r="N266" s="20">
        <v>37088</v>
      </c>
      <c r="O266" s="3" t="s">
        <v>1558</v>
      </c>
      <c r="P266" s="3" t="s">
        <v>157</v>
      </c>
      <c r="Q266" s="5"/>
      <c r="R266" s="5"/>
      <c r="S266" s="5"/>
      <c r="T266" s="24"/>
      <c r="U266" s="3" t="b">
        <v>0</v>
      </c>
      <c r="V266" s="3" t="s">
        <v>1100</v>
      </c>
      <c r="W266" s="64"/>
      <c r="X266" s="64"/>
      <c r="Y266" s="64" t="s">
        <v>1118</v>
      </c>
      <c r="Z266" s="64"/>
      <c r="AA266" s="59" t="s">
        <v>784</v>
      </c>
      <c r="AB266" s="65"/>
      <c r="AC266" s="68" t="s">
        <v>213</v>
      </c>
      <c r="AD266" s="65" t="s">
        <v>1560</v>
      </c>
      <c r="AE266" s="68" t="s">
        <v>786</v>
      </c>
      <c r="AF266" s="66" t="s">
        <v>1559</v>
      </c>
      <c r="AG266" s="68" t="s">
        <v>1121</v>
      </c>
      <c r="AH266" s="67"/>
      <c r="AI266" s="69"/>
      <c r="AJ266" s="69"/>
      <c r="AK266" s="69"/>
      <c r="AL266" s="86" t="s">
        <v>218</v>
      </c>
      <c r="AM266" s="88"/>
      <c r="AN266" s="88"/>
      <c r="AO266" s="88"/>
      <c r="AP266" s="59" t="s">
        <v>74</v>
      </c>
      <c r="AQ266" s="68" t="s">
        <v>1561</v>
      </c>
      <c r="AR266" s="59"/>
      <c r="AS266" s="68" t="s">
        <v>788</v>
      </c>
      <c r="AT266" s="59" t="s">
        <v>857</v>
      </c>
      <c r="AU266" s="68" t="s">
        <v>1077</v>
      </c>
    </row>
    <row r="267" spans="1:47" ht="131.25" customHeight="1">
      <c r="A267" s="3" t="s">
        <v>148</v>
      </c>
      <c r="B267" s="3" t="s">
        <v>160</v>
      </c>
      <c r="C267" s="6">
        <v>46276</v>
      </c>
      <c r="D267" s="3" t="s">
        <v>1562</v>
      </c>
      <c r="E267" s="3" t="s">
        <v>1094</v>
      </c>
      <c r="F267" s="20">
        <f>LEN(G267)</f>
        <v>26</v>
      </c>
      <c r="G267" s="3" t="s">
        <v>1563</v>
      </c>
      <c r="H267" s="24" t="s">
        <v>1096</v>
      </c>
      <c r="I267" s="3" t="s">
        <v>857</v>
      </c>
      <c r="J267" s="3" t="s">
        <v>154</v>
      </c>
      <c r="K267" s="3" t="s">
        <v>154</v>
      </c>
      <c r="L267" s="3" t="s">
        <v>155</v>
      </c>
      <c r="M267" s="3" t="s">
        <v>1097</v>
      </c>
      <c r="N267" s="20">
        <v>37088</v>
      </c>
      <c r="O267" s="3" t="s">
        <v>1562</v>
      </c>
      <c r="P267" s="3" t="s">
        <v>157</v>
      </c>
      <c r="Q267" s="5"/>
      <c r="R267" s="5"/>
      <c r="S267" s="5"/>
      <c r="T267" s="24"/>
      <c r="U267" s="3" t="b">
        <v>0</v>
      </c>
      <c r="V267" s="3" t="s">
        <v>1100</v>
      </c>
      <c r="W267" s="64"/>
      <c r="X267" s="64"/>
      <c r="Y267" s="64" t="s">
        <v>1118</v>
      </c>
      <c r="Z267" s="64"/>
      <c r="AA267" s="59" t="s">
        <v>784</v>
      </c>
      <c r="AB267" s="65"/>
      <c r="AC267" s="68" t="s">
        <v>213</v>
      </c>
      <c r="AD267" s="65" t="s">
        <v>1564</v>
      </c>
      <c r="AE267" s="68" t="s">
        <v>786</v>
      </c>
      <c r="AF267" s="66" t="s">
        <v>1563</v>
      </c>
      <c r="AG267" s="68" t="s">
        <v>1121</v>
      </c>
      <c r="AH267" s="67"/>
      <c r="AI267" s="69"/>
      <c r="AJ267" s="69"/>
      <c r="AK267" s="69"/>
      <c r="AL267" s="86" t="s">
        <v>218</v>
      </c>
      <c r="AM267" s="88"/>
      <c r="AN267" s="88"/>
      <c r="AO267" s="88"/>
      <c r="AP267" s="59" t="s">
        <v>74</v>
      </c>
      <c r="AQ267" s="68" t="s">
        <v>1565</v>
      </c>
      <c r="AR267" s="59"/>
      <c r="AS267" s="68" t="s">
        <v>788</v>
      </c>
      <c r="AT267" s="59" t="s">
        <v>857</v>
      </c>
      <c r="AU267" s="68" t="s">
        <v>1077</v>
      </c>
    </row>
    <row r="268" spans="1:47" ht="108.75" customHeight="1">
      <c r="A268" s="3" t="s">
        <v>148</v>
      </c>
      <c r="B268" s="3" t="s">
        <v>160</v>
      </c>
      <c r="C268" s="6">
        <v>46276</v>
      </c>
      <c r="D268" s="3" t="s">
        <v>1566</v>
      </c>
      <c r="E268" s="3" t="s">
        <v>1094</v>
      </c>
      <c r="F268" s="20">
        <f>LEN(G268)</f>
        <v>54</v>
      </c>
      <c r="G268" s="3" t="s">
        <v>1567</v>
      </c>
      <c r="H268" s="24" t="s">
        <v>1096</v>
      </c>
      <c r="I268" s="3" t="s">
        <v>857</v>
      </c>
      <c r="J268" s="3" t="s">
        <v>154</v>
      </c>
      <c r="K268" s="3" t="s">
        <v>154</v>
      </c>
      <c r="L268" s="3" t="s">
        <v>155</v>
      </c>
      <c r="M268" s="3" t="s">
        <v>1097</v>
      </c>
      <c r="N268" s="20">
        <v>37088</v>
      </c>
      <c r="O268" s="3" t="s">
        <v>1566</v>
      </c>
      <c r="P268" s="3" t="s">
        <v>157</v>
      </c>
      <c r="Q268" s="5"/>
      <c r="R268" s="5"/>
      <c r="S268" s="5"/>
      <c r="T268" s="24"/>
      <c r="U268" s="3" t="b">
        <v>0</v>
      </c>
      <c r="V268" s="3" t="s">
        <v>1100</v>
      </c>
      <c r="W268" s="64"/>
      <c r="X268" s="64"/>
      <c r="Y268" s="64" t="s">
        <v>1118</v>
      </c>
      <c r="Z268" s="64"/>
      <c r="AA268" s="59" t="s">
        <v>212</v>
      </c>
      <c r="AB268" s="65"/>
      <c r="AC268" s="68" t="s">
        <v>213</v>
      </c>
      <c r="AD268" s="65" t="s">
        <v>1568</v>
      </c>
      <c r="AE268" s="68" t="s">
        <v>1569</v>
      </c>
      <c r="AF268" s="66" t="s">
        <v>1567</v>
      </c>
      <c r="AG268" s="68" t="s">
        <v>1121</v>
      </c>
      <c r="AH268" s="67"/>
      <c r="AI268" s="69"/>
      <c r="AJ268" s="69"/>
      <c r="AK268" s="69"/>
      <c r="AL268" s="86" t="s">
        <v>218</v>
      </c>
      <c r="AM268" s="88"/>
      <c r="AN268" s="89" t="str">
        <f>HYPERLINK("https://portal.spray.com/en-us/products/1-2hh-50w","https://portal.spray.com/en-us/products/1-2hh-50w")</f>
        <v>https://portal.spray.com/en-us/products/1-2hh-50w</v>
      </c>
      <c r="AO268" s="88"/>
      <c r="AP268" s="59" t="s">
        <v>74</v>
      </c>
      <c r="AQ268" s="68" t="s">
        <v>1570</v>
      </c>
      <c r="AR268" s="59"/>
      <c r="AS268" s="68" t="s">
        <v>746</v>
      </c>
      <c r="AT268" s="59" t="s">
        <v>857</v>
      </c>
      <c r="AU268" s="68" t="s">
        <v>1077</v>
      </c>
    </row>
    <row r="269" spans="1:47" ht="120" customHeight="1">
      <c r="A269" s="3" t="s">
        <v>148</v>
      </c>
      <c r="B269" s="3" t="s">
        <v>160</v>
      </c>
      <c r="C269" s="6">
        <v>46276</v>
      </c>
      <c r="D269" s="3" t="s">
        <v>1571</v>
      </c>
      <c r="E269" s="3" t="s">
        <v>1094</v>
      </c>
      <c r="F269" s="20">
        <f>LEN(G269)</f>
        <v>58</v>
      </c>
      <c r="G269" s="3" t="s">
        <v>1572</v>
      </c>
      <c r="H269" s="24" t="s">
        <v>1096</v>
      </c>
      <c r="I269" s="3" t="s">
        <v>857</v>
      </c>
      <c r="J269" s="3" t="s">
        <v>154</v>
      </c>
      <c r="K269" s="3" t="s">
        <v>154</v>
      </c>
      <c r="L269" s="3" t="s">
        <v>155</v>
      </c>
      <c r="M269" s="3" t="s">
        <v>1097</v>
      </c>
      <c r="N269" s="20">
        <v>37088</v>
      </c>
      <c r="O269" s="3" t="s">
        <v>1571</v>
      </c>
      <c r="P269" s="3" t="s">
        <v>157</v>
      </c>
      <c r="Q269" s="5"/>
      <c r="R269" s="5"/>
      <c r="S269" s="5"/>
      <c r="T269" s="24"/>
      <c r="U269" s="3" t="b">
        <v>0</v>
      </c>
      <c r="V269" s="3" t="s">
        <v>1100</v>
      </c>
      <c r="W269" s="64" t="s">
        <v>1573</v>
      </c>
      <c r="X269" s="64" t="s">
        <v>1574</v>
      </c>
      <c r="Y269" s="64" t="s">
        <v>1118</v>
      </c>
      <c r="Z269" s="64"/>
      <c r="AA269" s="59" t="s">
        <v>1575</v>
      </c>
      <c r="AB269" s="65" t="s">
        <v>1576</v>
      </c>
      <c r="AC269" s="68" t="s">
        <v>1577</v>
      </c>
      <c r="AD269" s="65" t="s">
        <v>1578</v>
      </c>
      <c r="AE269" s="68" t="s">
        <v>1579</v>
      </c>
      <c r="AF269" s="66" t="s">
        <v>1572</v>
      </c>
      <c r="AG269" s="68" t="s">
        <v>1121</v>
      </c>
      <c r="AH269" s="67"/>
      <c r="AI269" s="69"/>
      <c r="AJ269" s="69"/>
      <c r="AK269" s="69"/>
      <c r="AL269" s="86" t="s">
        <v>218</v>
      </c>
      <c r="AM269" s="88"/>
      <c r="AN269" s="89" t="str">
        <f>HYPERLINK("https://portal.spray.com/en-us/products/hb3-4u-ss80200","https://portal.spray.com/en-us/products/hb3-4u-ss80200")</f>
        <v>https://portal.spray.com/en-us/products/hb3-4u-ss80200</v>
      </c>
      <c r="AO269" s="88"/>
      <c r="AP269" s="59" t="s">
        <v>72</v>
      </c>
      <c r="AQ269" s="68" t="s">
        <v>1580</v>
      </c>
      <c r="AR269" s="59"/>
      <c r="AS269" s="68" t="s">
        <v>746</v>
      </c>
      <c r="AT269" s="59" t="s">
        <v>857</v>
      </c>
      <c r="AU269" s="68" t="s">
        <v>1077</v>
      </c>
    </row>
    <row r="270" spans="1:47" ht="120" customHeight="1">
      <c r="A270" s="3" t="s">
        <v>148</v>
      </c>
      <c r="B270" s="3" t="s">
        <v>160</v>
      </c>
      <c r="C270" s="6">
        <v>46276</v>
      </c>
      <c r="D270" s="3" t="s">
        <v>1581</v>
      </c>
      <c r="E270" s="3" t="s">
        <v>1094</v>
      </c>
      <c r="F270" s="20">
        <f>LEN(G270)</f>
        <v>57</v>
      </c>
      <c r="G270" s="3" t="s">
        <v>1582</v>
      </c>
      <c r="H270" s="24" t="s">
        <v>1096</v>
      </c>
      <c r="I270" s="3" t="s">
        <v>857</v>
      </c>
      <c r="J270" s="3" t="s">
        <v>154</v>
      </c>
      <c r="K270" s="3" t="s">
        <v>154</v>
      </c>
      <c r="L270" s="3" t="s">
        <v>155</v>
      </c>
      <c r="M270" s="3" t="s">
        <v>1097</v>
      </c>
      <c r="N270" s="20">
        <v>37088</v>
      </c>
      <c r="O270" s="3" t="s">
        <v>1581</v>
      </c>
      <c r="P270" s="3" t="s">
        <v>157</v>
      </c>
      <c r="Q270" s="5"/>
      <c r="R270" s="5"/>
      <c r="S270" s="5"/>
      <c r="T270" s="24"/>
      <c r="U270" s="3" t="b">
        <v>0</v>
      </c>
      <c r="V270" s="3" t="s">
        <v>1100</v>
      </c>
      <c r="W270" s="64"/>
      <c r="X270" s="64"/>
      <c r="Y270" s="64" t="s">
        <v>1118</v>
      </c>
      <c r="Z270" s="64"/>
      <c r="AA270" s="59" t="s">
        <v>212</v>
      </c>
      <c r="AB270" s="65"/>
      <c r="AC270" s="68" t="s">
        <v>213</v>
      </c>
      <c r="AD270" s="65" t="s">
        <v>1583</v>
      </c>
      <c r="AE270" s="68" t="s">
        <v>1584</v>
      </c>
      <c r="AF270" s="66" t="s">
        <v>1582</v>
      </c>
      <c r="AG270" s="68" t="s">
        <v>1121</v>
      </c>
      <c r="AH270" s="67"/>
      <c r="AI270" s="69"/>
      <c r="AJ270" s="69"/>
      <c r="AK270" s="69"/>
      <c r="AL270" s="86" t="s">
        <v>218</v>
      </c>
      <c r="AM270" s="89" t="str">
        <f>HYPERLINK("https://www.lechler.com/fileadmin/media/kataloge/pdfs/industrie/katalog/EN/04_flachstrahl/lechler_flat_fan_nozzles_series_632_633.pdf","https://www.lechler.com/fileadmin/media/kataloge/pdfs/industrie/katalog/EN/04_flachstrahl/lechler_flat_fan_nozzles_series_632_633.pdf")</f>
        <v>https://www.lechler.com/fileadmin/media/kataloge/pdfs/industrie/katalog/EN/04_flachstrahl/lechler_flat_fan_nozzles_series_632_633.pdf</v>
      </c>
      <c r="AN270" s="88"/>
      <c r="AO270" s="88"/>
      <c r="AP270" s="59" t="s">
        <v>74</v>
      </c>
      <c r="AQ270" s="68" t="s">
        <v>1585</v>
      </c>
      <c r="AR270" s="59"/>
      <c r="AS270" s="68" t="s">
        <v>746</v>
      </c>
      <c r="AT270" s="59" t="s">
        <v>857</v>
      </c>
      <c r="AU270" s="68" t="s">
        <v>1077</v>
      </c>
    </row>
    <row r="271" spans="1:47" ht="120" customHeight="1">
      <c r="A271" s="3" t="s">
        <v>148</v>
      </c>
      <c r="B271" s="3" t="s">
        <v>160</v>
      </c>
      <c r="C271" s="6">
        <v>46276</v>
      </c>
      <c r="D271" s="3" t="s">
        <v>1586</v>
      </c>
      <c r="E271" s="3" t="s">
        <v>1094</v>
      </c>
      <c r="F271" s="20">
        <f>LEN(G271)</f>
        <v>57</v>
      </c>
      <c r="G271" s="3" t="s">
        <v>1587</v>
      </c>
      <c r="H271" s="24" t="s">
        <v>1096</v>
      </c>
      <c r="I271" s="3" t="s">
        <v>857</v>
      </c>
      <c r="J271" s="3" t="s">
        <v>154</v>
      </c>
      <c r="K271" s="3" t="s">
        <v>154</v>
      </c>
      <c r="L271" s="3" t="s">
        <v>155</v>
      </c>
      <c r="M271" s="3" t="s">
        <v>1097</v>
      </c>
      <c r="N271" s="20">
        <v>37088</v>
      </c>
      <c r="O271" s="3" t="s">
        <v>1586</v>
      </c>
      <c r="P271" s="3" t="s">
        <v>157</v>
      </c>
      <c r="Q271" s="5"/>
      <c r="R271" s="5"/>
      <c r="S271" s="5"/>
      <c r="T271" s="24"/>
      <c r="U271" s="3" t="b">
        <v>0</v>
      </c>
      <c r="V271" s="3" t="s">
        <v>1100</v>
      </c>
      <c r="W271" s="64"/>
      <c r="X271" s="64"/>
      <c r="Y271" s="64" t="s">
        <v>1118</v>
      </c>
      <c r="Z271" s="64"/>
      <c r="AA271" s="59" t="s">
        <v>212</v>
      </c>
      <c r="AB271" s="65"/>
      <c r="AC271" s="68" t="s">
        <v>213</v>
      </c>
      <c r="AD271" s="65" t="s">
        <v>1588</v>
      </c>
      <c r="AE271" s="68" t="s">
        <v>1589</v>
      </c>
      <c r="AF271" s="66" t="s">
        <v>1587</v>
      </c>
      <c r="AG271" s="68" t="s">
        <v>1121</v>
      </c>
      <c r="AH271" s="67"/>
      <c r="AI271" s="69"/>
      <c r="AJ271" s="69"/>
      <c r="AK271" s="69"/>
      <c r="AL271" s="86" t="s">
        <v>218</v>
      </c>
      <c r="AM271" s="89" t="str">
        <f>HYPERLINK("https://www.lechler.com/fileadmin/media/kataloge/pdfs/industrie/katalog/EN/04_flachstrahl/lechler_flat_fan_nozzles_series_632_633.pdf","https://www.lechler.com/fileadmin/media/kataloge/pdfs/industrie/katalog/EN/04_flachstrahl/lechler_flat_fan_nozzles_series_632_633.pdf")</f>
        <v>https://www.lechler.com/fileadmin/media/kataloge/pdfs/industrie/katalog/EN/04_flachstrahl/lechler_flat_fan_nozzles_series_632_633.pdf</v>
      </c>
      <c r="AN271" s="88"/>
      <c r="AO271" s="88"/>
      <c r="AP271" s="59" t="s">
        <v>74</v>
      </c>
      <c r="AQ271" s="68" t="s">
        <v>1590</v>
      </c>
      <c r="AR271" s="59"/>
      <c r="AS271" s="68" t="s">
        <v>746</v>
      </c>
      <c r="AT271" s="59" t="s">
        <v>857</v>
      </c>
      <c r="AU271" s="68" t="s">
        <v>1077</v>
      </c>
    </row>
    <row r="272" spans="1:47" ht="131.25" customHeight="1">
      <c r="A272" s="3" t="s">
        <v>148</v>
      </c>
      <c r="B272" s="3" t="s">
        <v>160</v>
      </c>
      <c r="C272" s="6">
        <v>46276</v>
      </c>
      <c r="D272" s="3" t="s">
        <v>1591</v>
      </c>
      <c r="E272" s="3" t="s">
        <v>1094</v>
      </c>
      <c r="F272" s="20">
        <f>LEN(G272)</f>
        <v>47</v>
      </c>
      <c r="G272" s="3" t="s">
        <v>1592</v>
      </c>
      <c r="H272" s="24" t="s">
        <v>1096</v>
      </c>
      <c r="I272" s="3" t="s">
        <v>857</v>
      </c>
      <c r="J272" s="3" t="s">
        <v>154</v>
      </c>
      <c r="K272" s="3" t="s">
        <v>154</v>
      </c>
      <c r="L272" s="3" t="s">
        <v>155</v>
      </c>
      <c r="M272" s="3" t="s">
        <v>1097</v>
      </c>
      <c r="N272" s="20">
        <v>37088</v>
      </c>
      <c r="O272" s="3" t="s">
        <v>1591</v>
      </c>
      <c r="P272" s="3" t="s">
        <v>157</v>
      </c>
      <c r="Q272" s="5"/>
      <c r="R272" s="5"/>
      <c r="S272" s="5"/>
      <c r="T272" s="24"/>
      <c r="U272" s="3" t="b">
        <v>0</v>
      </c>
      <c r="V272" s="3" t="s">
        <v>1100</v>
      </c>
      <c r="W272" s="64"/>
      <c r="X272" s="64"/>
      <c r="Y272" s="64" t="s">
        <v>1118</v>
      </c>
      <c r="Z272" s="64"/>
      <c r="AA272" s="59" t="s">
        <v>784</v>
      </c>
      <c r="AB272" s="65"/>
      <c r="AC272" s="68" t="s">
        <v>213</v>
      </c>
      <c r="AD272" s="65" t="s">
        <v>1593</v>
      </c>
      <c r="AE272" s="68" t="s">
        <v>786</v>
      </c>
      <c r="AF272" s="66" t="s">
        <v>1592</v>
      </c>
      <c r="AG272" s="68" t="s">
        <v>1121</v>
      </c>
      <c r="AH272" s="67"/>
      <c r="AI272" s="69"/>
      <c r="AJ272" s="69"/>
      <c r="AK272" s="69"/>
      <c r="AL272" s="86" t="s">
        <v>218</v>
      </c>
      <c r="AM272" s="88"/>
      <c r="AN272" s="88"/>
      <c r="AO272" s="88"/>
      <c r="AP272" s="59" t="s">
        <v>74</v>
      </c>
      <c r="AQ272" s="68" t="s">
        <v>1594</v>
      </c>
      <c r="AR272" s="59"/>
      <c r="AS272" s="68" t="s">
        <v>788</v>
      </c>
      <c r="AT272" s="59" t="s">
        <v>857</v>
      </c>
      <c r="AU272" s="68" t="s">
        <v>1077</v>
      </c>
    </row>
    <row r="273" spans="1:47" ht="120" customHeight="1">
      <c r="A273" s="3" t="s">
        <v>148</v>
      </c>
      <c r="B273" s="3" t="s">
        <v>160</v>
      </c>
      <c r="C273" s="6">
        <v>46276</v>
      </c>
      <c r="D273" s="3" t="s">
        <v>1595</v>
      </c>
      <c r="E273" s="3" t="s">
        <v>1094</v>
      </c>
      <c r="F273" s="20">
        <f>LEN(G273)</f>
        <v>31</v>
      </c>
      <c r="G273" s="3" t="s">
        <v>1596</v>
      </c>
      <c r="H273" s="24" t="s">
        <v>1096</v>
      </c>
      <c r="I273" s="3" t="s">
        <v>857</v>
      </c>
      <c r="J273" s="3" t="s">
        <v>154</v>
      </c>
      <c r="K273" s="3" t="s">
        <v>154</v>
      </c>
      <c r="L273" s="3" t="s">
        <v>155</v>
      </c>
      <c r="M273" s="3" t="s">
        <v>1097</v>
      </c>
      <c r="N273" s="20">
        <v>37088</v>
      </c>
      <c r="O273" s="3" t="s">
        <v>1595</v>
      </c>
      <c r="P273" s="3" t="s">
        <v>157</v>
      </c>
      <c r="Q273" s="5"/>
      <c r="R273" s="5"/>
      <c r="S273" s="5"/>
      <c r="T273" s="24"/>
      <c r="U273" s="3" t="b">
        <v>0</v>
      </c>
      <c r="V273" s="3" t="s">
        <v>1100</v>
      </c>
      <c r="W273" s="64"/>
      <c r="X273" s="64"/>
      <c r="Y273" s="64" t="s">
        <v>1118</v>
      </c>
      <c r="Z273" s="64"/>
      <c r="AA273" s="59" t="s">
        <v>212</v>
      </c>
      <c r="AB273" s="65"/>
      <c r="AC273" s="68" t="s">
        <v>213</v>
      </c>
      <c r="AD273" s="65" t="s">
        <v>1597</v>
      </c>
      <c r="AE273" s="68" t="s">
        <v>786</v>
      </c>
      <c r="AF273" s="66" t="s">
        <v>1596</v>
      </c>
      <c r="AG273" s="68" t="s">
        <v>1121</v>
      </c>
      <c r="AH273" s="67"/>
      <c r="AI273" s="69"/>
      <c r="AJ273" s="69"/>
      <c r="AK273" s="69"/>
      <c r="AL273" s="86" t="s">
        <v>218</v>
      </c>
      <c r="AM273" s="89" t="str">
        <f>HYPERLINK("https://pdfcookie.com/documents/despiece-tunel-frigoscandia-90259yq78kl1","https://pdfcookie.com/documents/despiece-tunel-frigoscandia-90259yq78kl1")</f>
        <v>https://pdfcookie.com/documents/despiece-tunel-frigoscandia-90259yq78kl1</v>
      </c>
      <c r="AN273" s="88"/>
      <c r="AO273" s="88"/>
      <c r="AP273" s="59" t="s">
        <v>74</v>
      </c>
      <c r="AQ273" s="68" t="s">
        <v>1598</v>
      </c>
      <c r="AR273" s="59"/>
      <c r="AS273" s="68" t="s">
        <v>746</v>
      </c>
      <c r="AT273" s="59" t="s">
        <v>857</v>
      </c>
      <c r="AU273" s="68" t="s">
        <v>1077</v>
      </c>
    </row>
    <row r="274" spans="1:47" ht="131.25" customHeight="1">
      <c r="A274" s="3" t="s">
        <v>148</v>
      </c>
      <c r="B274" s="3" t="s">
        <v>160</v>
      </c>
      <c r="C274" s="6">
        <v>46276</v>
      </c>
      <c r="D274" s="3" t="s">
        <v>1599</v>
      </c>
      <c r="E274" s="3" t="s">
        <v>1094</v>
      </c>
      <c r="F274" s="20">
        <f>LEN(G274)</f>
        <v>33</v>
      </c>
      <c r="G274" s="3" t="s">
        <v>1600</v>
      </c>
      <c r="H274" s="24" t="s">
        <v>1096</v>
      </c>
      <c r="I274" s="3" t="s">
        <v>857</v>
      </c>
      <c r="J274" s="3" t="s">
        <v>154</v>
      </c>
      <c r="K274" s="3" t="s">
        <v>154</v>
      </c>
      <c r="L274" s="3" t="s">
        <v>155</v>
      </c>
      <c r="M274" s="3" t="s">
        <v>1097</v>
      </c>
      <c r="N274" s="20">
        <v>37088</v>
      </c>
      <c r="O274" s="3" t="s">
        <v>1599</v>
      </c>
      <c r="P274" s="3" t="s">
        <v>157</v>
      </c>
      <c r="Q274" s="5"/>
      <c r="R274" s="5"/>
      <c r="S274" s="5"/>
      <c r="T274" s="24"/>
      <c r="U274" s="3" t="b">
        <v>0</v>
      </c>
      <c r="V274" s="3" t="s">
        <v>1100</v>
      </c>
      <c r="W274" s="64"/>
      <c r="X274" s="64"/>
      <c r="Y274" s="64" t="s">
        <v>1118</v>
      </c>
      <c r="Z274" s="64"/>
      <c r="AA274" s="59" t="s">
        <v>784</v>
      </c>
      <c r="AB274" s="65"/>
      <c r="AC274" s="68" t="s">
        <v>213</v>
      </c>
      <c r="AD274" s="65" t="s">
        <v>1601</v>
      </c>
      <c r="AE274" s="68" t="s">
        <v>786</v>
      </c>
      <c r="AF274" s="66" t="s">
        <v>1600</v>
      </c>
      <c r="AG274" s="68" t="s">
        <v>1121</v>
      </c>
      <c r="AH274" s="67"/>
      <c r="AI274" s="69"/>
      <c r="AJ274" s="69"/>
      <c r="AK274" s="69"/>
      <c r="AL274" s="86" t="s">
        <v>218</v>
      </c>
      <c r="AM274" s="88"/>
      <c r="AN274" s="88"/>
      <c r="AO274" s="88"/>
      <c r="AP274" s="59" t="s">
        <v>74</v>
      </c>
      <c r="AQ274" s="68" t="s">
        <v>1602</v>
      </c>
      <c r="AR274" s="59"/>
      <c r="AS274" s="68" t="s">
        <v>788</v>
      </c>
      <c r="AT274" s="59" t="s">
        <v>857</v>
      </c>
      <c r="AU274" s="68" t="s">
        <v>1077</v>
      </c>
    </row>
    <row r="275" spans="1:47" ht="131.25" customHeight="1">
      <c r="A275" s="3" t="s">
        <v>148</v>
      </c>
      <c r="B275" s="3" t="s">
        <v>160</v>
      </c>
      <c r="C275" s="6">
        <v>46276</v>
      </c>
      <c r="D275" s="3" t="s">
        <v>1408</v>
      </c>
      <c r="E275" s="3" t="s">
        <v>1094</v>
      </c>
      <c r="F275" s="20">
        <f>LEN(G275)</f>
        <v>21</v>
      </c>
      <c r="G275" s="3" t="s">
        <v>1409</v>
      </c>
      <c r="H275" s="24" t="s">
        <v>1096</v>
      </c>
      <c r="I275" s="3" t="s">
        <v>857</v>
      </c>
      <c r="J275" s="3" t="s">
        <v>154</v>
      </c>
      <c r="K275" s="3" t="s">
        <v>154</v>
      </c>
      <c r="L275" s="3" t="s">
        <v>155</v>
      </c>
      <c r="M275" s="3" t="s">
        <v>1097</v>
      </c>
      <c r="N275" s="20">
        <v>37088</v>
      </c>
      <c r="O275" s="3" t="s">
        <v>1408</v>
      </c>
      <c r="P275" s="3" t="s">
        <v>157</v>
      </c>
      <c r="Q275" s="5"/>
      <c r="R275" s="5"/>
      <c r="S275" s="5"/>
      <c r="T275" s="24"/>
      <c r="U275" s="3" t="b">
        <v>0</v>
      </c>
      <c r="V275" s="3" t="s">
        <v>1100</v>
      </c>
      <c r="W275" s="64"/>
      <c r="X275" s="64"/>
      <c r="Y275" s="64" t="s">
        <v>1118</v>
      </c>
      <c r="Z275" s="64"/>
      <c r="AA275" s="59" t="s">
        <v>784</v>
      </c>
      <c r="AB275" s="65"/>
      <c r="AC275" s="68" t="s">
        <v>213</v>
      </c>
      <c r="AD275" s="65" t="s">
        <v>1603</v>
      </c>
      <c r="AE275" s="68" t="s">
        <v>786</v>
      </c>
      <c r="AF275" s="66" t="s">
        <v>1409</v>
      </c>
      <c r="AG275" s="68" t="s">
        <v>1121</v>
      </c>
      <c r="AH275" s="67"/>
      <c r="AI275" s="69"/>
      <c r="AJ275" s="69"/>
      <c r="AK275" s="69"/>
      <c r="AL275" s="86" t="s">
        <v>218</v>
      </c>
      <c r="AM275" s="88"/>
      <c r="AN275" s="88"/>
      <c r="AO275" s="88"/>
      <c r="AP275" s="59" t="s">
        <v>74</v>
      </c>
      <c r="AQ275" s="68" t="s">
        <v>1604</v>
      </c>
      <c r="AR275" s="59"/>
      <c r="AS275" s="68" t="s">
        <v>788</v>
      </c>
      <c r="AT275" s="59" t="s">
        <v>857</v>
      </c>
      <c r="AU275" s="68" t="s">
        <v>1077</v>
      </c>
    </row>
    <row r="276" spans="1:47" ht="131.25" customHeight="1">
      <c r="A276" s="3" t="s">
        <v>148</v>
      </c>
      <c r="B276" s="3" t="s">
        <v>160</v>
      </c>
      <c r="C276" s="6">
        <v>46276</v>
      </c>
      <c r="D276" s="3" t="s">
        <v>1605</v>
      </c>
      <c r="E276" s="3" t="s">
        <v>1094</v>
      </c>
      <c r="F276" s="20">
        <f>LEN(G276)</f>
        <v>21</v>
      </c>
      <c r="G276" s="3" t="s">
        <v>1606</v>
      </c>
      <c r="H276" s="24" t="s">
        <v>1096</v>
      </c>
      <c r="I276" s="3" t="s">
        <v>857</v>
      </c>
      <c r="J276" s="3" t="s">
        <v>154</v>
      </c>
      <c r="K276" s="3" t="s">
        <v>154</v>
      </c>
      <c r="L276" s="3" t="s">
        <v>155</v>
      </c>
      <c r="M276" s="3" t="s">
        <v>1097</v>
      </c>
      <c r="N276" s="20">
        <v>37088</v>
      </c>
      <c r="O276" s="3" t="s">
        <v>1605</v>
      </c>
      <c r="P276" s="3" t="s">
        <v>157</v>
      </c>
      <c r="Q276" s="5"/>
      <c r="R276" s="5"/>
      <c r="S276" s="5"/>
      <c r="T276" s="24"/>
      <c r="U276" s="3" t="b">
        <v>0</v>
      </c>
      <c r="V276" s="3" t="s">
        <v>1100</v>
      </c>
      <c r="W276" s="64"/>
      <c r="X276" s="64"/>
      <c r="Y276" s="64" t="s">
        <v>1118</v>
      </c>
      <c r="Z276" s="64"/>
      <c r="AA276" s="59" t="s">
        <v>784</v>
      </c>
      <c r="AB276" s="65"/>
      <c r="AC276" s="68" t="s">
        <v>213</v>
      </c>
      <c r="AD276" s="65" t="s">
        <v>1607</v>
      </c>
      <c r="AE276" s="68" t="s">
        <v>786</v>
      </c>
      <c r="AF276" s="66" t="s">
        <v>1606</v>
      </c>
      <c r="AG276" s="68" t="s">
        <v>1121</v>
      </c>
      <c r="AH276" s="67"/>
      <c r="AI276" s="69"/>
      <c r="AJ276" s="69"/>
      <c r="AK276" s="69"/>
      <c r="AL276" s="86" t="s">
        <v>218</v>
      </c>
      <c r="AM276" s="88"/>
      <c r="AN276" s="88"/>
      <c r="AO276" s="88"/>
      <c r="AP276" s="59" t="s">
        <v>74</v>
      </c>
      <c r="AQ276" s="68" t="s">
        <v>1608</v>
      </c>
      <c r="AR276" s="59"/>
      <c r="AS276" s="68" t="s">
        <v>788</v>
      </c>
      <c r="AT276" s="59" t="s">
        <v>857</v>
      </c>
      <c r="AU276" s="68" t="s">
        <v>1077</v>
      </c>
    </row>
    <row r="277" spans="1:47" ht="131.25" customHeight="1">
      <c r="A277" s="3" t="s">
        <v>148</v>
      </c>
      <c r="B277" s="3" t="s">
        <v>160</v>
      </c>
      <c r="C277" s="6">
        <v>46276</v>
      </c>
      <c r="D277" s="3" t="s">
        <v>1609</v>
      </c>
      <c r="E277" s="3" t="s">
        <v>1094</v>
      </c>
      <c r="F277" s="20">
        <f>LEN(G277)</f>
        <v>23</v>
      </c>
      <c r="G277" s="3" t="s">
        <v>1610</v>
      </c>
      <c r="H277" s="24" t="s">
        <v>1096</v>
      </c>
      <c r="I277" s="3" t="s">
        <v>857</v>
      </c>
      <c r="J277" s="3" t="s">
        <v>154</v>
      </c>
      <c r="K277" s="3" t="s">
        <v>154</v>
      </c>
      <c r="L277" s="3" t="s">
        <v>155</v>
      </c>
      <c r="M277" s="3" t="s">
        <v>1097</v>
      </c>
      <c r="N277" s="20">
        <v>37088</v>
      </c>
      <c r="O277" s="3" t="s">
        <v>1609</v>
      </c>
      <c r="P277" s="3" t="s">
        <v>157</v>
      </c>
      <c r="Q277" s="5"/>
      <c r="R277" s="5"/>
      <c r="S277" s="5"/>
      <c r="T277" s="24"/>
      <c r="U277" s="3" t="b">
        <v>0</v>
      </c>
      <c r="V277" s="3" t="s">
        <v>1100</v>
      </c>
      <c r="W277" s="64"/>
      <c r="X277" s="64"/>
      <c r="Y277" s="64" t="s">
        <v>1118</v>
      </c>
      <c r="Z277" s="64"/>
      <c r="AA277" s="59" t="s">
        <v>784</v>
      </c>
      <c r="AB277" s="65"/>
      <c r="AC277" s="68" t="s">
        <v>213</v>
      </c>
      <c r="AD277" s="65" t="s">
        <v>1611</v>
      </c>
      <c r="AE277" s="68" t="s">
        <v>786</v>
      </c>
      <c r="AF277" s="66" t="s">
        <v>1610</v>
      </c>
      <c r="AG277" s="68" t="s">
        <v>1121</v>
      </c>
      <c r="AH277" s="67"/>
      <c r="AI277" s="69"/>
      <c r="AJ277" s="69"/>
      <c r="AK277" s="69"/>
      <c r="AL277" s="86" t="s">
        <v>218</v>
      </c>
      <c r="AM277" s="88"/>
      <c r="AN277" s="88"/>
      <c r="AO277" s="88"/>
      <c r="AP277" s="59" t="s">
        <v>74</v>
      </c>
      <c r="AQ277" s="68" t="s">
        <v>1612</v>
      </c>
      <c r="AR277" s="59"/>
      <c r="AS277" s="68" t="s">
        <v>788</v>
      </c>
      <c r="AT277" s="59" t="s">
        <v>857</v>
      </c>
      <c r="AU277" s="68" t="s">
        <v>1077</v>
      </c>
    </row>
    <row r="278" spans="1:47" ht="131.25" customHeight="1">
      <c r="A278" s="3" t="s">
        <v>148</v>
      </c>
      <c r="B278" s="3" t="s">
        <v>160</v>
      </c>
      <c r="C278" s="6">
        <v>46276</v>
      </c>
      <c r="D278" s="3" t="s">
        <v>1613</v>
      </c>
      <c r="E278" s="3" t="s">
        <v>1094</v>
      </c>
      <c r="F278" s="20">
        <f>LEN(G278)</f>
        <v>25</v>
      </c>
      <c r="G278" s="3" t="s">
        <v>1614</v>
      </c>
      <c r="H278" s="24" t="s">
        <v>1096</v>
      </c>
      <c r="I278" s="3" t="s">
        <v>857</v>
      </c>
      <c r="J278" s="3" t="s">
        <v>154</v>
      </c>
      <c r="K278" s="3" t="s">
        <v>154</v>
      </c>
      <c r="L278" s="3" t="s">
        <v>155</v>
      </c>
      <c r="M278" s="3" t="s">
        <v>1097</v>
      </c>
      <c r="N278" s="20">
        <v>37088</v>
      </c>
      <c r="O278" s="3" t="s">
        <v>1613</v>
      </c>
      <c r="P278" s="3" t="s">
        <v>157</v>
      </c>
      <c r="Q278" s="5"/>
      <c r="R278" s="5"/>
      <c r="S278" s="5"/>
      <c r="T278" s="24"/>
      <c r="U278" s="3" t="b">
        <v>0</v>
      </c>
      <c r="V278" s="3" t="s">
        <v>1100</v>
      </c>
      <c r="W278" s="64"/>
      <c r="X278" s="64"/>
      <c r="Y278" s="64" t="s">
        <v>1118</v>
      </c>
      <c r="Z278" s="64"/>
      <c r="AA278" s="59" t="s">
        <v>784</v>
      </c>
      <c r="AB278" s="65"/>
      <c r="AC278" s="68" t="s">
        <v>213</v>
      </c>
      <c r="AD278" s="65" t="s">
        <v>1615</v>
      </c>
      <c r="AE278" s="68" t="s">
        <v>786</v>
      </c>
      <c r="AF278" s="66" t="s">
        <v>1614</v>
      </c>
      <c r="AG278" s="68" t="s">
        <v>1121</v>
      </c>
      <c r="AH278" s="67"/>
      <c r="AI278" s="69"/>
      <c r="AJ278" s="69"/>
      <c r="AK278" s="69"/>
      <c r="AL278" s="86" t="s">
        <v>218</v>
      </c>
      <c r="AM278" s="88"/>
      <c r="AN278" s="88"/>
      <c r="AO278" s="88"/>
      <c r="AP278" s="59" t="s">
        <v>74</v>
      </c>
      <c r="AQ278" s="68" t="s">
        <v>1616</v>
      </c>
      <c r="AR278" s="59"/>
      <c r="AS278" s="68" t="s">
        <v>788</v>
      </c>
      <c r="AT278" s="59" t="s">
        <v>857</v>
      </c>
      <c r="AU278" s="68" t="s">
        <v>1077</v>
      </c>
    </row>
    <row r="279" spans="1:47" ht="131.25" customHeight="1">
      <c r="A279" s="3" t="s">
        <v>148</v>
      </c>
      <c r="B279" s="3" t="s">
        <v>160</v>
      </c>
      <c r="C279" s="6">
        <v>46276</v>
      </c>
      <c r="D279" s="3" t="s">
        <v>1617</v>
      </c>
      <c r="E279" s="3" t="s">
        <v>1094</v>
      </c>
      <c r="F279" s="20">
        <f>LEN(G279)</f>
        <v>50</v>
      </c>
      <c r="G279" s="3" t="s">
        <v>1618</v>
      </c>
      <c r="H279" s="24" t="s">
        <v>1096</v>
      </c>
      <c r="I279" s="3" t="s">
        <v>857</v>
      </c>
      <c r="J279" s="3" t="s">
        <v>154</v>
      </c>
      <c r="K279" s="3" t="s">
        <v>154</v>
      </c>
      <c r="L279" s="3" t="s">
        <v>155</v>
      </c>
      <c r="M279" s="3" t="s">
        <v>1097</v>
      </c>
      <c r="N279" s="20">
        <v>37088</v>
      </c>
      <c r="O279" s="3" t="s">
        <v>1617</v>
      </c>
      <c r="P279" s="3" t="s">
        <v>157</v>
      </c>
      <c r="Q279" s="5"/>
      <c r="R279" s="5"/>
      <c r="S279" s="5"/>
      <c r="T279" s="24"/>
      <c r="U279" s="3" t="b">
        <v>0</v>
      </c>
      <c r="V279" s="3" t="s">
        <v>1100</v>
      </c>
      <c r="W279" s="64"/>
      <c r="X279" s="64"/>
      <c r="Y279" s="64" t="s">
        <v>1118</v>
      </c>
      <c r="Z279" s="64"/>
      <c r="AA279" s="59" t="s">
        <v>784</v>
      </c>
      <c r="AB279" s="65"/>
      <c r="AC279" s="68" t="s">
        <v>213</v>
      </c>
      <c r="AD279" s="65" t="s">
        <v>1619</v>
      </c>
      <c r="AE279" s="68" t="s">
        <v>786</v>
      </c>
      <c r="AF279" s="66" t="s">
        <v>1618</v>
      </c>
      <c r="AG279" s="68" t="s">
        <v>1121</v>
      </c>
      <c r="AH279" s="67"/>
      <c r="AI279" s="69"/>
      <c r="AJ279" s="69"/>
      <c r="AK279" s="69"/>
      <c r="AL279" s="86" t="s">
        <v>218</v>
      </c>
      <c r="AM279" s="88"/>
      <c r="AN279" s="88"/>
      <c r="AO279" s="88"/>
      <c r="AP279" s="59" t="s">
        <v>74</v>
      </c>
      <c r="AQ279" s="68" t="s">
        <v>1620</v>
      </c>
      <c r="AR279" s="59"/>
      <c r="AS279" s="68" t="s">
        <v>788</v>
      </c>
      <c r="AT279" s="59" t="s">
        <v>857</v>
      </c>
      <c r="AU279" s="68" t="s">
        <v>1077</v>
      </c>
    </row>
    <row r="280" spans="1:47" ht="131.25" customHeight="1">
      <c r="A280" s="3" t="s">
        <v>148</v>
      </c>
      <c r="B280" s="3" t="s">
        <v>160</v>
      </c>
      <c r="C280" s="6">
        <v>46276</v>
      </c>
      <c r="D280" s="3" t="s">
        <v>1621</v>
      </c>
      <c r="E280" s="3" t="s">
        <v>1094</v>
      </c>
      <c r="F280" s="20">
        <f>LEN(G280)</f>
        <v>36</v>
      </c>
      <c r="G280" s="3" t="s">
        <v>1622</v>
      </c>
      <c r="H280" s="24" t="s">
        <v>1096</v>
      </c>
      <c r="I280" s="3" t="s">
        <v>857</v>
      </c>
      <c r="J280" s="3" t="s">
        <v>154</v>
      </c>
      <c r="K280" s="3" t="s">
        <v>154</v>
      </c>
      <c r="L280" s="3" t="s">
        <v>155</v>
      </c>
      <c r="M280" s="3" t="s">
        <v>1097</v>
      </c>
      <c r="N280" s="20">
        <v>37088</v>
      </c>
      <c r="O280" s="3" t="s">
        <v>1621</v>
      </c>
      <c r="P280" s="3" t="s">
        <v>157</v>
      </c>
      <c r="Q280" s="5"/>
      <c r="R280" s="5"/>
      <c r="S280" s="5"/>
      <c r="T280" s="24"/>
      <c r="U280" s="3" t="b">
        <v>0</v>
      </c>
      <c r="V280" s="3" t="s">
        <v>1100</v>
      </c>
      <c r="W280" s="64"/>
      <c r="X280" s="64"/>
      <c r="Y280" s="64" t="s">
        <v>1118</v>
      </c>
      <c r="Z280" s="64"/>
      <c r="AA280" s="59" t="s">
        <v>784</v>
      </c>
      <c r="AB280" s="65"/>
      <c r="AC280" s="68" t="s">
        <v>213</v>
      </c>
      <c r="AD280" s="65" t="s">
        <v>1623</v>
      </c>
      <c r="AE280" s="68" t="s">
        <v>786</v>
      </c>
      <c r="AF280" s="66" t="s">
        <v>1622</v>
      </c>
      <c r="AG280" s="68" t="s">
        <v>1121</v>
      </c>
      <c r="AH280" s="67"/>
      <c r="AI280" s="69"/>
      <c r="AJ280" s="69"/>
      <c r="AK280" s="69"/>
      <c r="AL280" s="86" t="s">
        <v>218</v>
      </c>
      <c r="AM280" s="88"/>
      <c r="AN280" s="88"/>
      <c r="AO280" s="88"/>
      <c r="AP280" s="59" t="s">
        <v>74</v>
      </c>
      <c r="AQ280" s="68" t="s">
        <v>1624</v>
      </c>
      <c r="AR280" s="59"/>
      <c r="AS280" s="68" t="s">
        <v>788</v>
      </c>
      <c r="AT280" s="59" t="s">
        <v>857</v>
      </c>
      <c r="AU280" s="68" t="s">
        <v>1077</v>
      </c>
    </row>
    <row r="281" spans="1:47" ht="131.25" customHeight="1">
      <c r="A281" s="3" t="s">
        <v>148</v>
      </c>
      <c r="B281" s="3" t="s">
        <v>160</v>
      </c>
      <c r="C281" s="6">
        <v>46276</v>
      </c>
      <c r="D281" s="3" t="s">
        <v>1625</v>
      </c>
      <c r="E281" s="3" t="s">
        <v>1094</v>
      </c>
      <c r="F281" s="20">
        <f>LEN(G281)</f>
        <v>21</v>
      </c>
      <c r="G281" s="3" t="s">
        <v>1626</v>
      </c>
      <c r="H281" s="24" t="s">
        <v>1096</v>
      </c>
      <c r="I281" s="3" t="s">
        <v>857</v>
      </c>
      <c r="J281" s="3" t="s">
        <v>154</v>
      </c>
      <c r="K281" s="3" t="s">
        <v>154</v>
      </c>
      <c r="L281" s="3" t="s">
        <v>155</v>
      </c>
      <c r="M281" s="3" t="s">
        <v>1097</v>
      </c>
      <c r="N281" s="20">
        <v>37088</v>
      </c>
      <c r="O281" s="3" t="s">
        <v>1625</v>
      </c>
      <c r="P281" s="3" t="s">
        <v>157</v>
      </c>
      <c r="Q281" s="5"/>
      <c r="R281" s="5"/>
      <c r="S281" s="5"/>
      <c r="T281" s="24"/>
      <c r="U281" s="3" t="b">
        <v>0</v>
      </c>
      <c r="V281" s="3" t="s">
        <v>1100</v>
      </c>
      <c r="W281" s="64"/>
      <c r="X281" s="64"/>
      <c r="Y281" s="64" t="s">
        <v>1118</v>
      </c>
      <c r="Z281" s="64"/>
      <c r="AA281" s="59" t="s">
        <v>784</v>
      </c>
      <c r="AB281" s="65"/>
      <c r="AC281" s="68" t="s">
        <v>213</v>
      </c>
      <c r="AD281" s="65" t="s">
        <v>1627</v>
      </c>
      <c r="AE281" s="68" t="s">
        <v>786</v>
      </c>
      <c r="AF281" s="66" t="s">
        <v>1626</v>
      </c>
      <c r="AG281" s="68" t="s">
        <v>1121</v>
      </c>
      <c r="AH281" s="67"/>
      <c r="AI281" s="69"/>
      <c r="AJ281" s="69"/>
      <c r="AK281" s="69"/>
      <c r="AL281" s="86" t="s">
        <v>218</v>
      </c>
      <c r="AM281" s="88"/>
      <c r="AN281" s="88"/>
      <c r="AO281" s="88"/>
      <c r="AP281" s="59" t="s">
        <v>74</v>
      </c>
      <c r="AQ281" s="68" t="s">
        <v>1628</v>
      </c>
      <c r="AR281" s="59"/>
      <c r="AS281" s="68" t="s">
        <v>788</v>
      </c>
      <c r="AT281" s="59" t="s">
        <v>857</v>
      </c>
      <c r="AU281" s="68" t="s">
        <v>1077</v>
      </c>
    </row>
    <row r="282" spans="1:47" ht="131.25" customHeight="1">
      <c r="A282" s="3" t="s">
        <v>148</v>
      </c>
      <c r="B282" s="3" t="s">
        <v>160</v>
      </c>
      <c r="C282" s="6">
        <v>46276</v>
      </c>
      <c r="D282" s="3" t="s">
        <v>1629</v>
      </c>
      <c r="E282" s="3" t="s">
        <v>1094</v>
      </c>
      <c r="F282" s="20">
        <f>LEN(G282)</f>
        <v>22</v>
      </c>
      <c r="G282" s="3" t="s">
        <v>1630</v>
      </c>
      <c r="H282" s="24" t="s">
        <v>1096</v>
      </c>
      <c r="I282" s="3" t="s">
        <v>857</v>
      </c>
      <c r="J282" s="3" t="s">
        <v>154</v>
      </c>
      <c r="K282" s="3" t="s">
        <v>154</v>
      </c>
      <c r="L282" s="3" t="s">
        <v>155</v>
      </c>
      <c r="M282" s="3" t="s">
        <v>1097</v>
      </c>
      <c r="N282" s="20">
        <v>37088</v>
      </c>
      <c r="O282" s="3" t="s">
        <v>1629</v>
      </c>
      <c r="P282" s="3" t="s">
        <v>157</v>
      </c>
      <c r="Q282" s="5"/>
      <c r="R282" s="5"/>
      <c r="S282" s="5"/>
      <c r="T282" s="24"/>
      <c r="U282" s="3" t="b">
        <v>0</v>
      </c>
      <c r="V282" s="3" t="s">
        <v>1100</v>
      </c>
      <c r="W282" s="64"/>
      <c r="X282" s="64"/>
      <c r="Y282" s="64" t="s">
        <v>1118</v>
      </c>
      <c r="Z282" s="64"/>
      <c r="AA282" s="59" t="s">
        <v>784</v>
      </c>
      <c r="AB282" s="65"/>
      <c r="AC282" s="68" t="s">
        <v>213</v>
      </c>
      <c r="AD282" s="65" t="s">
        <v>1631</v>
      </c>
      <c r="AE282" s="68" t="s">
        <v>786</v>
      </c>
      <c r="AF282" s="66" t="s">
        <v>1632</v>
      </c>
      <c r="AG282" s="68" t="s">
        <v>1121</v>
      </c>
      <c r="AH282" s="67"/>
      <c r="AI282" s="69"/>
      <c r="AJ282" s="69"/>
      <c r="AK282" s="69"/>
      <c r="AL282" s="86" t="s">
        <v>218</v>
      </c>
      <c r="AM282" s="88"/>
      <c r="AN282" s="88"/>
      <c r="AO282" s="88"/>
      <c r="AP282" s="59" t="s">
        <v>74</v>
      </c>
      <c r="AQ282" s="68" t="s">
        <v>1633</v>
      </c>
      <c r="AR282" s="59"/>
      <c r="AS282" s="68" t="s">
        <v>788</v>
      </c>
      <c r="AT282" s="59" t="s">
        <v>857</v>
      </c>
      <c r="AU282" s="68" t="s">
        <v>1077</v>
      </c>
    </row>
    <row r="283" spans="1:47" ht="45" customHeight="1">
      <c r="A283" s="3" t="s">
        <v>148</v>
      </c>
      <c r="B283" s="3" t="s">
        <v>160</v>
      </c>
      <c r="C283" s="6">
        <v>46276</v>
      </c>
      <c r="D283" s="3" t="s">
        <v>1634</v>
      </c>
      <c r="E283" s="3" t="s">
        <v>1094</v>
      </c>
      <c r="F283" s="20">
        <f>LEN(G283)</f>
        <v>70</v>
      </c>
      <c r="G283" s="3" t="s">
        <v>1635</v>
      </c>
      <c r="H283" s="24" t="s">
        <v>1096</v>
      </c>
      <c r="I283" s="24" t="s">
        <v>857</v>
      </c>
      <c r="J283" s="3" t="s">
        <v>154</v>
      </c>
      <c r="K283" s="3" t="s">
        <v>154</v>
      </c>
      <c r="L283" s="3" t="s">
        <v>155</v>
      </c>
      <c r="M283" s="3" t="s">
        <v>1097</v>
      </c>
      <c r="N283" s="20">
        <v>37088</v>
      </c>
      <c r="O283" s="3" t="s">
        <v>1634</v>
      </c>
      <c r="P283" s="3" t="s">
        <v>157</v>
      </c>
      <c r="Q283" s="5"/>
      <c r="R283" s="3" t="s">
        <v>1636</v>
      </c>
      <c r="S283" s="6">
        <v>46288</v>
      </c>
      <c r="T283" s="24"/>
      <c r="U283" s="3" t="b">
        <v>1</v>
      </c>
      <c r="V283" s="3" t="s">
        <v>1100</v>
      </c>
      <c r="W283" s="64"/>
      <c r="X283" s="64"/>
      <c r="Y283" s="64"/>
      <c r="Z283" s="64"/>
      <c r="AA283" s="59" t="s">
        <v>1637</v>
      </c>
      <c r="AB283" s="65"/>
      <c r="AC283" s="68"/>
      <c r="AD283" s="65"/>
      <c r="AE283" s="68"/>
      <c r="AF283" s="66"/>
      <c r="AG283" s="68"/>
      <c r="AH283" s="67"/>
      <c r="AI283" s="69"/>
      <c r="AJ283" s="69"/>
      <c r="AK283" s="69"/>
      <c r="AL283" s="86"/>
      <c r="AM283" s="88"/>
      <c r="AN283" s="88"/>
      <c r="AO283" s="88"/>
      <c r="AP283" s="59"/>
      <c r="AQ283" s="68"/>
      <c r="AR283" s="59"/>
      <c r="AS283" s="68"/>
      <c r="AT283" s="59"/>
      <c r="AU283" s="68"/>
    </row>
    <row r="284" spans="1:47" ht="45" customHeight="1">
      <c r="A284" s="3" t="s">
        <v>148</v>
      </c>
      <c r="B284" s="3" t="s">
        <v>160</v>
      </c>
      <c r="C284" s="6">
        <v>46276</v>
      </c>
      <c r="D284" s="3" t="s">
        <v>1638</v>
      </c>
      <c r="E284" s="3" t="s">
        <v>1094</v>
      </c>
      <c r="F284" s="20">
        <f>LEN(G284)</f>
        <v>29</v>
      </c>
      <c r="G284" s="3" t="s">
        <v>1639</v>
      </c>
      <c r="H284" s="24" t="s">
        <v>1096</v>
      </c>
      <c r="I284" s="24" t="s">
        <v>857</v>
      </c>
      <c r="J284" s="3" t="s">
        <v>154</v>
      </c>
      <c r="K284" s="3" t="s">
        <v>154</v>
      </c>
      <c r="L284" s="3" t="s">
        <v>155</v>
      </c>
      <c r="M284" s="3" t="s">
        <v>1097</v>
      </c>
      <c r="N284" s="20">
        <v>37088</v>
      </c>
      <c r="O284" s="3" t="s">
        <v>1638</v>
      </c>
      <c r="P284" s="3" t="s">
        <v>157</v>
      </c>
      <c r="Q284" s="5"/>
      <c r="R284" s="3" t="s">
        <v>1640</v>
      </c>
      <c r="S284" s="6">
        <v>46288</v>
      </c>
      <c r="T284" s="24"/>
      <c r="U284" s="3" t="b">
        <v>1</v>
      </c>
      <c r="V284" s="3" t="s">
        <v>1100</v>
      </c>
      <c r="W284" s="64"/>
      <c r="X284" s="64"/>
      <c r="Y284" s="64"/>
      <c r="Z284" s="64"/>
      <c r="AA284" s="59" t="s">
        <v>1641</v>
      </c>
      <c r="AB284" s="65"/>
      <c r="AC284" s="68"/>
      <c r="AD284" s="65"/>
      <c r="AE284" s="68"/>
      <c r="AF284" s="66"/>
      <c r="AG284" s="68"/>
      <c r="AH284" s="67"/>
      <c r="AI284" s="69"/>
      <c r="AJ284" s="69"/>
      <c r="AK284" s="69"/>
      <c r="AL284" s="86"/>
      <c r="AM284" s="88"/>
      <c r="AN284" s="88"/>
      <c r="AO284" s="88"/>
      <c r="AP284" s="59"/>
      <c r="AQ284" s="68"/>
      <c r="AR284" s="59"/>
      <c r="AS284" s="68"/>
      <c r="AT284" s="59"/>
      <c r="AU284" s="68"/>
    </row>
    <row r="285" spans="1:47" ht="45" customHeight="1">
      <c r="A285" s="3" t="s">
        <v>148</v>
      </c>
      <c r="B285" s="3" t="s">
        <v>160</v>
      </c>
      <c r="C285" s="6">
        <v>46276</v>
      </c>
      <c r="D285" s="3" t="s">
        <v>1642</v>
      </c>
      <c r="E285" s="3" t="s">
        <v>1094</v>
      </c>
      <c r="F285" s="20">
        <f>LEN(G285)</f>
        <v>39</v>
      </c>
      <c r="G285" s="3" t="s">
        <v>1643</v>
      </c>
      <c r="H285" s="24" t="s">
        <v>1096</v>
      </c>
      <c r="I285" s="24" t="s">
        <v>857</v>
      </c>
      <c r="J285" s="3" t="s">
        <v>154</v>
      </c>
      <c r="K285" s="3" t="s">
        <v>154</v>
      </c>
      <c r="L285" s="3" t="s">
        <v>155</v>
      </c>
      <c r="M285" s="3" t="s">
        <v>1097</v>
      </c>
      <c r="N285" s="20">
        <v>37088</v>
      </c>
      <c r="O285" s="3" t="s">
        <v>1642</v>
      </c>
      <c r="P285" s="3" t="s">
        <v>157</v>
      </c>
      <c r="Q285" s="5"/>
      <c r="R285" s="3" t="s">
        <v>1644</v>
      </c>
      <c r="S285" s="6">
        <v>46288</v>
      </c>
      <c r="T285" s="24"/>
      <c r="U285" s="3" t="b">
        <v>1</v>
      </c>
      <c r="V285" s="3" t="s">
        <v>1100</v>
      </c>
      <c r="W285" s="64"/>
      <c r="X285" s="64"/>
      <c r="Y285" s="64"/>
      <c r="Z285" s="64"/>
      <c r="AA285" s="59" t="s">
        <v>1645</v>
      </c>
      <c r="AB285" s="65"/>
      <c r="AC285" s="68"/>
      <c r="AD285" s="65"/>
      <c r="AE285" s="68"/>
      <c r="AF285" s="66"/>
      <c r="AG285" s="68"/>
      <c r="AH285" s="67"/>
      <c r="AI285" s="69"/>
      <c r="AJ285" s="69"/>
      <c r="AK285" s="69"/>
      <c r="AL285" s="86"/>
      <c r="AM285" s="88"/>
      <c r="AN285" s="88"/>
      <c r="AO285" s="88"/>
      <c r="AP285" s="59"/>
      <c r="AQ285" s="68"/>
      <c r="AR285" s="59"/>
      <c r="AS285" s="68"/>
      <c r="AT285" s="59"/>
      <c r="AU285" s="68"/>
    </row>
    <row r="286" spans="1:47" ht="45" customHeight="1">
      <c r="A286" s="3" t="s">
        <v>148</v>
      </c>
      <c r="B286" s="3" t="s">
        <v>160</v>
      </c>
      <c r="C286" s="6">
        <v>46276</v>
      </c>
      <c r="D286" s="3" t="s">
        <v>1646</v>
      </c>
      <c r="E286" s="3" t="s">
        <v>1094</v>
      </c>
      <c r="F286" s="20">
        <f>LEN(G286)</f>
        <v>28</v>
      </c>
      <c r="G286" s="3" t="s">
        <v>1647</v>
      </c>
      <c r="H286" s="24" t="s">
        <v>1096</v>
      </c>
      <c r="I286" s="24" t="s">
        <v>857</v>
      </c>
      <c r="J286" s="3" t="s">
        <v>154</v>
      </c>
      <c r="K286" s="3" t="s">
        <v>154</v>
      </c>
      <c r="L286" s="3" t="s">
        <v>155</v>
      </c>
      <c r="M286" s="3" t="s">
        <v>1097</v>
      </c>
      <c r="N286" s="20">
        <v>37088</v>
      </c>
      <c r="O286" s="3" t="s">
        <v>1646</v>
      </c>
      <c r="P286" s="3" t="s">
        <v>157</v>
      </c>
      <c r="Q286" s="5"/>
      <c r="R286" s="3" t="s">
        <v>1648</v>
      </c>
      <c r="S286" s="6">
        <v>46288</v>
      </c>
      <c r="T286" s="24"/>
      <c r="U286" s="3" t="b">
        <v>1</v>
      </c>
      <c r="V286" s="3" t="s">
        <v>1100</v>
      </c>
      <c r="W286" s="64"/>
      <c r="X286" s="64"/>
      <c r="Y286" s="64"/>
      <c r="Z286" s="64"/>
      <c r="AA286" s="59" t="s">
        <v>1649</v>
      </c>
      <c r="AB286" s="65"/>
      <c r="AC286" s="68"/>
      <c r="AD286" s="65"/>
      <c r="AE286" s="68"/>
      <c r="AF286" s="66"/>
      <c r="AG286" s="68"/>
      <c r="AH286" s="67"/>
      <c r="AI286" s="69"/>
      <c r="AJ286" s="69"/>
      <c r="AK286" s="69"/>
      <c r="AL286" s="86"/>
      <c r="AM286" s="88"/>
      <c r="AN286" s="88"/>
      <c r="AO286" s="88"/>
      <c r="AP286" s="59"/>
      <c r="AQ286" s="68"/>
      <c r="AR286" s="59"/>
      <c r="AS286" s="68"/>
      <c r="AT286" s="59"/>
      <c r="AU286" s="68"/>
    </row>
    <row r="287" spans="1:47" ht="45" customHeight="1">
      <c r="A287" s="3" t="s">
        <v>148</v>
      </c>
      <c r="B287" s="3" t="s">
        <v>160</v>
      </c>
      <c r="C287" s="6">
        <v>46276</v>
      </c>
      <c r="D287" s="3" t="s">
        <v>1650</v>
      </c>
      <c r="E287" s="3" t="s">
        <v>1094</v>
      </c>
      <c r="F287" s="20">
        <f>LEN(G287)</f>
        <v>20</v>
      </c>
      <c r="G287" s="3" t="s">
        <v>1651</v>
      </c>
      <c r="H287" s="24" t="s">
        <v>1096</v>
      </c>
      <c r="I287" s="24" t="s">
        <v>857</v>
      </c>
      <c r="J287" s="3" t="s">
        <v>154</v>
      </c>
      <c r="K287" s="3" t="s">
        <v>154</v>
      </c>
      <c r="L287" s="3" t="s">
        <v>155</v>
      </c>
      <c r="M287" s="3" t="s">
        <v>1097</v>
      </c>
      <c r="N287" s="20">
        <v>37088</v>
      </c>
      <c r="O287" s="3" t="s">
        <v>1650</v>
      </c>
      <c r="P287" s="3" t="s">
        <v>157</v>
      </c>
      <c r="Q287" s="5"/>
      <c r="R287" s="3" t="s">
        <v>1652</v>
      </c>
      <c r="S287" s="6">
        <v>46288</v>
      </c>
      <c r="T287" s="24"/>
      <c r="U287" s="3" t="b">
        <v>1</v>
      </c>
      <c r="V287" s="3" t="s">
        <v>1100</v>
      </c>
      <c r="W287" s="64"/>
      <c r="X287" s="64"/>
      <c r="Y287" s="64"/>
      <c r="Z287" s="64"/>
      <c r="AA287" s="59" t="s">
        <v>1653</v>
      </c>
      <c r="AB287" s="65"/>
      <c r="AC287" s="68"/>
      <c r="AD287" s="65"/>
      <c r="AE287" s="68"/>
      <c r="AF287" s="66"/>
      <c r="AG287" s="68"/>
      <c r="AH287" s="67"/>
      <c r="AI287" s="69"/>
      <c r="AJ287" s="69"/>
      <c r="AK287" s="69"/>
      <c r="AL287" s="86"/>
      <c r="AM287" s="88"/>
      <c r="AN287" s="88"/>
      <c r="AO287" s="88"/>
      <c r="AP287" s="59"/>
      <c r="AQ287" s="68"/>
      <c r="AR287" s="59"/>
      <c r="AS287" s="68"/>
      <c r="AT287" s="59"/>
      <c r="AU287" s="68"/>
    </row>
    <row r="288" spans="1:47" ht="45" customHeight="1">
      <c r="A288" s="3" t="s">
        <v>148</v>
      </c>
      <c r="B288" s="3" t="s">
        <v>160</v>
      </c>
      <c r="C288" s="6">
        <v>46276</v>
      </c>
      <c r="D288" s="3" t="s">
        <v>1654</v>
      </c>
      <c r="E288" s="3" t="s">
        <v>1094</v>
      </c>
      <c r="F288" s="20">
        <f>LEN(G288)</f>
        <v>34</v>
      </c>
      <c r="G288" s="3" t="s">
        <v>1655</v>
      </c>
      <c r="H288" s="24" t="s">
        <v>1096</v>
      </c>
      <c r="I288" s="24" t="s">
        <v>857</v>
      </c>
      <c r="J288" s="3" t="s">
        <v>154</v>
      </c>
      <c r="K288" s="3" t="s">
        <v>154</v>
      </c>
      <c r="L288" s="3" t="s">
        <v>155</v>
      </c>
      <c r="M288" s="3" t="s">
        <v>1097</v>
      </c>
      <c r="N288" s="20">
        <v>37088</v>
      </c>
      <c r="O288" s="3" t="s">
        <v>1654</v>
      </c>
      <c r="P288" s="3" t="s">
        <v>157</v>
      </c>
      <c r="Q288" s="5"/>
      <c r="R288" s="3" t="s">
        <v>1656</v>
      </c>
      <c r="S288" s="6">
        <v>46288</v>
      </c>
      <c r="T288" s="24"/>
      <c r="U288" s="3" t="b">
        <v>1</v>
      </c>
      <c r="V288" s="3" t="s">
        <v>1100</v>
      </c>
      <c r="W288" s="64"/>
      <c r="X288" s="64"/>
      <c r="Y288" s="64"/>
      <c r="Z288" s="64"/>
      <c r="AA288" s="59" t="s">
        <v>1657</v>
      </c>
      <c r="AB288" s="65"/>
      <c r="AC288" s="68"/>
      <c r="AD288" s="65"/>
      <c r="AE288" s="68"/>
      <c r="AF288" s="66"/>
      <c r="AG288" s="68"/>
      <c r="AH288" s="67"/>
      <c r="AI288" s="69"/>
      <c r="AJ288" s="69"/>
      <c r="AK288" s="69"/>
      <c r="AL288" s="86"/>
      <c r="AM288" s="88"/>
      <c r="AN288" s="88"/>
      <c r="AO288" s="88"/>
      <c r="AP288" s="59"/>
      <c r="AQ288" s="68"/>
      <c r="AR288" s="59"/>
      <c r="AS288" s="68"/>
      <c r="AT288" s="59"/>
      <c r="AU288" s="68"/>
    </row>
    <row r="289" spans="1:47" ht="45" customHeight="1">
      <c r="A289" s="3" t="s">
        <v>148</v>
      </c>
      <c r="B289" s="3" t="s">
        <v>703</v>
      </c>
      <c r="C289" s="6">
        <v>46276</v>
      </c>
      <c r="D289" s="3" t="s">
        <v>1658</v>
      </c>
      <c r="E289" s="3" t="s">
        <v>1659</v>
      </c>
      <c r="F289" s="20">
        <f>LEN(G289)</f>
        <v>44</v>
      </c>
      <c r="G289" s="3" t="s">
        <v>1660</v>
      </c>
      <c r="H289" s="24" t="s">
        <v>1661</v>
      </c>
      <c r="I289" s="24"/>
      <c r="J289" s="3" t="s">
        <v>154</v>
      </c>
      <c r="K289" s="3" t="s">
        <v>154</v>
      </c>
      <c r="L289" s="3" t="s">
        <v>155</v>
      </c>
      <c r="M289" s="3" t="s">
        <v>1662</v>
      </c>
      <c r="N289" s="20">
        <v>71075</v>
      </c>
      <c r="O289" s="3" t="s">
        <v>1658</v>
      </c>
      <c r="P289" s="3" t="s">
        <v>708</v>
      </c>
      <c r="Q289" s="5"/>
      <c r="R289" s="3" t="s">
        <v>1663</v>
      </c>
      <c r="S289" s="6">
        <v>46279</v>
      </c>
      <c r="T289" s="24"/>
      <c r="U289" s="3" t="b">
        <v>1</v>
      </c>
      <c r="V289" s="5"/>
      <c r="W289" s="64"/>
      <c r="X289" s="64"/>
      <c r="Y289" s="64"/>
      <c r="Z289" s="64"/>
      <c r="AA289" s="59" t="s">
        <v>1664</v>
      </c>
      <c r="AB289" s="65"/>
      <c r="AC289" s="68"/>
      <c r="AD289" s="65"/>
      <c r="AE289" s="68"/>
      <c r="AF289" s="66"/>
      <c r="AG289" s="68"/>
      <c r="AH289" s="67"/>
      <c r="AI289" s="69"/>
      <c r="AJ289" s="69"/>
      <c r="AK289" s="69"/>
      <c r="AL289" s="86"/>
      <c r="AM289" s="88"/>
      <c r="AN289" s="88"/>
      <c r="AO289" s="88"/>
      <c r="AP289" s="59"/>
      <c r="AQ289" s="68"/>
      <c r="AR289" s="59"/>
      <c r="AS289" s="68"/>
      <c r="AT289" s="59"/>
      <c r="AU289" s="68"/>
    </row>
    <row r="290" spans="1:47" ht="45" customHeight="1">
      <c r="A290" s="3" t="s">
        <v>148</v>
      </c>
      <c r="B290" s="3" t="s">
        <v>703</v>
      </c>
      <c r="C290" s="6">
        <v>46276</v>
      </c>
      <c r="D290" s="3" t="s">
        <v>1665</v>
      </c>
      <c r="E290" s="3" t="s">
        <v>1666</v>
      </c>
      <c r="F290" s="20">
        <f>LEN(G290)</f>
        <v>31</v>
      </c>
      <c r="G290" s="3" t="s">
        <v>1667</v>
      </c>
      <c r="H290" s="24" t="s">
        <v>269</v>
      </c>
      <c r="I290" s="24"/>
      <c r="J290" s="3" t="s">
        <v>154</v>
      </c>
      <c r="K290" s="3" t="s">
        <v>154</v>
      </c>
      <c r="L290" s="3" t="s">
        <v>155</v>
      </c>
      <c r="M290" s="3" t="s">
        <v>1668</v>
      </c>
      <c r="N290" s="20">
        <v>167935</v>
      </c>
      <c r="O290" s="3" t="s">
        <v>1665</v>
      </c>
      <c r="P290" s="3" t="s">
        <v>708</v>
      </c>
      <c r="Q290" s="5"/>
      <c r="R290" s="3" t="s">
        <v>1669</v>
      </c>
      <c r="S290" s="6">
        <v>46282</v>
      </c>
      <c r="T290" s="24"/>
      <c r="U290" s="3" t="b">
        <v>1</v>
      </c>
      <c r="V290" s="5"/>
      <c r="W290" s="64"/>
      <c r="X290" s="64"/>
      <c r="Y290" s="64"/>
      <c r="Z290" s="64"/>
      <c r="AA290" s="59" t="s">
        <v>1670</v>
      </c>
      <c r="AB290" s="65"/>
      <c r="AC290" s="68"/>
      <c r="AD290" s="65"/>
      <c r="AE290" s="68"/>
      <c r="AF290" s="66"/>
      <c r="AG290" s="68"/>
      <c r="AH290" s="67"/>
      <c r="AI290" s="69"/>
      <c r="AJ290" s="69"/>
      <c r="AK290" s="69"/>
      <c r="AL290" s="86"/>
      <c r="AM290" s="88"/>
      <c r="AN290" s="88"/>
      <c r="AO290" s="88"/>
      <c r="AP290" s="59"/>
      <c r="AQ290" s="68"/>
      <c r="AR290" s="59"/>
      <c r="AS290" s="68"/>
      <c r="AT290" s="59"/>
      <c r="AU290" s="68"/>
    </row>
    <row r="291" spans="1:47" ht="45" customHeight="1">
      <c r="A291" s="3" t="s">
        <v>148</v>
      </c>
      <c r="B291" s="3" t="s">
        <v>703</v>
      </c>
      <c r="C291" s="6">
        <v>46276</v>
      </c>
      <c r="D291" s="3" t="s">
        <v>1671</v>
      </c>
      <c r="E291" s="3" t="s">
        <v>1666</v>
      </c>
      <c r="F291" s="20">
        <f>LEN(G291)</f>
        <v>60</v>
      </c>
      <c r="G291" s="3" t="s">
        <v>1672</v>
      </c>
      <c r="H291" s="24" t="s">
        <v>1673</v>
      </c>
      <c r="I291" s="24"/>
      <c r="J291" s="3" t="s">
        <v>154</v>
      </c>
      <c r="K291" s="3" t="s">
        <v>154</v>
      </c>
      <c r="L291" s="3" t="s">
        <v>155</v>
      </c>
      <c r="M291" s="3" t="s">
        <v>1668</v>
      </c>
      <c r="N291" s="20">
        <v>167935</v>
      </c>
      <c r="O291" s="3" t="s">
        <v>1671</v>
      </c>
      <c r="P291" s="3" t="s">
        <v>708</v>
      </c>
      <c r="Q291" s="5"/>
      <c r="R291" s="3" t="s">
        <v>1674</v>
      </c>
      <c r="S291" s="6">
        <v>46281</v>
      </c>
      <c r="T291" s="24"/>
      <c r="U291" s="3" t="b">
        <v>1</v>
      </c>
      <c r="V291" s="5"/>
      <c r="W291" s="64"/>
      <c r="X291" s="64"/>
      <c r="Y291" s="64"/>
      <c r="Z291" s="64"/>
      <c r="AA291" s="59" t="s">
        <v>1675</v>
      </c>
      <c r="AB291" s="65"/>
      <c r="AC291" s="68"/>
      <c r="AD291" s="65"/>
      <c r="AE291" s="68"/>
      <c r="AF291" s="66"/>
      <c r="AG291" s="68"/>
      <c r="AH291" s="67"/>
      <c r="AI291" s="69"/>
      <c r="AJ291" s="69"/>
      <c r="AK291" s="69"/>
      <c r="AL291" s="86"/>
      <c r="AM291" s="88"/>
      <c r="AN291" s="88"/>
      <c r="AO291" s="88"/>
      <c r="AP291" s="59"/>
      <c r="AQ291" s="68"/>
      <c r="AR291" s="59"/>
      <c r="AS291" s="68"/>
      <c r="AT291" s="59"/>
      <c r="AU291" s="68"/>
    </row>
    <row r="292" spans="1:47" ht="45" customHeight="1">
      <c r="A292" s="3" t="s">
        <v>148</v>
      </c>
      <c r="B292" s="3" t="s">
        <v>703</v>
      </c>
      <c r="C292" s="6">
        <v>46276</v>
      </c>
      <c r="D292" s="3" t="s">
        <v>1676</v>
      </c>
      <c r="E292" s="3" t="s">
        <v>1666</v>
      </c>
      <c r="F292" s="20">
        <f>LEN(G292)</f>
        <v>60</v>
      </c>
      <c r="G292" s="3" t="s">
        <v>1677</v>
      </c>
      <c r="H292" s="24" t="s">
        <v>1673</v>
      </c>
      <c r="I292" s="24"/>
      <c r="J292" s="3" t="s">
        <v>154</v>
      </c>
      <c r="K292" s="3" t="s">
        <v>154</v>
      </c>
      <c r="L292" s="3" t="s">
        <v>155</v>
      </c>
      <c r="M292" s="3" t="s">
        <v>1668</v>
      </c>
      <c r="N292" s="20">
        <v>167935</v>
      </c>
      <c r="O292" s="3" t="s">
        <v>1676</v>
      </c>
      <c r="P292" s="3" t="s">
        <v>708</v>
      </c>
      <c r="Q292" s="5"/>
      <c r="R292" s="3" t="s">
        <v>1678</v>
      </c>
      <c r="S292" s="6">
        <v>46288</v>
      </c>
      <c r="T292" s="24"/>
      <c r="U292" s="3" t="b">
        <v>1</v>
      </c>
      <c r="V292" s="5"/>
      <c r="W292" s="64"/>
      <c r="X292" s="64"/>
      <c r="Y292" s="64"/>
      <c r="Z292" s="64"/>
      <c r="AA292" s="59" t="s">
        <v>1679</v>
      </c>
      <c r="AB292" s="65"/>
      <c r="AC292" s="68"/>
      <c r="AD292" s="65"/>
      <c r="AE292" s="68"/>
      <c r="AF292" s="66"/>
      <c r="AG292" s="68"/>
      <c r="AH292" s="67"/>
      <c r="AI292" s="69"/>
      <c r="AJ292" s="69"/>
      <c r="AK292" s="69"/>
      <c r="AL292" s="86"/>
      <c r="AM292" s="88"/>
      <c r="AN292" s="88"/>
      <c r="AO292" s="88"/>
      <c r="AP292" s="59"/>
      <c r="AQ292" s="68"/>
      <c r="AR292" s="59"/>
      <c r="AS292" s="68"/>
      <c r="AT292" s="59"/>
      <c r="AU292" s="68"/>
    </row>
    <row r="293" spans="1:47" ht="45" customHeight="1">
      <c r="A293" s="3" t="s">
        <v>148</v>
      </c>
      <c r="B293" s="3" t="s">
        <v>703</v>
      </c>
      <c r="C293" s="6">
        <v>46276</v>
      </c>
      <c r="D293" s="3" t="s">
        <v>1680</v>
      </c>
      <c r="E293" s="3" t="s">
        <v>1666</v>
      </c>
      <c r="F293" s="20">
        <f>LEN(G293)</f>
        <v>66</v>
      </c>
      <c r="G293" s="3" t="s">
        <v>1681</v>
      </c>
      <c r="H293" s="24" t="s">
        <v>1673</v>
      </c>
      <c r="I293" s="24"/>
      <c r="J293" s="3" t="s">
        <v>154</v>
      </c>
      <c r="K293" s="3" t="s">
        <v>154</v>
      </c>
      <c r="L293" s="3" t="s">
        <v>155</v>
      </c>
      <c r="M293" s="3" t="s">
        <v>1668</v>
      </c>
      <c r="N293" s="20">
        <v>167935</v>
      </c>
      <c r="O293" s="3" t="s">
        <v>1680</v>
      </c>
      <c r="P293" s="3" t="s">
        <v>708</v>
      </c>
      <c r="Q293" s="5"/>
      <c r="R293" s="3" t="s">
        <v>1682</v>
      </c>
      <c r="S293" s="6">
        <v>46287</v>
      </c>
      <c r="T293" s="24"/>
      <c r="U293" s="3" t="b">
        <v>1</v>
      </c>
      <c r="V293" s="5"/>
      <c r="W293" s="64"/>
      <c r="X293" s="64"/>
      <c r="Y293" s="64"/>
      <c r="Z293" s="64"/>
      <c r="AA293" s="59" t="s">
        <v>1683</v>
      </c>
      <c r="AB293" s="65"/>
      <c r="AC293" s="68"/>
      <c r="AD293" s="65"/>
      <c r="AE293" s="68"/>
      <c r="AF293" s="66"/>
      <c r="AG293" s="68"/>
      <c r="AH293" s="67"/>
      <c r="AI293" s="69"/>
      <c r="AJ293" s="69"/>
      <c r="AK293" s="69"/>
      <c r="AL293" s="86"/>
      <c r="AM293" s="88"/>
      <c r="AN293" s="88"/>
      <c r="AO293" s="88"/>
      <c r="AP293" s="59"/>
      <c r="AQ293" s="68"/>
      <c r="AR293" s="59"/>
      <c r="AS293" s="68"/>
      <c r="AT293" s="59"/>
      <c r="AU293" s="68"/>
    </row>
    <row r="294" spans="1:47" ht="45" customHeight="1">
      <c r="A294" s="3" t="s">
        <v>148</v>
      </c>
      <c r="B294" s="3" t="s">
        <v>703</v>
      </c>
      <c r="C294" s="6">
        <v>46276</v>
      </c>
      <c r="D294" s="3" t="s">
        <v>1684</v>
      </c>
      <c r="E294" s="3" t="s">
        <v>1666</v>
      </c>
      <c r="F294" s="20">
        <f>LEN(G294)</f>
        <v>25</v>
      </c>
      <c r="G294" s="3" t="s">
        <v>1685</v>
      </c>
      <c r="H294" s="24" t="s">
        <v>1686</v>
      </c>
      <c r="I294" s="24"/>
      <c r="J294" s="3" t="s">
        <v>154</v>
      </c>
      <c r="K294" s="3" t="s">
        <v>154</v>
      </c>
      <c r="L294" s="3" t="s">
        <v>155</v>
      </c>
      <c r="M294" s="3" t="s">
        <v>1668</v>
      </c>
      <c r="N294" s="20">
        <v>167935</v>
      </c>
      <c r="O294" s="3" t="s">
        <v>1684</v>
      </c>
      <c r="P294" s="3" t="s">
        <v>708</v>
      </c>
      <c r="Q294" s="5"/>
      <c r="R294" s="3" t="s">
        <v>1687</v>
      </c>
      <c r="S294" s="6">
        <v>46288</v>
      </c>
      <c r="T294" s="24"/>
      <c r="U294" s="3" t="b">
        <v>1</v>
      </c>
      <c r="V294" s="5"/>
      <c r="W294" s="64"/>
      <c r="X294" s="64"/>
      <c r="Y294" s="64"/>
      <c r="Z294" s="64"/>
      <c r="AA294" s="59" t="s">
        <v>1688</v>
      </c>
      <c r="AB294" s="65"/>
      <c r="AC294" s="68"/>
      <c r="AD294" s="65"/>
      <c r="AE294" s="68"/>
      <c r="AF294" s="66"/>
      <c r="AG294" s="68"/>
      <c r="AH294" s="67"/>
      <c r="AI294" s="69"/>
      <c r="AJ294" s="69"/>
      <c r="AK294" s="69"/>
      <c r="AL294" s="86"/>
      <c r="AM294" s="88"/>
      <c r="AN294" s="88"/>
      <c r="AO294" s="88"/>
      <c r="AP294" s="59"/>
      <c r="AQ294" s="68"/>
      <c r="AR294" s="59"/>
      <c r="AS294" s="68"/>
      <c r="AT294" s="59"/>
      <c r="AU294" s="68"/>
    </row>
    <row r="295" spans="1:47" ht="45" customHeight="1">
      <c r="A295" s="3" t="s">
        <v>148</v>
      </c>
      <c r="B295" s="3" t="s">
        <v>703</v>
      </c>
      <c r="C295" s="6">
        <v>46276</v>
      </c>
      <c r="D295" s="3" t="s">
        <v>1689</v>
      </c>
      <c r="E295" s="3" t="s">
        <v>1666</v>
      </c>
      <c r="F295" s="20">
        <f>LEN(G295)</f>
        <v>65</v>
      </c>
      <c r="G295" s="3" t="s">
        <v>1690</v>
      </c>
      <c r="H295" s="24" t="s">
        <v>1673</v>
      </c>
      <c r="I295" s="24"/>
      <c r="J295" s="3" t="s">
        <v>154</v>
      </c>
      <c r="K295" s="3" t="s">
        <v>154</v>
      </c>
      <c r="L295" s="3" t="s">
        <v>155</v>
      </c>
      <c r="M295" s="3" t="s">
        <v>1668</v>
      </c>
      <c r="N295" s="20">
        <v>167935</v>
      </c>
      <c r="O295" s="3" t="s">
        <v>1689</v>
      </c>
      <c r="P295" s="3" t="s">
        <v>708</v>
      </c>
      <c r="Q295" s="5"/>
      <c r="R295" s="3" t="s">
        <v>1691</v>
      </c>
      <c r="S295" s="6">
        <v>46287</v>
      </c>
      <c r="T295" s="24"/>
      <c r="U295" s="3" t="b">
        <v>1</v>
      </c>
      <c r="V295" s="5"/>
      <c r="W295" s="64"/>
      <c r="X295" s="64"/>
      <c r="Y295" s="64"/>
      <c r="Z295" s="64"/>
      <c r="AA295" s="59" t="s">
        <v>1692</v>
      </c>
      <c r="AB295" s="65"/>
      <c r="AC295" s="68"/>
      <c r="AD295" s="65"/>
      <c r="AE295" s="68"/>
      <c r="AF295" s="66"/>
      <c r="AG295" s="68"/>
      <c r="AH295" s="67"/>
      <c r="AI295" s="69"/>
      <c r="AJ295" s="69"/>
      <c r="AK295" s="69"/>
      <c r="AL295" s="86"/>
      <c r="AM295" s="88"/>
      <c r="AN295" s="88"/>
      <c r="AO295" s="88"/>
      <c r="AP295" s="59"/>
      <c r="AQ295" s="68"/>
      <c r="AR295" s="59"/>
      <c r="AS295" s="68"/>
      <c r="AT295" s="59"/>
      <c r="AU295" s="68"/>
    </row>
    <row r="296" spans="1:47" ht="45" customHeight="1">
      <c r="A296" s="3" t="s">
        <v>148</v>
      </c>
      <c r="B296" s="3" t="s">
        <v>1026</v>
      </c>
      <c r="C296" s="6">
        <v>46279</v>
      </c>
      <c r="D296" s="3" t="s">
        <v>1693</v>
      </c>
      <c r="E296" s="3" t="s">
        <v>151</v>
      </c>
      <c r="F296" s="20">
        <f>LEN(G296)</f>
        <v>30</v>
      </c>
      <c r="G296" s="3" t="s">
        <v>1694</v>
      </c>
      <c r="H296" s="24" t="s">
        <v>1695</v>
      </c>
      <c r="I296" s="24"/>
      <c r="J296" s="3" t="s">
        <v>154</v>
      </c>
      <c r="K296" s="3" t="s">
        <v>154</v>
      </c>
      <c r="L296" s="3" t="s">
        <v>155</v>
      </c>
      <c r="M296" s="3" t="s">
        <v>1696</v>
      </c>
      <c r="N296" s="20">
        <v>14922</v>
      </c>
      <c r="O296" s="3" t="s">
        <v>1693</v>
      </c>
      <c r="P296" s="3" t="s">
        <v>943</v>
      </c>
      <c r="Q296" s="5"/>
      <c r="R296" s="3" t="s">
        <v>1697</v>
      </c>
      <c r="S296" s="6">
        <v>46287</v>
      </c>
      <c r="T296" s="24"/>
      <c r="U296" s="3" t="b">
        <v>1</v>
      </c>
      <c r="V296" s="5"/>
      <c r="W296" s="64"/>
      <c r="X296" s="64"/>
      <c r="Y296" s="64"/>
      <c r="Z296" s="64"/>
      <c r="AA296" s="59" t="s">
        <v>1698</v>
      </c>
      <c r="AB296" s="65"/>
      <c r="AC296" s="68"/>
      <c r="AD296" s="65"/>
      <c r="AE296" s="68"/>
      <c r="AF296" s="66"/>
      <c r="AG296" s="68"/>
      <c r="AH296" s="67"/>
      <c r="AI296" s="69"/>
      <c r="AJ296" s="69"/>
      <c r="AK296" s="69"/>
      <c r="AL296" s="86"/>
      <c r="AM296" s="88"/>
      <c r="AN296" s="88"/>
      <c r="AO296" s="88"/>
      <c r="AP296" s="59"/>
      <c r="AQ296" s="68"/>
      <c r="AR296" s="59"/>
      <c r="AS296" s="68"/>
      <c r="AT296" s="59"/>
      <c r="AU296" s="68"/>
    </row>
    <row r="297" spans="1:47" ht="45" customHeight="1">
      <c r="A297" s="3" t="s">
        <v>148</v>
      </c>
      <c r="B297" s="3" t="s">
        <v>1026</v>
      </c>
      <c r="C297" s="6">
        <v>46279</v>
      </c>
      <c r="D297" s="3" t="s">
        <v>1699</v>
      </c>
      <c r="E297" s="3" t="s">
        <v>1700</v>
      </c>
      <c r="F297" s="20">
        <f>LEN(G297)</f>
        <v>27</v>
      </c>
      <c r="G297" s="3" t="s">
        <v>1701</v>
      </c>
      <c r="H297" s="24" t="s">
        <v>1702</v>
      </c>
      <c r="I297" s="24"/>
      <c r="J297" s="3" t="s">
        <v>154</v>
      </c>
      <c r="K297" s="3" t="s">
        <v>154</v>
      </c>
      <c r="L297" s="3" t="s">
        <v>155</v>
      </c>
      <c r="M297" s="3" t="s">
        <v>371</v>
      </c>
      <c r="N297" s="20">
        <v>5985</v>
      </c>
      <c r="O297" s="3" t="s">
        <v>1703</v>
      </c>
      <c r="P297" s="3" t="s">
        <v>943</v>
      </c>
      <c r="Q297" s="5"/>
      <c r="R297" s="3" t="s">
        <v>1704</v>
      </c>
      <c r="S297" s="6">
        <v>46289</v>
      </c>
      <c r="T297" s="24"/>
      <c r="U297" s="3" t="b">
        <v>1</v>
      </c>
      <c r="V297" s="5"/>
      <c r="W297" s="64"/>
      <c r="X297" s="64"/>
      <c r="Y297" s="64"/>
      <c r="Z297" s="64"/>
      <c r="AA297" s="59" t="s">
        <v>1705</v>
      </c>
      <c r="AB297" s="65"/>
      <c r="AC297" s="68"/>
      <c r="AD297" s="65"/>
      <c r="AE297" s="68"/>
      <c r="AF297" s="66"/>
      <c r="AG297" s="68"/>
      <c r="AH297" s="67"/>
      <c r="AI297" s="69"/>
      <c r="AJ297" s="69"/>
      <c r="AK297" s="69"/>
      <c r="AL297" s="86"/>
      <c r="AM297" s="88"/>
      <c r="AN297" s="88"/>
      <c r="AO297" s="88"/>
      <c r="AP297" s="59"/>
      <c r="AQ297" s="68"/>
      <c r="AR297" s="59"/>
      <c r="AS297" s="68"/>
      <c r="AT297" s="59"/>
      <c r="AU297" s="68"/>
    </row>
    <row r="298" spans="1:47" ht="45" customHeight="1">
      <c r="A298" s="3" t="s">
        <v>148</v>
      </c>
      <c r="B298" s="3" t="s">
        <v>160</v>
      </c>
      <c r="C298" s="6">
        <v>46280</v>
      </c>
      <c r="D298" s="3" t="s">
        <v>1706</v>
      </c>
      <c r="E298" s="3" t="s">
        <v>162</v>
      </c>
      <c r="F298" s="20">
        <f>LEN(G298)</f>
        <v>80</v>
      </c>
      <c r="G298" s="3" t="s">
        <v>1707</v>
      </c>
      <c r="H298" s="24" t="s">
        <v>1087</v>
      </c>
      <c r="I298" s="24" t="s">
        <v>165</v>
      </c>
      <c r="J298" s="3" t="s">
        <v>154</v>
      </c>
      <c r="K298" s="3" t="s">
        <v>154</v>
      </c>
      <c r="L298" s="3" t="s">
        <v>155</v>
      </c>
      <c r="M298" s="3" t="s">
        <v>162</v>
      </c>
      <c r="N298" s="20">
        <v>6914</v>
      </c>
      <c r="O298" s="3" t="s">
        <v>1706</v>
      </c>
      <c r="P298" s="3" t="s">
        <v>157</v>
      </c>
      <c r="Q298" s="3" t="s">
        <v>1708</v>
      </c>
      <c r="R298" s="3" t="s">
        <v>1709</v>
      </c>
      <c r="S298" s="6">
        <v>46289</v>
      </c>
      <c r="T298" s="24"/>
      <c r="U298" s="3" t="b">
        <v>1</v>
      </c>
      <c r="V298" s="5"/>
      <c r="W298" s="64"/>
      <c r="X298" s="64"/>
      <c r="Y298" s="64"/>
      <c r="Z298" s="64"/>
      <c r="AA298" s="59" t="s">
        <v>1710</v>
      </c>
      <c r="AB298" s="65"/>
      <c r="AC298" s="68"/>
      <c r="AD298" s="65"/>
      <c r="AE298" s="68"/>
      <c r="AF298" s="66"/>
      <c r="AG298" s="68"/>
      <c r="AH298" s="67"/>
      <c r="AI298" s="69"/>
      <c r="AJ298" s="69"/>
      <c r="AK298" s="69"/>
      <c r="AL298" s="86"/>
      <c r="AM298" s="88"/>
      <c r="AN298" s="88"/>
      <c r="AO298" s="88"/>
      <c r="AP298" s="59"/>
      <c r="AQ298" s="68"/>
      <c r="AR298" s="59"/>
      <c r="AS298" s="68"/>
      <c r="AT298" s="59"/>
      <c r="AU298" s="68"/>
    </row>
    <row r="299" spans="1:47" ht="45" customHeight="1">
      <c r="A299" s="3" t="s">
        <v>148</v>
      </c>
      <c r="B299" s="3" t="s">
        <v>160</v>
      </c>
      <c r="C299" s="6">
        <v>46280</v>
      </c>
      <c r="D299" s="3" t="s">
        <v>1711</v>
      </c>
      <c r="E299" s="3" t="s">
        <v>697</v>
      </c>
      <c r="F299" s="20">
        <f>LEN(G299)</f>
        <v>83</v>
      </c>
      <c r="G299" s="3" t="s">
        <v>1712</v>
      </c>
      <c r="H299" s="24" t="s">
        <v>699</v>
      </c>
      <c r="I299" s="24" t="s">
        <v>165</v>
      </c>
      <c r="J299" s="3" t="s">
        <v>154</v>
      </c>
      <c r="K299" s="3" t="s">
        <v>154</v>
      </c>
      <c r="L299" s="3" t="s">
        <v>155</v>
      </c>
      <c r="M299" s="3" t="s">
        <v>162</v>
      </c>
      <c r="N299" s="20">
        <v>6914</v>
      </c>
      <c r="O299" s="3" t="s">
        <v>1713</v>
      </c>
      <c r="P299" s="3" t="s">
        <v>157</v>
      </c>
      <c r="Q299" s="3" t="s">
        <v>1714</v>
      </c>
      <c r="R299" s="3" t="s">
        <v>1715</v>
      </c>
      <c r="S299" s="6">
        <v>46289</v>
      </c>
      <c r="T299" s="24"/>
      <c r="U299" s="3" t="b">
        <v>1</v>
      </c>
      <c r="V299" s="5"/>
      <c r="W299" s="64"/>
      <c r="X299" s="64"/>
      <c r="Y299" s="64"/>
      <c r="Z299" s="64"/>
      <c r="AA299" s="59" t="s">
        <v>1716</v>
      </c>
      <c r="AB299" s="65"/>
      <c r="AC299" s="68"/>
      <c r="AD299" s="65"/>
      <c r="AE299" s="68"/>
      <c r="AF299" s="66"/>
      <c r="AG299" s="68"/>
      <c r="AH299" s="67"/>
      <c r="AI299" s="69"/>
      <c r="AJ299" s="69"/>
      <c r="AK299" s="69"/>
      <c r="AL299" s="86"/>
      <c r="AM299" s="88"/>
      <c r="AN299" s="88"/>
      <c r="AO299" s="88"/>
      <c r="AP299" s="59"/>
      <c r="AQ299" s="68"/>
      <c r="AR299" s="59"/>
      <c r="AS299" s="68"/>
      <c r="AT299" s="59"/>
      <c r="AU299" s="68"/>
    </row>
    <row r="300" spans="1:47" ht="45" customHeight="1">
      <c r="A300" s="3" t="s">
        <v>148</v>
      </c>
      <c r="B300" s="3" t="s">
        <v>703</v>
      </c>
      <c r="C300" s="6">
        <v>46280</v>
      </c>
      <c r="D300" s="3" t="s">
        <v>1717</v>
      </c>
      <c r="E300" s="3" t="s">
        <v>1718</v>
      </c>
      <c r="F300" s="20">
        <f>LEN(G300)</f>
        <v>84</v>
      </c>
      <c r="G300" s="3" t="s">
        <v>1719</v>
      </c>
      <c r="H300" s="24" t="s">
        <v>1720</v>
      </c>
      <c r="I300" s="24"/>
      <c r="J300" s="3" t="s">
        <v>154</v>
      </c>
      <c r="K300" s="3" t="s">
        <v>154</v>
      </c>
      <c r="L300" s="3" t="s">
        <v>155</v>
      </c>
      <c r="M300" s="3" t="s">
        <v>1721</v>
      </c>
      <c r="N300" s="20">
        <v>157790</v>
      </c>
      <c r="O300" s="3" t="s">
        <v>1717</v>
      </c>
      <c r="P300" s="3" t="s">
        <v>708</v>
      </c>
      <c r="Q300" s="5"/>
      <c r="R300" s="3" t="s">
        <v>1722</v>
      </c>
      <c r="S300" s="6">
        <v>46287</v>
      </c>
      <c r="T300" s="24"/>
      <c r="U300" s="3" t="b">
        <v>1</v>
      </c>
      <c r="V300" s="5"/>
      <c r="W300" s="64"/>
      <c r="X300" s="64"/>
      <c r="Y300" s="64"/>
      <c r="Z300" s="64"/>
      <c r="AA300" s="59" t="s">
        <v>1723</v>
      </c>
      <c r="AB300" s="65"/>
      <c r="AC300" s="68"/>
      <c r="AD300" s="65"/>
      <c r="AE300" s="68"/>
      <c r="AF300" s="66"/>
      <c r="AG300" s="68"/>
      <c r="AH300" s="67"/>
      <c r="AI300" s="69"/>
      <c r="AJ300" s="69"/>
      <c r="AK300" s="69"/>
      <c r="AL300" s="86"/>
      <c r="AM300" s="88"/>
      <c r="AN300" s="88"/>
      <c r="AO300" s="88"/>
      <c r="AP300" s="59"/>
      <c r="AQ300" s="68"/>
      <c r="AR300" s="59"/>
      <c r="AS300" s="68"/>
      <c r="AT300" s="59"/>
      <c r="AU300" s="68"/>
    </row>
    <row r="301" spans="1:47" ht="45" customHeight="1">
      <c r="A301" s="3" t="s">
        <v>148</v>
      </c>
      <c r="B301" s="3" t="s">
        <v>703</v>
      </c>
      <c r="C301" s="6">
        <v>46280</v>
      </c>
      <c r="D301" s="3" t="s">
        <v>1724</v>
      </c>
      <c r="E301" s="3" t="s">
        <v>1725</v>
      </c>
      <c r="F301" s="20">
        <f>LEN(G301)</f>
        <v>49</v>
      </c>
      <c r="G301" s="3" t="s">
        <v>1726</v>
      </c>
      <c r="H301" s="24" t="s">
        <v>1720</v>
      </c>
      <c r="I301" s="24"/>
      <c r="J301" s="3" t="s">
        <v>154</v>
      </c>
      <c r="K301" s="3" t="s">
        <v>154</v>
      </c>
      <c r="L301" s="3" t="s">
        <v>155</v>
      </c>
      <c r="M301" s="3" t="s">
        <v>1721</v>
      </c>
      <c r="N301" s="20">
        <v>157790</v>
      </c>
      <c r="O301" s="3" t="s">
        <v>1724</v>
      </c>
      <c r="P301" s="3" t="s">
        <v>708</v>
      </c>
      <c r="Q301" s="5"/>
      <c r="R301" s="3" t="s">
        <v>1727</v>
      </c>
      <c r="S301" s="6">
        <v>46286</v>
      </c>
      <c r="T301" s="24"/>
      <c r="U301" s="3" t="b">
        <v>1</v>
      </c>
      <c r="V301" s="5"/>
      <c r="W301" s="64"/>
      <c r="X301" s="64"/>
      <c r="Y301" s="64"/>
      <c r="Z301" s="64"/>
      <c r="AA301" s="59" t="s">
        <v>1728</v>
      </c>
      <c r="AB301" s="65"/>
      <c r="AC301" s="68"/>
      <c r="AD301" s="65"/>
      <c r="AE301" s="68"/>
      <c r="AF301" s="66"/>
      <c r="AG301" s="68"/>
      <c r="AH301" s="67"/>
      <c r="AI301" s="69"/>
      <c r="AJ301" s="69"/>
      <c r="AK301" s="69"/>
      <c r="AL301" s="86"/>
      <c r="AM301" s="88"/>
      <c r="AN301" s="88"/>
      <c r="AO301" s="88"/>
      <c r="AP301" s="59"/>
      <c r="AQ301" s="68"/>
      <c r="AR301" s="59"/>
      <c r="AS301" s="68"/>
      <c r="AT301" s="59"/>
      <c r="AU301" s="68"/>
    </row>
    <row r="302" spans="1:47" ht="45" customHeight="1">
      <c r="A302" s="3" t="s">
        <v>148</v>
      </c>
      <c r="B302" s="3" t="s">
        <v>703</v>
      </c>
      <c r="C302" s="6">
        <v>46280</v>
      </c>
      <c r="D302" s="3" t="s">
        <v>1729</v>
      </c>
      <c r="E302" s="3" t="s">
        <v>1730</v>
      </c>
      <c r="F302" s="20">
        <f>LEN(G302)</f>
        <v>80</v>
      </c>
      <c r="G302" s="3" t="s">
        <v>1731</v>
      </c>
      <c r="H302" s="24" t="s">
        <v>714</v>
      </c>
      <c r="I302" s="24"/>
      <c r="J302" s="3" t="s">
        <v>154</v>
      </c>
      <c r="K302" s="3" t="s">
        <v>154</v>
      </c>
      <c r="L302" s="3" t="s">
        <v>155</v>
      </c>
      <c r="M302" s="3" t="s">
        <v>1732</v>
      </c>
      <c r="N302" s="20">
        <v>71842</v>
      </c>
      <c r="O302" s="3" t="s">
        <v>1733</v>
      </c>
      <c r="P302" s="3" t="s">
        <v>708</v>
      </c>
      <c r="Q302" s="5"/>
      <c r="R302" s="3" t="s">
        <v>1734</v>
      </c>
      <c r="S302" s="6">
        <v>46289</v>
      </c>
      <c r="T302" s="24"/>
      <c r="U302" s="3" t="b">
        <v>1</v>
      </c>
      <c r="V302" s="5"/>
      <c r="W302" s="64"/>
      <c r="X302" s="64"/>
      <c r="Y302" s="64"/>
      <c r="Z302" s="64"/>
      <c r="AA302" s="59" t="s">
        <v>1735</v>
      </c>
      <c r="AB302" s="65"/>
      <c r="AC302" s="68"/>
      <c r="AD302" s="65"/>
      <c r="AE302" s="68"/>
      <c r="AF302" s="66"/>
      <c r="AG302" s="68"/>
      <c r="AH302" s="67"/>
      <c r="AI302" s="69"/>
      <c r="AJ302" s="69"/>
      <c r="AK302" s="69"/>
      <c r="AL302" s="86"/>
      <c r="AM302" s="88"/>
      <c r="AN302" s="88"/>
      <c r="AO302" s="88"/>
      <c r="AP302" s="59"/>
      <c r="AQ302" s="68"/>
      <c r="AR302" s="59"/>
      <c r="AS302" s="68"/>
      <c r="AT302" s="59"/>
      <c r="AU302" s="68"/>
    </row>
    <row r="303" spans="1:47" ht="45" customHeight="1">
      <c r="A303" s="3" t="s">
        <v>148</v>
      </c>
      <c r="B303" s="3" t="s">
        <v>703</v>
      </c>
      <c r="C303" s="6">
        <v>46280</v>
      </c>
      <c r="D303" s="3" t="s">
        <v>1736</v>
      </c>
      <c r="E303" s="3" t="s">
        <v>712</v>
      </c>
      <c r="F303" s="20">
        <f>LEN(G303)</f>
        <v>34</v>
      </c>
      <c r="G303" s="3" t="s">
        <v>1737</v>
      </c>
      <c r="H303" s="24" t="s">
        <v>1738</v>
      </c>
      <c r="I303" s="24"/>
      <c r="J303" s="3" t="s">
        <v>154</v>
      </c>
      <c r="K303" s="3" t="s">
        <v>154</v>
      </c>
      <c r="L303" s="3" t="s">
        <v>155</v>
      </c>
      <c r="M303" s="3" t="s">
        <v>1732</v>
      </c>
      <c r="N303" s="20">
        <v>71842</v>
      </c>
      <c r="O303" s="3" t="s">
        <v>1739</v>
      </c>
      <c r="P303" s="3" t="s">
        <v>708</v>
      </c>
      <c r="Q303" s="5"/>
      <c r="R303" s="3" t="s">
        <v>1740</v>
      </c>
      <c r="S303" s="6">
        <v>46289</v>
      </c>
      <c r="T303" s="24"/>
      <c r="U303" s="3" t="b">
        <v>1</v>
      </c>
      <c r="V303" s="5"/>
      <c r="W303" s="64"/>
      <c r="X303" s="64"/>
      <c r="Y303" s="64"/>
      <c r="Z303" s="64"/>
      <c r="AA303" s="59" t="s">
        <v>1741</v>
      </c>
      <c r="AB303" s="65"/>
      <c r="AC303" s="68"/>
      <c r="AD303" s="65"/>
      <c r="AE303" s="68"/>
      <c r="AF303" s="66"/>
      <c r="AG303" s="68"/>
      <c r="AH303" s="67"/>
      <c r="AI303" s="69"/>
      <c r="AJ303" s="69"/>
      <c r="AK303" s="69"/>
      <c r="AL303" s="86"/>
      <c r="AM303" s="88"/>
      <c r="AN303" s="88"/>
      <c r="AO303" s="88"/>
      <c r="AP303" s="59"/>
      <c r="AQ303" s="68"/>
      <c r="AR303" s="59"/>
      <c r="AS303" s="68"/>
      <c r="AT303" s="59"/>
      <c r="AU303" s="68"/>
    </row>
    <row r="304" spans="1:47" ht="45" customHeight="1">
      <c r="A304" s="3" t="s">
        <v>148</v>
      </c>
      <c r="B304" s="3" t="s">
        <v>703</v>
      </c>
      <c r="C304" s="6">
        <v>46280</v>
      </c>
      <c r="D304" s="3" t="s">
        <v>1742</v>
      </c>
      <c r="E304" s="3" t="s">
        <v>706</v>
      </c>
      <c r="F304" s="20">
        <f>LEN(G304)</f>
        <v>81</v>
      </c>
      <c r="G304" s="3" t="s">
        <v>1743</v>
      </c>
      <c r="H304" s="24" t="s">
        <v>738</v>
      </c>
      <c r="I304" s="24"/>
      <c r="J304" s="3" t="s">
        <v>154</v>
      </c>
      <c r="K304" s="3" t="s">
        <v>154</v>
      </c>
      <c r="L304" s="3" t="s">
        <v>155</v>
      </c>
      <c r="M304" s="3" t="s">
        <v>1744</v>
      </c>
      <c r="N304" s="20">
        <v>30135</v>
      </c>
      <c r="O304" s="3" t="s">
        <v>1742</v>
      </c>
      <c r="P304" s="3" t="s">
        <v>708</v>
      </c>
      <c r="Q304" s="5"/>
      <c r="R304" s="3" t="s">
        <v>1745</v>
      </c>
      <c r="S304" s="6">
        <v>46289</v>
      </c>
      <c r="T304" s="24"/>
      <c r="U304" s="3" t="b">
        <v>1</v>
      </c>
      <c r="V304" s="5"/>
      <c r="W304" s="64"/>
      <c r="X304" s="64"/>
      <c r="Y304" s="64"/>
      <c r="Z304" s="64"/>
      <c r="AA304" s="59" t="s">
        <v>1746</v>
      </c>
      <c r="AB304" s="65"/>
      <c r="AC304" s="68"/>
      <c r="AD304" s="65"/>
      <c r="AE304" s="68"/>
      <c r="AF304" s="66"/>
      <c r="AG304" s="68"/>
      <c r="AH304" s="67"/>
      <c r="AI304" s="69"/>
      <c r="AJ304" s="69"/>
      <c r="AK304" s="69"/>
      <c r="AL304" s="86"/>
      <c r="AM304" s="88"/>
      <c r="AN304" s="88"/>
      <c r="AO304" s="88"/>
      <c r="AP304" s="59"/>
      <c r="AQ304" s="68"/>
      <c r="AR304" s="59"/>
      <c r="AS304" s="68"/>
      <c r="AT304" s="59"/>
      <c r="AU304" s="68"/>
    </row>
    <row r="305" spans="1:47" ht="45" customHeight="1">
      <c r="A305" s="3" t="s">
        <v>148</v>
      </c>
      <c r="B305" s="3" t="s">
        <v>703</v>
      </c>
      <c r="C305" s="6">
        <v>46280</v>
      </c>
      <c r="D305" s="3" t="s">
        <v>1747</v>
      </c>
      <c r="E305" s="3" t="s">
        <v>1748</v>
      </c>
      <c r="F305" s="20">
        <f>LEN(G305)</f>
        <v>31</v>
      </c>
      <c r="G305" s="3" t="s">
        <v>1749</v>
      </c>
      <c r="H305" s="24" t="s">
        <v>1738</v>
      </c>
      <c r="I305" s="24"/>
      <c r="J305" s="3" t="s">
        <v>154</v>
      </c>
      <c r="K305" s="3" t="s">
        <v>154</v>
      </c>
      <c r="L305" s="3" t="s">
        <v>155</v>
      </c>
      <c r="M305" s="3" t="s">
        <v>1750</v>
      </c>
      <c r="N305" s="20">
        <v>130603</v>
      </c>
      <c r="O305" s="3" t="s">
        <v>1747</v>
      </c>
      <c r="P305" s="3" t="s">
        <v>708</v>
      </c>
      <c r="Q305" s="5"/>
      <c r="R305" s="3" t="s">
        <v>1751</v>
      </c>
      <c r="S305" s="6">
        <v>46289</v>
      </c>
      <c r="T305" s="24"/>
      <c r="U305" s="3" t="b">
        <v>1</v>
      </c>
      <c r="V305" s="5"/>
      <c r="W305" s="64"/>
      <c r="X305" s="64"/>
      <c r="Y305" s="64"/>
      <c r="Z305" s="64"/>
      <c r="AA305" s="59" t="s">
        <v>1752</v>
      </c>
      <c r="AB305" s="65"/>
      <c r="AC305" s="68"/>
      <c r="AD305" s="65"/>
      <c r="AE305" s="68"/>
      <c r="AF305" s="66"/>
      <c r="AG305" s="68"/>
      <c r="AH305" s="67"/>
      <c r="AI305" s="69"/>
      <c r="AJ305" s="69"/>
      <c r="AK305" s="69"/>
      <c r="AL305" s="86"/>
      <c r="AM305" s="88"/>
      <c r="AN305" s="88"/>
      <c r="AO305" s="88"/>
      <c r="AP305" s="59"/>
      <c r="AQ305" s="68"/>
      <c r="AR305" s="59"/>
      <c r="AS305" s="68"/>
      <c r="AT305" s="59"/>
      <c r="AU305" s="68"/>
    </row>
    <row r="306" spans="1:47" ht="45" customHeight="1">
      <c r="A306" s="3" t="s">
        <v>148</v>
      </c>
      <c r="B306" s="3" t="s">
        <v>703</v>
      </c>
      <c r="C306" s="6">
        <v>46280</v>
      </c>
      <c r="D306" s="3" t="s">
        <v>1753</v>
      </c>
      <c r="E306" s="3" t="s">
        <v>1754</v>
      </c>
      <c r="F306" s="20">
        <f>LEN(G306)</f>
        <v>51</v>
      </c>
      <c r="G306" s="3" t="s">
        <v>1755</v>
      </c>
      <c r="H306" s="24" t="s">
        <v>1756</v>
      </c>
      <c r="I306" s="24"/>
      <c r="J306" s="3" t="s">
        <v>154</v>
      </c>
      <c r="K306" s="3" t="s">
        <v>154</v>
      </c>
      <c r="L306" s="3" t="s">
        <v>155</v>
      </c>
      <c r="M306" s="3" t="s">
        <v>1754</v>
      </c>
      <c r="N306" s="20">
        <v>132842</v>
      </c>
      <c r="O306" s="3" t="s">
        <v>1753</v>
      </c>
      <c r="P306" s="3" t="s">
        <v>708</v>
      </c>
      <c r="Q306" s="5"/>
      <c r="R306" s="3" t="s">
        <v>1757</v>
      </c>
      <c r="S306" s="6">
        <v>46294</v>
      </c>
      <c r="T306" s="24"/>
      <c r="U306" s="3" t="b">
        <v>1</v>
      </c>
      <c r="V306" s="5"/>
      <c r="W306" s="64"/>
      <c r="X306" s="64"/>
      <c r="Y306" s="64"/>
      <c r="Z306" s="64"/>
      <c r="AA306" s="59" t="s">
        <v>1758</v>
      </c>
      <c r="AB306" s="65"/>
      <c r="AC306" s="68"/>
      <c r="AD306" s="65"/>
      <c r="AE306" s="68"/>
      <c r="AF306" s="66"/>
      <c r="AG306" s="68"/>
      <c r="AH306" s="67"/>
      <c r="AI306" s="69"/>
      <c r="AJ306" s="69"/>
      <c r="AK306" s="69"/>
      <c r="AL306" s="86"/>
      <c r="AM306" s="88"/>
      <c r="AN306" s="88"/>
      <c r="AO306" s="88"/>
      <c r="AP306" s="59"/>
      <c r="AQ306" s="68"/>
      <c r="AR306" s="59"/>
      <c r="AS306" s="68"/>
      <c r="AT306" s="59"/>
      <c r="AU306" s="68"/>
    </row>
    <row r="307" spans="1:47" ht="45" customHeight="1">
      <c r="A307" s="3" t="s">
        <v>148</v>
      </c>
      <c r="B307" s="3" t="s">
        <v>160</v>
      </c>
      <c r="C307" s="6">
        <v>46281</v>
      </c>
      <c r="D307" s="3" t="s">
        <v>1759</v>
      </c>
      <c r="E307" s="3" t="s">
        <v>1760</v>
      </c>
      <c r="F307" s="20">
        <f>LEN(G307)</f>
        <v>59</v>
      </c>
      <c r="G307" s="3" t="s">
        <v>1761</v>
      </c>
      <c r="H307" s="24" t="s">
        <v>336</v>
      </c>
      <c r="I307" s="24"/>
      <c r="J307" s="3" t="s">
        <v>154</v>
      </c>
      <c r="K307" s="3" t="s">
        <v>154</v>
      </c>
      <c r="L307" s="3" t="s">
        <v>155</v>
      </c>
      <c r="M307" s="3" t="s">
        <v>1762</v>
      </c>
      <c r="N307" s="20">
        <v>17447</v>
      </c>
      <c r="O307" s="3" t="s">
        <v>1759</v>
      </c>
      <c r="P307" s="3" t="s">
        <v>157</v>
      </c>
      <c r="Q307" s="3" t="s">
        <v>1763</v>
      </c>
      <c r="R307" s="3" t="s">
        <v>1764</v>
      </c>
      <c r="S307" s="6">
        <v>46294</v>
      </c>
      <c r="T307" s="24"/>
      <c r="U307" s="3" t="b">
        <v>1</v>
      </c>
      <c r="V307" s="5"/>
      <c r="W307" s="64"/>
      <c r="X307" s="64"/>
      <c r="Y307" s="64"/>
      <c r="Z307" s="64"/>
      <c r="AA307" s="59" t="s">
        <v>1765</v>
      </c>
      <c r="AB307" s="65"/>
      <c r="AC307" s="68"/>
      <c r="AD307" s="65"/>
      <c r="AE307" s="68"/>
      <c r="AF307" s="66"/>
      <c r="AG307" s="68"/>
      <c r="AH307" s="67"/>
      <c r="AI307" s="69"/>
      <c r="AJ307" s="69"/>
      <c r="AK307" s="69"/>
      <c r="AL307" s="86"/>
      <c r="AM307" s="88"/>
      <c r="AN307" s="88"/>
      <c r="AO307" s="88"/>
      <c r="AP307" s="59"/>
      <c r="AQ307" s="68"/>
      <c r="AR307" s="59"/>
      <c r="AS307" s="68"/>
      <c r="AT307" s="59"/>
      <c r="AU307" s="68"/>
    </row>
    <row r="308" spans="1:47" ht="45" customHeight="1">
      <c r="A308" s="3" t="s">
        <v>148</v>
      </c>
      <c r="B308" s="3" t="s">
        <v>160</v>
      </c>
      <c r="C308" s="6">
        <v>46281</v>
      </c>
      <c r="D308" s="3" t="s">
        <v>1766</v>
      </c>
      <c r="E308" s="3" t="s">
        <v>682</v>
      </c>
      <c r="F308" s="20">
        <f>LEN(G308)</f>
        <v>66</v>
      </c>
      <c r="G308" s="3" t="s">
        <v>1767</v>
      </c>
      <c r="H308" s="24" t="s">
        <v>684</v>
      </c>
      <c r="I308" s="5"/>
      <c r="J308" s="3" t="s">
        <v>154</v>
      </c>
      <c r="K308" s="3" t="s">
        <v>154</v>
      </c>
      <c r="L308" s="3" t="s">
        <v>155</v>
      </c>
      <c r="M308" s="3" t="s">
        <v>1768</v>
      </c>
      <c r="N308" s="20">
        <v>5969</v>
      </c>
      <c r="O308" s="3" t="s">
        <v>1766</v>
      </c>
      <c r="P308" s="3" t="s">
        <v>157</v>
      </c>
      <c r="Q308" s="3" t="s">
        <v>1769</v>
      </c>
      <c r="R308" s="3" t="s">
        <v>1770</v>
      </c>
      <c r="S308" s="3">
        <v>46294</v>
      </c>
      <c r="T308" s="24"/>
      <c r="U308" s="3" t="b">
        <v>0</v>
      </c>
      <c r="V308" s="5"/>
      <c r="W308" s="64"/>
      <c r="X308" s="64"/>
      <c r="Y308" s="64"/>
      <c r="Z308" s="64"/>
      <c r="AA308" s="59" t="s">
        <v>1771</v>
      </c>
      <c r="AB308" s="65"/>
      <c r="AC308" s="68"/>
      <c r="AD308" s="65"/>
      <c r="AE308" s="68"/>
      <c r="AF308" s="66"/>
      <c r="AG308" s="68"/>
      <c r="AH308" s="67"/>
      <c r="AI308" s="69"/>
      <c r="AJ308" s="69"/>
      <c r="AK308" s="69"/>
      <c r="AL308" s="86"/>
      <c r="AM308" s="88"/>
      <c r="AN308" s="88"/>
      <c r="AO308" s="88"/>
      <c r="AP308" s="59"/>
      <c r="AQ308" s="68"/>
      <c r="AR308" s="59"/>
      <c r="AS308" s="68"/>
      <c r="AT308" s="59"/>
      <c r="AU308" s="68"/>
    </row>
    <row r="309" spans="1:47" ht="45" customHeight="1">
      <c r="A309" s="3" t="s">
        <v>148</v>
      </c>
      <c r="B309" s="3" t="s">
        <v>160</v>
      </c>
      <c r="C309" s="6">
        <v>46281</v>
      </c>
      <c r="D309" s="3" t="s">
        <v>1772</v>
      </c>
      <c r="E309" s="3" t="s">
        <v>1773</v>
      </c>
      <c r="F309" s="20">
        <f>LEN(G309)</f>
        <v>87</v>
      </c>
      <c r="G309" s="3" t="s">
        <v>1774</v>
      </c>
      <c r="H309" s="24" t="s">
        <v>1775</v>
      </c>
      <c r="I309" s="5"/>
      <c r="J309" s="3" t="s">
        <v>154</v>
      </c>
      <c r="K309" s="3" t="s">
        <v>154</v>
      </c>
      <c r="L309" s="3" t="s">
        <v>155</v>
      </c>
      <c r="M309" s="3" t="s">
        <v>1776</v>
      </c>
      <c r="N309" s="20">
        <v>6248</v>
      </c>
      <c r="O309" s="3" t="s">
        <v>1777</v>
      </c>
      <c r="P309" s="3" t="s">
        <v>157</v>
      </c>
      <c r="Q309" s="3" t="s">
        <v>1778</v>
      </c>
      <c r="R309" s="3" t="s">
        <v>1779</v>
      </c>
      <c r="S309" s="3">
        <v>46294</v>
      </c>
      <c r="T309" s="24"/>
      <c r="U309" s="3" t="b">
        <v>0</v>
      </c>
      <c r="V309" s="5"/>
      <c r="W309" s="64"/>
      <c r="X309" s="64"/>
      <c r="Y309" s="64"/>
      <c r="Z309" s="64"/>
      <c r="AA309" s="59" t="s">
        <v>1780</v>
      </c>
      <c r="AB309" s="65"/>
      <c r="AC309" s="68"/>
      <c r="AD309" s="65"/>
      <c r="AE309" s="68"/>
      <c r="AF309" s="66"/>
      <c r="AG309" s="68"/>
      <c r="AH309" s="67"/>
      <c r="AI309" s="69"/>
      <c r="AJ309" s="69"/>
      <c r="AK309" s="69"/>
      <c r="AL309" s="86"/>
      <c r="AM309" s="88"/>
      <c r="AN309" s="88"/>
      <c r="AO309" s="88"/>
      <c r="AP309" s="59"/>
      <c r="AQ309" s="68"/>
      <c r="AR309" s="59"/>
      <c r="AS309" s="68"/>
      <c r="AT309" s="59"/>
      <c r="AU309" s="68"/>
    </row>
    <row r="310" spans="1:47" ht="45" customHeight="1">
      <c r="A310" s="3" t="s">
        <v>148</v>
      </c>
      <c r="B310" s="3" t="s">
        <v>160</v>
      </c>
      <c r="C310" s="6">
        <v>46281</v>
      </c>
      <c r="D310" s="3" t="s">
        <v>1781</v>
      </c>
      <c r="E310" s="3" t="s">
        <v>973</v>
      </c>
      <c r="F310" s="20">
        <f>LEN(G310)</f>
        <v>99</v>
      </c>
      <c r="G310" s="3" t="s">
        <v>1782</v>
      </c>
      <c r="H310" s="24" t="s">
        <v>349</v>
      </c>
      <c r="I310" s="24"/>
      <c r="J310" s="3" t="s">
        <v>154</v>
      </c>
      <c r="K310" s="3" t="s">
        <v>154</v>
      </c>
      <c r="L310" s="3" t="s">
        <v>155</v>
      </c>
      <c r="M310" s="3" t="s">
        <v>1776</v>
      </c>
      <c r="N310" s="20">
        <v>6248</v>
      </c>
      <c r="O310" s="3" t="s">
        <v>1781</v>
      </c>
      <c r="P310" s="3" t="s">
        <v>157</v>
      </c>
      <c r="Q310" s="5"/>
      <c r="R310" s="3" t="s">
        <v>1783</v>
      </c>
      <c r="S310" s="6">
        <v>46287</v>
      </c>
      <c r="T310" s="24"/>
      <c r="U310" s="3" t="b">
        <v>1</v>
      </c>
      <c r="V310" s="5"/>
      <c r="W310" s="64"/>
      <c r="X310" s="64"/>
      <c r="Y310" s="64"/>
      <c r="Z310" s="64"/>
      <c r="AA310" s="59" t="s">
        <v>1784</v>
      </c>
      <c r="AB310" s="65"/>
      <c r="AC310" s="68"/>
      <c r="AD310" s="65"/>
      <c r="AE310" s="68"/>
      <c r="AF310" s="66"/>
      <c r="AG310" s="68"/>
      <c r="AH310" s="67"/>
      <c r="AI310" s="69"/>
      <c r="AJ310" s="69"/>
      <c r="AK310" s="69"/>
      <c r="AL310" s="86"/>
      <c r="AM310" s="88"/>
      <c r="AN310" s="88"/>
      <c r="AO310" s="88"/>
      <c r="AP310" s="59"/>
      <c r="AQ310" s="68"/>
      <c r="AR310" s="59"/>
      <c r="AS310" s="68"/>
      <c r="AT310" s="59"/>
      <c r="AU310" s="68"/>
    </row>
    <row r="311" spans="1:47" ht="80.25" customHeight="1">
      <c r="A311" s="3" t="s">
        <v>148</v>
      </c>
      <c r="B311" s="3" t="s">
        <v>539</v>
      </c>
      <c r="C311" s="6">
        <v>46281</v>
      </c>
      <c r="D311" s="3" t="s">
        <v>1785</v>
      </c>
      <c r="E311" s="3" t="s">
        <v>1786</v>
      </c>
      <c r="F311" s="20">
        <f>LEN(G311)</f>
        <v>37</v>
      </c>
      <c r="G311" s="3" t="s">
        <v>1787</v>
      </c>
      <c r="H311" s="24" t="s">
        <v>164</v>
      </c>
      <c r="I311" s="3" t="s">
        <v>1788</v>
      </c>
      <c r="J311" s="3" t="s">
        <v>154</v>
      </c>
      <c r="K311" s="3" t="s">
        <v>154</v>
      </c>
      <c r="L311" s="3" t="s">
        <v>155</v>
      </c>
      <c r="M311" s="3" t="s">
        <v>1789</v>
      </c>
      <c r="N311" s="20" t="s">
        <v>1790</v>
      </c>
      <c r="O311" s="3" t="s">
        <v>1785</v>
      </c>
      <c r="P311" s="3" t="s">
        <v>157</v>
      </c>
      <c r="Q311" s="5"/>
      <c r="R311" s="5" t="inlineStr">
        <is>
          <t xml:space="preserve">087327</t>
        </is>
      </c>
      <c r="S311" s="5">
        <v>46302</v>
      </c>
      <c r="T311" s="24" t="inlineStr">
        <is>
          <t xml:space="preserve">Merci de corriger la famille, ce n'est pas de l'outillage/consommable</t>
        </is>
      </c>
      <c r="U311" s="3" t="b">
        <v>0</v>
      </c>
      <c r="V311" s="5"/>
      <c r="W311" s="64" t="s">
        <v>1785</v>
      </c>
      <c r="X311" s="64" t="s">
        <v>1786</v>
      </c>
      <c r="Y311" s="64" t="s">
        <v>1792</v>
      </c>
      <c r="Z311" s="64"/>
      <c r="AA311" s="59" t="s">
        <v>1793</v>
      </c>
      <c r="AB311" s="65" t="s">
        <v>1794</v>
      </c>
      <c r="AC311" s="68" t="s">
        <v>1795</v>
      </c>
      <c r="AD311" s="65" t="s">
        <v>1796</v>
      </c>
      <c r="AE311" s="68" t="s">
        <v>1797</v>
      </c>
      <c r="AF311" s="66" t="s">
        <v>1798</v>
      </c>
      <c r="AG311" s="68" t="s">
        <v>1799</v>
      </c>
      <c r="AH311" s="67"/>
      <c r="AI311" s="69"/>
      <c r="AJ311" s="69"/>
      <c r="AK311" s="69"/>
      <c r="AL311" s="86" t="s">
        <v>218</v>
      </c>
      <c r="AM311" s="89" t="str">
        <f>HYPERLINK("https://www.elesa.com/siteassets/PDF/PDF_EN/RMH.pdf","https://www.elesa.com/siteassets/PDF/PDF_EN/RMH.pdf")</f>
        <v>https://www.elesa.com/siteassets/PDF/PDF_EN/RMH.pdf</v>
      </c>
      <c r="AN311" s="89" t="str">
        <f>HYPERLINK("https://www.elesa.com/en/elesab2bstoreoc/no-slip-coating-in-black-colour-rmh-nd-bk","https://www.elesa.com/en/elesab2bstoreoc/no-slip-coating-in-black-colour-rmh-nd-bk")</f>
        <v>https://www.elesa.com/en/elesab2bstoreoc/no-slip-coating-in-black-colour-rmh-nd-bk</v>
      </c>
      <c r="AO311" s="88"/>
      <c r="AP311" s="59" t="s">
        <v>70</v>
      </c>
      <c r="AQ311" s="68" t="s">
        <v>1800</v>
      </c>
      <c r="AR311" s="59"/>
      <c r="AS311" s="68" t="s">
        <v>1801</v>
      </c>
      <c r="AT311" s="59"/>
      <c r="AU311" s="68" t="s">
        <v>1077</v>
      </c>
    </row>
    <row r="312" spans="1:47" ht="45" customHeight="1">
      <c r="A312" s="3" t="s">
        <v>148</v>
      </c>
      <c r="B312" s="3" t="s">
        <v>539</v>
      </c>
      <c r="C312" s="6">
        <v>46281</v>
      </c>
      <c r="D312" s="3" t="s">
        <v>1802</v>
      </c>
      <c r="E312" s="3" t="s">
        <v>1803</v>
      </c>
      <c r="F312" s="20">
        <f>LEN(G312)</f>
        <v>61</v>
      </c>
      <c r="G312" s="3" t="s">
        <v>1804</v>
      </c>
      <c r="H312" s="24" t="s">
        <v>660</v>
      </c>
      <c r="I312" s="3" t="s">
        <v>1788</v>
      </c>
      <c r="J312" s="3" t="s">
        <v>154</v>
      </c>
      <c r="K312" s="3" t="s">
        <v>154</v>
      </c>
      <c r="L312" s="3" t="s">
        <v>155</v>
      </c>
      <c r="M312" s="3" t="s">
        <v>1805</v>
      </c>
      <c r="N312" s="20" t="s">
        <v>1806</v>
      </c>
      <c r="O312" s="3" t="s">
        <v>1802</v>
      </c>
      <c r="P312" s="3" t="s">
        <v>157</v>
      </c>
      <c r="Q312" s="5"/>
      <c r="R312" s="3" t="s">
        <v>1807</v>
      </c>
      <c r="S312" s="3">
        <v>46289</v>
      </c>
      <c r="T312" s="24" t="s">
        <v>1808</v>
      </c>
      <c r="U312" s="3" t="b">
        <v>0</v>
      </c>
      <c r="V312" s="5"/>
      <c r="W312" s="64"/>
      <c r="X312" s="64"/>
      <c r="Y312" s="64"/>
      <c r="Z312" s="64"/>
      <c r="AA312" s="59" t="s">
        <v>1809</v>
      </c>
      <c r="AB312" s="65"/>
      <c r="AC312" s="68"/>
      <c r="AD312" s="65"/>
      <c r="AE312" s="68"/>
      <c r="AF312" s="66"/>
      <c r="AG312" s="68"/>
      <c r="AH312" s="67"/>
      <c r="AI312" s="69"/>
      <c r="AJ312" s="69"/>
      <c r="AK312" s="69"/>
      <c r="AL312" s="86"/>
      <c r="AM312" s="88"/>
      <c r="AN312" s="88"/>
      <c r="AO312" s="88"/>
      <c r="AP312" s="59"/>
      <c r="AQ312" s="68"/>
      <c r="AR312" s="59"/>
      <c r="AS312" s="68"/>
      <c r="AT312" s="59"/>
      <c r="AU312" s="68"/>
    </row>
    <row r="313" spans="1:47" ht="45" customHeight="1">
      <c r="A313" s="3" t="s">
        <v>148</v>
      </c>
      <c r="B313" s="3" t="s">
        <v>539</v>
      </c>
      <c r="C313" s="6">
        <v>46281</v>
      </c>
      <c r="D313" s="3" t="s">
        <v>1810</v>
      </c>
      <c r="E313" s="3" t="s">
        <v>1803</v>
      </c>
      <c r="F313" s="20">
        <f>LEN(G313)</f>
        <v>55</v>
      </c>
      <c r="G313" s="3" t="s">
        <v>1811</v>
      </c>
      <c r="H313" s="24" t="s">
        <v>660</v>
      </c>
      <c r="I313" s="3" t="s">
        <v>1788</v>
      </c>
      <c r="J313" s="3" t="s">
        <v>154</v>
      </c>
      <c r="K313" s="3" t="s">
        <v>154</v>
      </c>
      <c r="L313" s="3" t="s">
        <v>155</v>
      </c>
      <c r="M313" s="3" t="s">
        <v>1805</v>
      </c>
      <c r="N313" s="20" t="s">
        <v>1806</v>
      </c>
      <c r="O313" s="3" t="s">
        <v>1810</v>
      </c>
      <c r="P313" s="3" t="s">
        <v>157</v>
      </c>
      <c r="Q313" s="5"/>
      <c r="R313" s="3" t="s">
        <v>1812</v>
      </c>
      <c r="S313" s="3">
        <v>46289</v>
      </c>
      <c r="T313" s="24"/>
      <c r="U313" s="3" t="b">
        <v>0</v>
      </c>
      <c r="V313" s="5"/>
      <c r="W313" s="64"/>
      <c r="X313" s="64"/>
      <c r="Y313" s="64"/>
      <c r="Z313" s="64"/>
      <c r="AA313" s="59" t="s">
        <v>1813</v>
      </c>
      <c r="AB313" s="65"/>
      <c r="AC313" s="68"/>
      <c r="AD313" s="65"/>
      <c r="AE313" s="68"/>
      <c r="AF313" s="66"/>
      <c r="AG313" s="68"/>
      <c r="AH313" s="67"/>
      <c r="AI313" s="69"/>
      <c r="AJ313" s="69"/>
      <c r="AK313" s="69"/>
      <c r="AL313" s="86"/>
      <c r="AM313" s="88"/>
      <c r="AN313" s="88"/>
      <c r="AO313" s="88"/>
      <c r="AP313" s="59"/>
      <c r="AQ313" s="68"/>
      <c r="AR313" s="59"/>
      <c r="AS313" s="68"/>
      <c r="AT313" s="59"/>
      <c r="AU313" s="68"/>
    </row>
    <row r="314" spans="1:47" ht="45" customHeight="1">
      <c r="A314" s="3" t="s">
        <v>148</v>
      </c>
      <c r="B314" s="3" t="s">
        <v>539</v>
      </c>
      <c r="C314" s="6">
        <v>46281</v>
      </c>
      <c r="D314" s="3" t="s">
        <v>1814</v>
      </c>
      <c r="E314" s="3" t="s">
        <v>1803</v>
      </c>
      <c r="F314" s="20">
        <f>LEN(G314)</f>
        <v>39</v>
      </c>
      <c r="G314" s="3" t="s">
        <v>1815</v>
      </c>
      <c r="H314" s="24" t="s">
        <v>660</v>
      </c>
      <c r="I314" s="3" t="s">
        <v>1788</v>
      </c>
      <c r="J314" s="3" t="s">
        <v>154</v>
      </c>
      <c r="K314" s="3" t="s">
        <v>154</v>
      </c>
      <c r="L314" s="3" t="s">
        <v>155</v>
      </c>
      <c r="M314" s="3" t="s">
        <v>1805</v>
      </c>
      <c r="N314" s="20" t="s">
        <v>1806</v>
      </c>
      <c r="O314" s="3" t="s">
        <v>1814</v>
      </c>
      <c r="P314" s="3" t="s">
        <v>157</v>
      </c>
      <c r="Q314" s="5"/>
      <c r="R314" s="3" t="s">
        <v>1816</v>
      </c>
      <c r="S314" s="3">
        <v>46289</v>
      </c>
      <c r="T314" s="24" t="s">
        <v>1817</v>
      </c>
      <c r="U314" s="3" t="b">
        <v>0</v>
      </c>
      <c r="V314" s="5"/>
      <c r="W314" s="64"/>
      <c r="X314" s="64"/>
      <c r="Y314" s="64"/>
      <c r="Z314" s="64"/>
      <c r="AA314" s="59" t="s">
        <v>1818</v>
      </c>
      <c r="AB314" s="65"/>
      <c r="AC314" s="68"/>
      <c r="AD314" s="65"/>
      <c r="AE314" s="68"/>
      <c r="AF314" s="66"/>
      <c r="AG314" s="68"/>
      <c r="AH314" s="67"/>
      <c r="AI314" s="69"/>
      <c r="AJ314" s="69"/>
      <c r="AK314" s="69"/>
      <c r="AL314" s="86"/>
      <c r="AM314" s="88"/>
      <c r="AN314" s="88"/>
      <c r="AO314" s="88"/>
      <c r="AP314" s="59"/>
      <c r="AQ314" s="68"/>
      <c r="AR314" s="59"/>
      <c r="AS314" s="68"/>
      <c r="AT314" s="59"/>
      <c r="AU314" s="68"/>
    </row>
    <row r="315" spans="1:47" ht="45" customHeight="1">
      <c r="A315" s="3" t="s">
        <v>148</v>
      </c>
      <c r="B315" s="3" t="s">
        <v>539</v>
      </c>
      <c r="C315" s="6">
        <v>46281</v>
      </c>
      <c r="D315" s="3" t="s">
        <v>1819</v>
      </c>
      <c r="E315" s="3" t="s">
        <v>669</v>
      </c>
      <c r="F315" s="20">
        <f>LEN(G315)</f>
        <v>33</v>
      </c>
      <c r="G315" s="3" t="s">
        <v>1820</v>
      </c>
      <c r="H315" s="24" t="s">
        <v>336</v>
      </c>
      <c r="I315" s="24" t="s">
        <v>1788</v>
      </c>
      <c r="J315" s="3" t="s">
        <v>154</v>
      </c>
      <c r="K315" s="3" t="s">
        <v>154</v>
      </c>
      <c r="L315" s="3" t="s">
        <v>155</v>
      </c>
      <c r="M315" s="3" t="s">
        <v>1821</v>
      </c>
      <c r="N315" s="20">
        <v>14436</v>
      </c>
      <c r="O315" s="3" t="s">
        <v>1819</v>
      </c>
      <c r="P315" s="3" t="s">
        <v>157</v>
      </c>
      <c r="Q315" s="5"/>
      <c r="R315" s="3" t="s">
        <v>1822</v>
      </c>
      <c r="S315" s="6">
        <v>46287</v>
      </c>
      <c r="T315" s="24"/>
      <c r="U315" s="3" t="b">
        <v>1</v>
      </c>
      <c r="V315" s="5"/>
      <c r="W315" s="64"/>
      <c r="X315" s="64"/>
      <c r="Y315" s="64"/>
      <c r="Z315" s="64"/>
      <c r="AA315" s="59" t="s">
        <v>1823</v>
      </c>
      <c r="AB315" s="65"/>
      <c r="AC315" s="68"/>
      <c r="AD315" s="65"/>
      <c r="AE315" s="68"/>
      <c r="AF315" s="66"/>
      <c r="AG315" s="68"/>
      <c r="AH315" s="67"/>
      <c r="AI315" s="69"/>
      <c r="AJ315" s="69"/>
      <c r="AK315" s="69"/>
      <c r="AL315" s="86"/>
      <c r="AM315" s="88"/>
      <c r="AN315" s="88"/>
      <c r="AO315" s="88"/>
      <c r="AP315" s="59"/>
      <c r="AQ315" s="68"/>
      <c r="AR315" s="59"/>
      <c r="AS315" s="68"/>
      <c r="AT315" s="59"/>
      <c r="AU315" s="68"/>
    </row>
    <row r="316" spans="1:47" ht="45" customHeight="1">
      <c r="A316" s="3" t="s">
        <v>148</v>
      </c>
      <c r="B316" s="3" t="s">
        <v>539</v>
      </c>
      <c r="C316" s="6">
        <v>46281</v>
      </c>
      <c r="D316" s="3" t="s">
        <v>1824</v>
      </c>
      <c r="E316" s="3" t="s">
        <v>669</v>
      </c>
      <c r="F316" s="20">
        <f>LEN(G316)</f>
        <v>31</v>
      </c>
      <c r="G316" s="3" t="s">
        <v>1825</v>
      </c>
      <c r="H316" s="24" t="s">
        <v>336</v>
      </c>
      <c r="I316" s="24" t="s">
        <v>1788</v>
      </c>
      <c r="J316" s="3" t="s">
        <v>154</v>
      </c>
      <c r="K316" s="3" t="s">
        <v>154</v>
      </c>
      <c r="L316" s="3" t="s">
        <v>155</v>
      </c>
      <c r="M316" s="3" t="s">
        <v>1821</v>
      </c>
      <c r="N316" s="20">
        <v>14436</v>
      </c>
      <c r="O316" s="3" t="s">
        <v>1824</v>
      </c>
      <c r="P316" s="3" t="s">
        <v>157</v>
      </c>
      <c r="Q316" s="5"/>
      <c r="R316" s="3" t="s">
        <v>1826</v>
      </c>
      <c r="S316" s="6">
        <v>46287</v>
      </c>
      <c r="T316" s="24"/>
      <c r="U316" s="3" t="b">
        <v>1</v>
      </c>
      <c r="V316" s="5"/>
      <c r="W316" s="64"/>
      <c r="X316" s="64"/>
      <c r="Y316" s="64"/>
      <c r="Z316" s="64"/>
      <c r="AA316" s="59" t="s">
        <v>1827</v>
      </c>
      <c r="AB316" s="65"/>
      <c r="AC316" s="68"/>
      <c r="AD316" s="65"/>
      <c r="AE316" s="68"/>
      <c r="AF316" s="66"/>
      <c r="AG316" s="68"/>
      <c r="AH316" s="67"/>
      <c r="AI316" s="69"/>
      <c r="AJ316" s="69"/>
      <c r="AK316" s="69"/>
      <c r="AL316" s="86"/>
      <c r="AM316" s="88"/>
      <c r="AN316" s="88"/>
      <c r="AO316" s="88"/>
      <c r="AP316" s="59"/>
      <c r="AQ316" s="68"/>
      <c r="AR316" s="59"/>
      <c r="AS316" s="68"/>
      <c r="AT316" s="59"/>
      <c r="AU316" s="68"/>
    </row>
    <row r="317" spans="1:47" ht="45" customHeight="1">
      <c r="A317" s="3" t="s">
        <v>148</v>
      </c>
      <c r="B317" s="3" t="s">
        <v>539</v>
      </c>
      <c r="C317" s="6">
        <v>46281</v>
      </c>
      <c r="D317" s="3" t="s">
        <v>1828</v>
      </c>
      <c r="E317" s="3" t="s">
        <v>669</v>
      </c>
      <c r="F317" s="20">
        <f>LEN(G317)</f>
        <v>31</v>
      </c>
      <c r="G317" s="3" t="s">
        <v>1829</v>
      </c>
      <c r="H317" s="24" t="s">
        <v>336</v>
      </c>
      <c r="I317" s="24" t="s">
        <v>1788</v>
      </c>
      <c r="J317" s="3" t="s">
        <v>154</v>
      </c>
      <c r="K317" s="3" t="s">
        <v>154</v>
      </c>
      <c r="L317" s="3" t="s">
        <v>155</v>
      </c>
      <c r="M317" s="3" t="s">
        <v>1821</v>
      </c>
      <c r="N317" s="20">
        <v>14436</v>
      </c>
      <c r="O317" s="3" t="s">
        <v>1828</v>
      </c>
      <c r="P317" s="3" t="s">
        <v>157</v>
      </c>
      <c r="Q317" s="5"/>
      <c r="R317" s="3" t="s">
        <v>1830</v>
      </c>
      <c r="S317" s="6">
        <v>46287</v>
      </c>
      <c r="T317" s="24"/>
      <c r="U317" s="3" t="b">
        <v>1</v>
      </c>
      <c r="V317" s="5"/>
      <c r="W317" s="64"/>
      <c r="X317" s="64"/>
      <c r="Y317" s="64"/>
      <c r="Z317" s="64"/>
      <c r="AA317" s="59" t="s">
        <v>1831</v>
      </c>
      <c r="AB317" s="65"/>
      <c r="AC317" s="68"/>
      <c r="AD317" s="65"/>
      <c r="AE317" s="68"/>
      <c r="AF317" s="66"/>
      <c r="AG317" s="68"/>
      <c r="AH317" s="67"/>
      <c r="AI317" s="69"/>
      <c r="AJ317" s="69"/>
      <c r="AK317" s="69"/>
      <c r="AL317" s="86"/>
      <c r="AM317" s="88"/>
      <c r="AN317" s="88"/>
      <c r="AO317" s="88"/>
      <c r="AP317" s="59"/>
      <c r="AQ317" s="68"/>
      <c r="AR317" s="59"/>
      <c r="AS317" s="68"/>
      <c r="AT317" s="59"/>
      <c r="AU317" s="68"/>
    </row>
    <row r="318" spans="1:47" ht="45" customHeight="1">
      <c r="A318" s="3" t="s">
        <v>148</v>
      </c>
      <c r="B318" s="3" t="s">
        <v>539</v>
      </c>
      <c r="C318" s="6">
        <v>46281</v>
      </c>
      <c r="D318" s="3" t="s">
        <v>1832</v>
      </c>
      <c r="E318" s="3" t="s">
        <v>669</v>
      </c>
      <c r="F318" s="20">
        <f>LEN(G318)</f>
        <v>39</v>
      </c>
      <c r="G318" s="3" t="s">
        <v>1833</v>
      </c>
      <c r="H318" s="24" t="s">
        <v>660</v>
      </c>
      <c r="I318" s="3" t="s">
        <v>1788</v>
      </c>
      <c r="J318" s="3" t="s">
        <v>154</v>
      </c>
      <c r="K318" s="3" t="s">
        <v>154</v>
      </c>
      <c r="L318" s="3" t="s">
        <v>155</v>
      </c>
      <c r="M318" s="3" t="s">
        <v>1821</v>
      </c>
      <c r="N318" s="20">
        <v>14436</v>
      </c>
      <c r="O318" s="3" t="s">
        <v>1832</v>
      </c>
      <c r="P318" s="3" t="s">
        <v>157</v>
      </c>
      <c r="Q318" s="5"/>
      <c r="R318" s="3" t="s">
        <v>1834</v>
      </c>
      <c r="S318" s="5"/>
      <c r="T318" s="24" t="s">
        <v>1835</v>
      </c>
      <c r="U318" s="3" t="b">
        <v>0</v>
      </c>
      <c r="V318" s="5"/>
      <c r="W318" s="64"/>
      <c r="X318" s="64"/>
      <c r="Y318" s="64"/>
      <c r="Z318" s="64"/>
      <c r="AA318" s="59" t="s">
        <v>1836</v>
      </c>
      <c r="AB318" s="65"/>
      <c r="AC318" s="68"/>
      <c r="AD318" s="65"/>
      <c r="AE318" s="68"/>
      <c r="AF318" s="66"/>
      <c r="AG318" s="68"/>
      <c r="AH318" s="67"/>
      <c r="AI318" s="69"/>
      <c r="AJ318" s="69"/>
      <c r="AK318" s="69"/>
      <c r="AL318" s="86"/>
      <c r="AM318" s="88"/>
      <c r="AN318" s="88"/>
      <c r="AO318" s="88"/>
      <c r="AP318" s="59"/>
      <c r="AQ318" s="68"/>
      <c r="AR318" s="59"/>
      <c r="AS318" s="68"/>
      <c r="AT318" s="59"/>
      <c r="AU318" s="68"/>
    </row>
    <row r="319" spans="1:47" ht="80.25" customHeight="1">
      <c r="A319" s="3" t="s">
        <v>148</v>
      </c>
      <c r="B319" s="3" t="s">
        <v>539</v>
      </c>
      <c r="C319" s="6">
        <v>46281</v>
      </c>
      <c r="D319" s="3" t="s">
        <v>1837</v>
      </c>
      <c r="E319" s="3" t="s">
        <v>1838</v>
      </c>
      <c r="F319" s="20">
        <f>LEN(G319)</f>
        <v>93</v>
      </c>
      <c r="G319" s="3" t="s">
        <v>1839</v>
      </c>
      <c r="H319" s="24" t="s">
        <v>1040</v>
      </c>
      <c r="I319" s="3" t="s">
        <v>1788</v>
      </c>
      <c r="J319" s="3" t="s">
        <v>154</v>
      </c>
      <c r="K319" s="3" t="s">
        <v>154</v>
      </c>
      <c r="L319" s="3" t="s">
        <v>155</v>
      </c>
      <c r="M319" s="3" t="s">
        <v>1840</v>
      </c>
      <c r="N319" s="20" t="s">
        <v>1840</v>
      </c>
      <c r="O319" s="3" t="s">
        <v>1837</v>
      </c>
      <c r="P319" s="3" t="s">
        <v>157</v>
      </c>
      <c r="Q319" s="5"/>
      <c r="R319" s="5" t="inlineStr">
        <is>
          <t xml:space="preserve">087326</t>
        </is>
      </c>
      <c r="S319" s="5">
        <v>46302</v>
      </c>
      <c r="T319" s="24" t="inlineStr">
        <is>
          <t xml:space="preserve">Merci d'ajouter un fournisseur pour cet article</t>
        </is>
      </c>
      <c r="U319" s="3" t="b">
        <v>0</v>
      </c>
      <c r="V319" s="3" t="s">
        <v>1842</v>
      </c>
      <c r="W319" s="64" t="s">
        <v>1837</v>
      </c>
      <c r="X319" s="64" t="s">
        <v>1838</v>
      </c>
      <c r="Y319" s="64"/>
      <c r="Z319" s="64"/>
      <c r="AA319" s="59" t="s">
        <v>1793</v>
      </c>
      <c r="AB319" s="65" t="s">
        <v>1843</v>
      </c>
      <c r="AC319" s="68" t="s">
        <v>1844</v>
      </c>
      <c r="AD319" s="65" t="s">
        <v>1845</v>
      </c>
      <c r="AE319" s="68" t="s">
        <v>1846</v>
      </c>
      <c r="AF319" s="66" t="s">
        <v>1847</v>
      </c>
      <c r="AG319" s="68" t="s">
        <v>1848</v>
      </c>
      <c r="AH319" s="67"/>
      <c r="AI319" s="69"/>
      <c r="AJ319" s="69"/>
      <c r="AK319" s="69"/>
      <c r="AL319" s="86" t="s">
        <v>218</v>
      </c>
      <c r="AM319" s="88"/>
      <c r="AN319" s="89" t="str">
        <f>HYPERLINK("https://fr.misumi-ec.com/vona2/detail/110300010010/?HissuCode=STHWICB20","https://fr.misumi-ec.com/vona2/detail/110300010010/?HissuCode=STHWICB20")</f>
        <v>https://fr.misumi-ec.com/vona2/detail/110300010010/?HissuCode=STHWICB20</v>
      </c>
      <c r="AO319" s="88"/>
      <c r="AP319" s="59" t="s">
        <v>70</v>
      </c>
      <c r="AQ319" s="68" t="s">
        <v>1849</v>
      </c>
      <c r="AR319" s="59" t="inlineStr">
        <is>
          <t xml:space="preserve">150400 GUIDAGE LINEAIRE</t>
        </is>
      </c>
      <c r="AS319" s="68" t="s">
        <v>1851</v>
      </c>
      <c r="AT319" s="59"/>
      <c r="AU319" s="68" t="s">
        <v>1077</v>
      </c>
    </row>
    <row r="320" spans="1:47" ht="87" customHeight="1">
      <c r="A320" s="3" t="s">
        <v>148</v>
      </c>
      <c r="B320" s="3" t="s">
        <v>539</v>
      </c>
      <c r="C320" s="6">
        <v>46281</v>
      </c>
      <c r="D320" s="3" t="s">
        <v>1852</v>
      </c>
      <c r="E320" s="3" t="s">
        <v>1838</v>
      </c>
      <c r="F320" s="20">
        <f>LEN(G320)</f>
        <v>85</v>
      </c>
      <c r="G320" s="3" t="s">
        <v>1853</v>
      </c>
      <c r="H320" s="24" t="s">
        <v>1040</v>
      </c>
      <c r="I320" s="3" t="s">
        <v>1788</v>
      </c>
      <c r="J320" s="3" t="s">
        <v>154</v>
      </c>
      <c r="K320" s="3" t="s">
        <v>154</v>
      </c>
      <c r="L320" s="3" t="s">
        <v>155</v>
      </c>
      <c r="M320" s="3" t="s">
        <v>1840</v>
      </c>
      <c r="N320" s="20" t="s">
        <v>1840</v>
      </c>
      <c r="O320" s="3" t="s">
        <v>1852</v>
      </c>
      <c r="P320" s="3" t="s">
        <v>157</v>
      </c>
      <c r="Q320" s="5"/>
      <c r="R320" s="5" t="inlineStr">
        <is>
          <t xml:space="preserve">087328</t>
        </is>
      </c>
      <c r="S320" s="5">
        <v>46302</v>
      </c>
      <c r="T320" s="24" t="inlineStr">
        <is>
          <t xml:space="preserve">Merci d'ajouter un fournisseur pour cet article</t>
        </is>
      </c>
      <c r="U320" s="3" t="b">
        <v>0</v>
      </c>
      <c r="V320" s="3" t="s">
        <v>1842</v>
      </c>
      <c r="W320" s="64"/>
      <c r="X320" s="64"/>
      <c r="Y320" s="64"/>
      <c r="Z320" s="64"/>
      <c r="AA320" s="59" t="s">
        <v>212</v>
      </c>
      <c r="AB320" s="65"/>
      <c r="AC320" s="68" t="s">
        <v>213</v>
      </c>
      <c r="AD320" s="65" t="s">
        <v>1854</v>
      </c>
      <c r="AE320" s="68" t="s">
        <v>1855</v>
      </c>
      <c r="AF320" s="66" t="s">
        <v>1856</v>
      </c>
      <c r="AG320" s="68" t="s">
        <v>1857</v>
      </c>
      <c r="AH320" s="67"/>
      <c r="AI320" s="69"/>
      <c r="AJ320" s="69"/>
      <c r="AK320" s="69"/>
      <c r="AL320" s="86" t="s">
        <v>218</v>
      </c>
      <c r="AM320" s="88"/>
      <c r="AN320" s="89" t="str">
        <f>HYPERLINK("https://uk.misumi-ec.com/vona2/detail/110311064159/","https://uk.misumi-ec.com/vona2/detail/110311064159/")</f>
        <v>https://uk.misumi-ec.com/vona2/detail/110311064159/</v>
      </c>
      <c r="AO320" s="88"/>
      <c r="AP320" s="59" t="s">
        <v>74</v>
      </c>
      <c r="AQ320" s="68" t="s">
        <v>1858</v>
      </c>
      <c r="AR320" s="59" t="inlineStr">
        <is>
          <t xml:space="preserve">150400 GUIDAGE LINEAIRE</t>
        </is>
      </c>
      <c r="AS320" s="68" t="s">
        <v>1859</v>
      </c>
      <c r="AT320" s="59"/>
      <c r="AU320" s="68" t="s">
        <v>1077</v>
      </c>
    </row>
    <row r="321" spans="1:47" ht="108.75" customHeight="1">
      <c r="A321" s="3" t="s">
        <v>148</v>
      </c>
      <c r="B321" s="3" t="s">
        <v>539</v>
      </c>
      <c r="C321" s="6">
        <v>46281</v>
      </c>
      <c r="D321" s="3" t="s">
        <v>1860</v>
      </c>
      <c r="E321" s="3" t="s">
        <v>1838</v>
      </c>
      <c r="F321" s="20">
        <f>LEN(G321)</f>
        <v>85</v>
      </c>
      <c r="G321" s="3" t="s">
        <v>1861</v>
      </c>
      <c r="H321" s="24" t="s">
        <v>1040</v>
      </c>
      <c r="I321" s="3" t="s">
        <v>1788</v>
      </c>
      <c r="J321" s="3" t="s">
        <v>154</v>
      </c>
      <c r="K321" s="3" t="s">
        <v>154</v>
      </c>
      <c r="L321" s="3" t="s">
        <v>155</v>
      </c>
      <c r="M321" s="3" t="s">
        <v>1840</v>
      </c>
      <c r="N321" s="20" t="s">
        <v>1840</v>
      </c>
      <c r="O321" s="3" t="s">
        <v>1860</v>
      </c>
      <c r="P321" s="3" t="s">
        <v>157</v>
      </c>
      <c r="Q321" s="5"/>
      <c r="R321" s="5" t="inlineStr">
        <is>
          <t xml:space="preserve">087329</t>
        </is>
      </c>
      <c r="S321" s="5">
        <v>46302</v>
      </c>
      <c r="T321" s="24" t="inlineStr">
        <is>
          <t xml:space="preserve">Merci d'ajouter un fournisseur pour cet article</t>
        </is>
      </c>
      <c r="U321" s="3" t="b">
        <v>0</v>
      </c>
      <c r="V321" s="3" t="s">
        <v>1842</v>
      </c>
      <c r="W321" s="64"/>
      <c r="X321" s="64"/>
      <c r="Y321" s="64"/>
      <c r="Z321" s="64"/>
      <c r="AA321" s="59" t="s">
        <v>212</v>
      </c>
      <c r="AB321" s="65"/>
      <c r="AC321" s="68" t="s">
        <v>213</v>
      </c>
      <c r="AD321" s="65" t="s">
        <v>1862</v>
      </c>
      <c r="AE321" s="68" t="s">
        <v>1855</v>
      </c>
      <c r="AF321" s="66" t="s">
        <v>1863</v>
      </c>
      <c r="AG321" s="68" t="s">
        <v>1857</v>
      </c>
      <c r="AH321" s="67"/>
      <c r="AI321" s="69"/>
      <c r="AJ321" s="69"/>
      <c r="AK321" s="69"/>
      <c r="AL321" s="86" t="s">
        <v>218</v>
      </c>
      <c r="AM321" s="88"/>
      <c r="AN321" s="89" t="str">
        <f>HYPERLINK("https://uk.misumi-ec.com/vona2/detail/110311064159/","https://uk.misumi-ec.com/vona2/detail/110311064159/")</f>
        <v>https://uk.misumi-ec.com/vona2/detail/110311064159/</v>
      </c>
      <c r="AO321" s="88"/>
      <c r="AP321" s="59" t="s">
        <v>74</v>
      </c>
      <c r="AQ321" s="68" t="s">
        <v>1864</v>
      </c>
      <c r="AR321" s="59" t="inlineStr">
        <is>
          <t xml:space="preserve">150400 GUIDAGE LINEAIRE</t>
        </is>
      </c>
      <c r="AS321" s="68" t="s">
        <v>1859</v>
      </c>
      <c r="AT321" s="59"/>
      <c r="AU321" s="68" t="s">
        <v>1077</v>
      </c>
    </row>
    <row r="322" spans="1:47" ht="108.75" customHeight="1">
      <c r="A322" s="3" t="s">
        <v>148</v>
      </c>
      <c r="B322" s="3" t="s">
        <v>539</v>
      </c>
      <c r="C322" s="6">
        <v>46281</v>
      </c>
      <c r="D322" s="3" t="s">
        <v>1865</v>
      </c>
      <c r="E322" s="3" t="s">
        <v>1838</v>
      </c>
      <c r="F322" s="20">
        <f>LEN(G322)</f>
        <v>85</v>
      </c>
      <c r="G322" s="3" t="s">
        <v>1866</v>
      </c>
      <c r="H322" s="24" t="s">
        <v>1040</v>
      </c>
      <c r="I322" s="3" t="s">
        <v>1788</v>
      </c>
      <c r="J322" s="3" t="s">
        <v>154</v>
      </c>
      <c r="K322" s="3" t="s">
        <v>154</v>
      </c>
      <c r="L322" s="3" t="s">
        <v>155</v>
      </c>
      <c r="M322" s="3" t="s">
        <v>1840</v>
      </c>
      <c r="N322" s="20" t="s">
        <v>1840</v>
      </c>
      <c r="O322" s="3" t="s">
        <v>1865</v>
      </c>
      <c r="P322" s="3" t="s">
        <v>157</v>
      </c>
      <c r="Q322" s="5"/>
      <c r="R322" s="5" t="inlineStr">
        <is>
          <t xml:space="preserve">087331</t>
        </is>
      </c>
      <c r="S322" s="5">
        <v>46302</v>
      </c>
      <c r="T322" s="24" t="inlineStr">
        <is>
          <t xml:space="preserve">Merci d'ajouter un fournisseur pour cet article</t>
        </is>
      </c>
      <c r="U322" s="3" t="b">
        <v>0</v>
      </c>
      <c r="V322" s="3" t="s">
        <v>1842</v>
      </c>
      <c r="W322" s="64"/>
      <c r="X322" s="64"/>
      <c r="Y322" s="64"/>
      <c r="Z322" s="64"/>
      <c r="AA322" s="59" t="s">
        <v>212</v>
      </c>
      <c r="AB322" s="65"/>
      <c r="AC322" s="68" t="s">
        <v>213</v>
      </c>
      <c r="AD322" s="65" t="s">
        <v>1854</v>
      </c>
      <c r="AE322" s="68" t="s">
        <v>1855</v>
      </c>
      <c r="AF322" s="66" t="s">
        <v>1867</v>
      </c>
      <c r="AG322" s="68" t="s">
        <v>1857</v>
      </c>
      <c r="AH322" s="67"/>
      <c r="AI322" s="69"/>
      <c r="AJ322" s="69"/>
      <c r="AK322" s="69"/>
      <c r="AL322" s="86" t="s">
        <v>218</v>
      </c>
      <c r="AM322" s="88"/>
      <c r="AN322" s="89" t="str">
        <f>HYPERLINK("https://uk.misumi-ec.com/vona2/detail/110311064159/","https://uk.misumi-ec.com/vona2/detail/110311064159/")</f>
        <v>https://uk.misumi-ec.com/vona2/detail/110311064159/</v>
      </c>
      <c r="AO322" s="88"/>
      <c r="AP322" s="59" t="s">
        <v>74</v>
      </c>
      <c r="AQ322" s="68" t="s">
        <v>1868</v>
      </c>
      <c r="AR322" s="59" t="inlineStr">
        <is>
          <t xml:space="preserve">150400 GUIDAGE LINEAIRE</t>
        </is>
      </c>
      <c r="AS322" s="68" t="s">
        <v>1859</v>
      </c>
      <c r="AT322" s="59"/>
      <c r="AU322" s="68" t="s">
        <v>1077</v>
      </c>
    </row>
    <row r="323" spans="1:47" ht="45" customHeight="1">
      <c r="A323" s="3" t="s">
        <v>148</v>
      </c>
      <c r="B323" s="3" t="s">
        <v>539</v>
      </c>
      <c r="C323" s="6">
        <v>46281</v>
      </c>
      <c r="D323" s="3" t="s">
        <v>1869</v>
      </c>
      <c r="E323" s="3" t="s">
        <v>669</v>
      </c>
      <c r="F323" s="20">
        <f>LEN(G323)</f>
        <v>27</v>
      </c>
      <c r="G323" s="3" t="s">
        <v>1870</v>
      </c>
      <c r="H323" s="24" t="s">
        <v>660</v>
      </c>
      <c r="I323" s="24" t="s">
        <v>1788</v>
      </c>
      <c r="J323" s="3" t="s">
        <v>154</v>
      </c>
      <c r="K323" s="3" t="s">
        <v>154</v>
      </c>
      <c r="L323" s="3" t="s">
        <v>155</v>
      </c>
      <c r="M323" s="3" t="s">
        <v>1821</v>
      </c>
      <c r="N323" s="20">
        <v>14436</v>
      </c>
      <c r="O323" s="3" t="s">
        <v>1869</v>
      </c>
      <c r="P323" s="3" t="s">
        <v>157</v>
      </c>
      <c r="Q323" s="5"/>
      <c r="R323" s="3" t="s">
        <v>1871</v>
      </c>
      <c r="S323" s="6">
        <v>46289</v>
      </c>
      <c r="T323" s="24"/>
      <c r="U323" s="3" t="b">
        <v>1</v>
      </c>
      <c r="V323" s="5"/>
      <c r="W323" s="64"/>
      <c r="X323" s="64"/>
      <c r="Y323" s="64"/>
      <c r="Z323" s="64"/>
      <c r="AA323" s="59" t="s">
        <v>1872</v>
      </c>
      <c r="AB323" s="65"/>
      <c r="AC323" s="68"/>
      <c r="AD323" s="65"/>
      <c r="AE323" s="68"/>
      <c r="AF323" s="66"/>
      <c r="AG323" s="68"/>
      <c r="AH323" s="67"/>
      <c r="AI323" s="69"/>
      <c r="AJ323" s="69"/>
      <c r="AK323" s="69"/>
      <c r="AL323" s="86"/>
      <c r="AM323" s="88"/>
      <c r="AN323" s="88"/>
      <c r="AO323" s="88"/>
      <c r="AP323" s="59"/>
      <c r="AQ323" s="68"/>
      <c r="AR323" s="59"/>
      <c r="AS323" s="68"/>
      <c r="AT323" s="59"/>
      <c r="AU323" s="68"/>
    </row>
    <row r="324" spans="1:47" ht="45" customHeight="1">
      <c r="A324" s="3" t="s">
        <v>148</v>
      </c>
      <c r="B324" s="3" t="s">
        <v>539</v>
      </c>
      <c r="C324" s="6">
        <v>46281</v>
      </c>
      <c r="D324" s="3" t="s">
        <v>1873</v>
      </c>
      <c r="E324" s="3" t="s">
        <v>669</v>
      </c>
      <c r="F324" s="20">
        <f>LEN(G324)</f>
        <v>50</v>
      </c>
      <c r="G324" s="3" t="s">
        <v>1874</v>
      </c>
      <c r="H324" s="24" t="s">
        <v>1875</v>
      </c>
      <c r="I324" s="24" t="s">
        <v>1788</v>
      </c>
      <c r="J324" s="3" t="s">
        <v>154</v>
      </c>
      <c r="K324" s="3" t="s">
        <v>154</v>
      </c>
      <c r="L324" s="3" t="s">
        <v>155</v>
      </c>
      <c r="M324" s="3" t="s">
        <v>1821</v>
      </c>
      <c r="N324" s="20">
        <v>14436</v>
      </c>
      <c r="O324" s="3" t="s">
        <v>1873</v>
      </c>
      <c r="P324" s="3" t="s">
        <v>157</v>
      </c>
      <c r="Q324" s="5"/>
      <c r="R324" s="3" t="s">
        <v>1876</v>
      </c>
      <c r="S324" s="6">
        <v>46287</v>
      </c>
      <c r="T324" s="24"/>
      <c r="U324" s="3" t="b">
        <v>1</v>
      </c>
      <c r="V324" s="5"/>
      <c r="W324" s="64"/>
      <c r="X324" s="64"/>
      <c r="Y324" s="64"/>
      <c r="Z324" s="64"/>
      <c r="AA324" s="59" t="s">
        <v>1877</v>
      </c>
      <c r="AB324" s="65"/>
      <c r="AC324" s="68"/>
      <c r="AD324" s="65"/>
      <c r="AE324" s="68"/>
      <c r="AF324" s="66"/>
      <c r="AG324" s="68"/>
      <c r="AH324" s="67"/>
      <c r="AI324" s="69"/>
      <c r="AJ324" s="69"/>
      <c r="AK324" s="69"/>
      <c r="AL324" s="86"/>
      <c r="AM324" s="88"/>
      <c r="AN324" s="88"/>
      <c r="AO324" s="88"/>
      <c r="AP324" s="59"/>
      <c r="AQ324" s="68"/>
      <c r="AR324" s="59"/>
      <c r="AS324" s="68"/>
      <c r="AT324" s="59"/>
      <c r="AU324" s="68"/>
    </row>
    <row r="325" spans="1:47" ht="45" customHeight="1">
      <c r="A325" s="3" t="s">
        <v>148</v>
      </c>
      <c r="B325" s="3" t="s">
        <v>539</v>
      </c>
      <c r="C325" s="6">
        <v>46281</v>
      </c>
      <c r="D325" s="3" t="s">
        <v>1878</v>
      </c>
      <c r="E325" s="3" t="s">
        <v>669</v>
      </c>
      <c r="F325" s="20">
        <f>LEN(G325)</f>
        <v>44</v>
      </c>
      <c r="G325" s="3" t="s">
        <v>1879</v>
      </c>
      <c r="H325" s="24" t="s">
        <v>232</v>
      </c>
      <c r="I325" s="24" t="s">
        <v>1788</v>
      </c>
      <c r="J325" s="3" t="s">
        <v>154</v>
      </c>
      <c r="K325" s="3" t="s">
        <v>154</v>
      </c>
      <c r="L325" s="3" t="s">
        <v>155</v>
      </c>
      <c r="M325" s="3" t="s">
        <v>1821</v>
      </c>
      <c r="N325" s="20">
        <v>14436</v>
      </c>
      <c r="O325" s="3" t="s">
        <v>1878</v>
      </c>
      <c r="P325" s="3" t="s">
        <v>157</v>
      </c>
      <c r="Q325" s="5"/>
      <c r="R325" s="3" t="s">
        <v>1880</v>
      </c>
      <c r="S325" s="6">
        <v>46294</v>
      </c>
      <c r="T325" s="24"/>
      <c r="U325" s="3" t="b">
        <v>1</v>
      </c>
      <c r="V325" s="5"/>
      <c r="W325" s="64"/>
      <c r="X325" s="64"/>
      <c r="Y325" s="64"/>
      <c r="Z325" s="64"/>
      <c r="AA325" s="59" t="s">
        <v>1881</v>
      </c>
      <c r="AB325" s="65"/>
      <c r="AC325" s="68"/>
      <c r="AD325" s="65"/>
      <c r="AE325" s="68"/>
      <c r="AF325" s="66"/>
      <c r="AG325" s="68"/>
      <c r="AH325" s="67"/>
      <c r="AI325" s="69"/>
      <c r="AJ325" s="69"/>
      <c r="AK325" s="69"/>
      <c r="AL325" s="86"/>
      <c r="AM325" s="88"/>
      <c r="AN325" s="88"/>
      <c r="AO325" s="88"/>
      <c r="AP325" s="59"/>
      <c r="AQ325" s="68"/>
      <c r="AR325" s="59"/>
      <c r="AS325" s="68"/>
      <c r="AT325" s="59"/>
      <c r="AU325" s="68"/>
    </row>
    <row r="326" spans="1:47" ht="45" customHeight="1">
      <c r="A326" s="3" t="s">
        <v>148</v>
      </c>
      <c r="B326" s="3" t="s">
        <v>539</v>
      </c>
      <c r="C326" s="6">
        <v>46281</v>
      </c>
      <c r="D326" s="3" t="s">
        <v>1882</v>
      </c>
      <c r="E326" s="3" t="s">
        <v>669</v>
      </c>
      <c r="F326" s="20">
        <f>LEN(G326)</f>
        <v>43</v>
      </c>
      <c r="G326" s="3" t="s">
        <v>1883</v>
      </c>
      <c r="H326" s="24" t="s">
        <v>232</v>
      </c>
      <c r="I326" s="24" t="s">
        <v>1788</v>
      </c>
      <c r="J326" s="3" t="s">
        <v>154</v>
      </c>
      <c r="K326" s="3" t="s">
        <v>154</v>
      </c>
      <c r="L326" s="3" t="s">
        <v>155</v>
      </c>
      <c r="M326" s="3" t="s">
        <v>1821</v>
      </c>
      <c r="N326" s="20">
        <v>14436</v>
      </c>
      <c r="O326" s="3" t="s">
        <v>1882</v>
      </c>
      <c r="P326" s="3" t="s">
        <v>157</v>
      </c>
      <c r="Q326" s="5"/>
      <c r="R326" s="3" t="s">
        <v>1884</v>
      </c>
      <c r="S326" s="6">
        <v>46294</v>
      </c>
      <c r="T326" s="24"/>
      <c r="U326" s="3" t="b">
        <v>1</v>
      </c>
      <c r="V326" s="5"/>
      <c r="W326" s="64"/>
      <c r="X326" s="64"/>
      <c r="Y326" s="64"/>
      <c r="Z326" s="64"/>
      <c r="AA326" s="59" t="s">
        <v>1885</v>
      </c>
      <c r="AB326" s="65"/>
      <c r="AC326" s="68"/>
      <c r="AD326" s="65"/>
      <c r="AE326" s="68"/>
      <c r="AF326" s="66"/>
      <c r="AG326" s="68"/>
      <c r="AH326" s="67"/>
      <c r="AI326" s="69"/>
      <c r="AJ326" s="69"/>
      <c r="AK326" s="69"/>
      <c r="AL326" s="86"/>
      <c r="AM326" s="88"/>
      <c r="AN326" s="88"/>
      <c r="AO326" s="88"/>
      <c r="AP326" s="59"/>
      <c r="AQ326" s="68"/>
      <c r="AR326" s="59"/>
      <c r="AS326" s="68"/>
      <c r="AT326" s="59"/>
      <c r="AU326" s="68"/>
    </row>
    <row r="327" spans="1:47" ht="45" customHeight="1">
      <c r="A327" s="3" t="s">
        <v>148</v>
      </c>
      <c r="B327" s="3" t="s">
        <v>539</v>
      </c>
      <c r="C327" s="6">
        <v>46281</v>
      </c>
      <c r="D327" s="3" t="s">
        <v>1886</v>
      </c>
      <c r="E327" s="3" t="s">
        <v>669</v>
      </c>
      <c r="F327" s="20">
        <f>LEN(G327)</f>
        <v>42</v>
      </c>
      <c r="G327" s="3" t="s">
        <v>1887</v>
      </c>
      <c r="H327" s="24" t="s">
        <v>232</v>
      </c>
      <c r="I327" s="24" t="s">
        <v>1788</v>
      </c>
      <c r="J327" s="3" t="s">
        <v>154</v>
      </c>
      <c r="K327" s="3" t="s">
        <v>154</v>
      </c>
      <c r="L327" s="3" t="s">
        <v>155</v>
      </c>
      <c r="M327" s="3" t="s">
        <v>1821</v>
      </c>
      <c r="N327" s="20">
        <v>14436</v>
      </c>
      <c r="O327" s="3" t="s">
        <v>1886</v>
      </c>
      <c r="P327" s="3" t="s">
        <v>157</v>
      </c>
      <c r="Q327" s="5"/>
      <c r="R327" s="3" t="s">
        <v>1888</v>
      </c>
      <c r="S327" s="6">
        <v>46294</v>
      </c>
      <c r="T327" s="24"/>
      <c r="U327" s="3" t="b">
        <v>1</v>
      </c>
      <c r="V327" s="5"/>
      <c r="W327" s="64"/>
      <c r="X327" s="64"/>
      <c r="Y327" s="64"/>
      <c r="Z327" s="64"/>
      <c r="AA327" s="59" t="s">
        <v>1889</v>
      </c>
      <c r="AB327" s="65"/>
      <c r="AC327" s="68"/>
      <c r="AD327" s="65"/>
      <c r="AE327" s="68"/>
      <c r="AF327" s="66"/>
      <c r="AG327" s="68"/>
      <c r="AH327" s="67"/>
      <c r="AI327" s="69"/>
      <c r="AJ327" s="69"/>
      <c r="AK327" s="69"/>
      <c r="AL327" s="86"/>
      <c r="AM327" s="88"/>
      <c r="AN327" s="88"/>
      <c r="AO327" s="88"/>
      <c r="AP327" s="59"/>
      <c r="AQ327" s="68"/>
      <c r="AR327" s="59"/>
      <c r="AS327" s="68"/>
      <c r="AT327" s="59"/>
      <c r="AU327" s="68"/>
    </row>
    <row r="328" spans="1:47" ht="45" customHeight="1">
      <c r="A328" s="3" t="s">
        <v>148</v>
      </c>
      <c r="B328" s="3" t="s">
        <v>539</v>
      </c>
      <c r="C328" s="6">
        <v>46281</v>
      </c>
      <c r="D328" s="3" t="s">
        <v>1890</v>
      </c>
      <c r="E328" s="3" t="s">
        <v>1891</v>
      </c>
      <c r="F328" s="20">
        <f>LEN(G328)</f>
        <v>48</v>
      </c>
      <c r="G328" s="3" t="s">
        <v>1892</v>
      </c>
      <c r="H328" s="24" t="s">
        <v>1893</v>
      </c>
      <c r="I328" s="24" t="s">
        <v>1788</v>
      </c>
      <c r="J328" s="3" t="s">
        <v>154</v>
      </c>
      <c r="K328" s="3" t="s">
        <v>154</v>
      </c>
      <c r="L328" s="3" t="s">
        <v>155</v>
      </c>
      <c r="M328" s="3" t="s">
        <v>1894</v>
      </c>
      <c r="N328" s="20" t="s">
        <v>1895</v>
      </c>
      <c r="O328" s="3" t="s">
        <v>1890</v>
      </c>
      <c r="P328" s="3" t="s">
        <v>157</v>
      </c>
      <c r="Q328" s="5"/>
      <c r="R328" s="3" t="s">
        <v>1896</v>
      </c>
      <c r="S328" s="6">
        <v>46294</v>
      </c>
      <c r="T328" s="24"/>
      <c r="U328" s="3" t="b">
        <v>1</v>
      </c>
      <c r="V328" s="5"/>
      <c r="W328" s="64"/>
      <c r="X328" s="64"/>
      <c r="Y328" s="64"/>
      <c r="Z328" s="64"/>
      <c r="AA328" s="59" t="s">
        <v>1897</v>
      </c>
      <c r="AB328" s="65"/>
      <c r="AC328" s="68"/>
      <c r="AD328" s="65"/>
      <c r="AE328" s="68"/>
      <c r="AF328" s="66"/>
      <c r="AG328" s="68"/>
      <c r="AH328" s="67"/>
      <c r="AI328" s="69"/>
      <c r="AJ328" s="69"/>
      <c r="AK328" s="69"/>
      <c r="AL328" s="86"/>
      <c r="AM328" s="88"/>
      <c r="AN328" s="88"/>
      <c r="AO328" s="88"/>
      <c r="AP328" s="59"/>
      <c r="AQ328" s="68"/>
      <c r="AR328" s="59"/>
      <c r="AS328" s="68"/>
      <c r="AT328" s="59"/>
      <c r="AU328" s="68"/>
    </row>
    <row r="329" spans="1:47" ht="45" customHeight="1">
      <c r="A329" s="3" t="s">
        <v>148</v>
      </c>
      <c r="B329" s="3" t="s">
        <v>539</v>
      </c>
      <c r="C329" s="6">
        <v>46281</v>
      </c>
      <c r="D329" s="3" t="s">
        <v>1898</v>
      </c>
      <c r="E329" s="3" t="s">
        <v>1899</v>
      </c>
      <c r="F329" s="20">
        <f>LEN(G329)</f>
        <v>73</v>
      </c>
      <c r="G329" s="3" t="s">
        <v>1900</v>
      </c>
      <c r="H329" s="24" t="s">
        <v>660</v>
      </c>
      <c r="I329" s="24" t="s">
        <v>1788</v>
      </c>
      <c r="J329" s="3" t="s">
        <v>154</v>
      </c>
      <c r="K329" s="3" t="s">
        <v>154</v>
      </c>
      <c r="L329" s="3" t="s">
        <v>155</v>
      </c>
      <c r="M329" s="3" t="s">
        <v>1901</v>
      </c>
      <c r="N329" s="20" t="s">
        <v>1902</v>
      </c>
      <c r="O329" s="3" t="s">
        <v>1898</v>
      </c>
      <c r="P329" s="3" t="s">
        <v>157</v>
      </c>
      <c r="Q329" s="5"/>
      <c r="R329" s="3" t="s">
        <v>1903</v>
      </c>
      <c r="S329" s="6">
        <v>46294</v>
      </c>
      <c r="T329" s="24"/>
      <c r="U329" s="3" t="b">
        <v>1</v>
      </c>
      <c r="V329" s="5"/>
      <c r="W329" s="64"/>
      <c r="X329" s="64"/>
      <c r="Y329" s="64"/>
      <c r="Z329" s="64"/>
      <c r="AA329" s="59" t="s">
        <v>1904</v>
      </c>
      <c r="AB329" s="65"/>
      <c r="AC329" s="68"/>
      <c r="AD329" s="65"/>
      <c r="AE329" s="68"/>
      <c r="AF329" s="66"/>
      <c r="AG329" s="68"/>
      <c r="AH329" s="67"/>
      <c r="AI329" s="69"/>
      <c r="AJ329" s="69"/>
      <c r="AK329" s="69"/>
      <c r="AL329" s="86"/>
      <c r="AM329" s="88"/>
      <c r="AN329" s="88"/>
      <c r="AO329" s="88"/>
      <c r="AP329" s="59"/>
      <c r="AQ329" s="68"/>
      <c r="AR329" s="59"/>
      <c r="AS329" s="68"/>
      <c r="AT329" s="59"/>
      <c r="AU329" s="68"/>
    </row>
    <row r="330" spans="1:47" ht="45" customHeight="1">
      <c r="A330" s="3" t="s">
        <v>148</v>
      </c>
      <c r="B330" s="3" t="s">
        <v>539</v>
      </c>
      <c r="C330" s="6">
        <v>46281</v>
      </c>
      <c r="D330" s="3" t="s">
        <v>1905</v>
      </c>
      <c r="E330" s="3" t="s">
        <v>245</v>
      </c>
      <c r="F330" s="20">
        <f>LEN(G330)</f>
        <v>35</v>
      </c>
      <c r="G330" s="3" t="s">
        <v>1906</v>
      </c>
      <c r="H330" s="24" t="s">
        <v>359</v>
      </c>
      <c r="I330" s="24" t="s">
        <v>1788</v>
      </c>
      <c r="J330" s="3" t="s">
        <v>154</v>
      </c>
      <c r="K330" s="3" t="s">
        <v>154</v>
      </c>
      <c r="L330" s="3" t="s">
        <v>155</v>
      </c>
      <c r="M330" s="3" t="s">
        <v>627</v>
      </c>
      <c r="N330" s="20">
        <v>5966</v>
      </c>
      <c r="O330" s="3" t="s">
        <v>1905</v>
      </c>
      <c r="P330" s="3" t="s">
        <v>157</v>
      </c>
      <c r="Q330" s="5"/>
      <c r="R330" s="3" t="s">
        <v>1907</v>
      </c>
      <c r="S330" s="6">
        <v>46287</v>
      </c>
      <c r="T330" s="24"/>
      <c r="U330" s="3" t="b">
        <v>1</v>
      </c>
      <c r="V330" s="5"/>
      <c r="W330" s="64"/>
      <c r="X330" s="64"/>
      <c r="Y330" s="64"/>
      <c r="Z330" s="64"/>
      <c r="AA330" s="59" t="s">
        <v>1908</v>
      </c>
      <c r="AB330" s="65"/>
      <c r="AC330" s="68"/>
      <c r="AD330" s="65"/>
      <c r="AE330" s="68"/>
      <c r="AF330" s="66"/>
      <c r="AG330" s="68"/>
      <c r="AH330" s="67"/>
      <c r="AI330" s="69"/>
      <c r="AJ330" s="69"/>
      <c r="AK330" s="69"/>
      <c r="AL330" s="86"/>
      <c r="AM330" s="88"/>
      <c r="AN330" s="88"/>
      <c r="AO330" s="88"/>
      <c r="AP330" s="59"/>
      <c r="AQ330" s="68"/>
      <c r="AR330" s="59"/>
      <c r="AS330" s="68"/>
      <c r="AT330" s="59"/>
      <c r="AU330" s="68"/>
    </row>
    <row r="331" spans="1:47" ht="45" customHeight="1">
      <c r="A331" s="3" t="s">
        <v>148</v>
      </c>
      <c r="B331" s="3" t="s">
        <v>666</v>
      </c>
      <c r="C331" s="6">
        <v>46282</v>
      </c>
      <c r="D331" s="3" t="s">
        <v>1909</v>
      </c>
      <c r="E331" s="3" t="s">
        <v>669</v>
      </c>
      <c r="F331" s="20">
        <f>LEN(G331)</f>
        <v>37</v>
      </c>
      <c r="G331" s="3" t="s">
        <v>1910</v>
      </c>
      <c r="H331" s="24" t="s">
        <v>677</v>
      </c>
      <c r="I331" s="3" t="s">
        <v>678</v>
      </c>
      <c r="J331" s="3" t="s">
        <v>154</v>
      </c>
      <c r="K331" s="3" t="s">
        <v>154</v>
      </c>
      <c r="L331" s="3" t="s">
        <v>155</v>
      </c>
      <c r="M331" s="3" t="s">
        <v>669</v>
      </c>
      <c r="N331" s="20">
        <v>14436</v>
      </c>
      <c r="O331" s="3" t="s">
        <v>1909</v>
      </c>
      <c r="P331" s="3" t="s">
        <v>672</v>
      </c>
      <c r="Q331" s="5"/>
      <c r="R331" s="3" t="s">
        <v>1911</v>
      </c>
      <c r="S331" s="3">
        <v>46295</v>
      </c>
      <c r="T331" s="24"/>
      <c r="U331" s="5"/>
      <c r="V331" s="5"/>
      <c r="W331" s="64"/>
      <c r="X331" s="64"/>
      <c r="Y331" s="64"/>
      <c r="Z331" s="64"/>
      <c r="AA331" s="59" t="s">
        <v>1912</v>
      </c>
      <c r="AB331" s="65"/>
      <c r="AC331" s="68"/>
      <c r="AD331" s="65"/>
      <c r="AE331" s="68"/>
      <c r="AF331" s="66"/>
      <c r="AG331" s="68"/>
      <c r="AH331" s="67"/>
      <c r="AI331" s="69"/>
      <c r="AJ331" s="69"/>
      <c r="AK331" s="69"/>
      <c r="AL331" s="86"/>
      <c r="AM331" s="88"/>
      <c r="AN331" s="88"/>
      <c r="AO331" s="88"/>
      <c r="AP331" s="59"/>
      <c r="AQ331" s="68"/>
      <c r="AR331" s="59"/>
      <c r="AS331" s="68"/>
      <c r="AT331" s="59"/>
      <c r="AU331" s="68"/>
    </row>
    <row r="332" spans="1:47" ht="45" customHeight="1">
      <c r="A332" s="3" t="s">
        <v>148</v>
      </c>
      <c r="B332" s="3" t="s">
        <v>539</v>
      </c>
      <c r="C332" s="6">
        <v>46282</v>
      </c>
      <c r="D332" s="3" t="s">
        <v>1913</v>
      </c>
      <c r="E332" s="3" t="s">
        <v>1914</v>
      </c>
      <c r="F332" s="20">
        <f>LEN(G332)</f>
        <v>36</v>
      </c>
      <c r="G332" s="3" t="s">
        <v>1915</v>
      </c>
      <c r="H332" s="24" t="s">
        <v>164</v>
      </c>
      <c r="I332" s="24" t="s">
        <v>1916</v>
      </c>
      <c r="J332" s="3" t="s">
        <v>154</v>
      </c>
      <c r="K332" s="3" t="s">
        <v>154</v>
      </c>
      <c r="L332" s="3" t="s">
        <v>155</v>
      </c>
      <c r="M332" s="3" t="s">
        <v>1917</v>
      </c>
      <c r="N332" s="20">
        <v>79597</v>
      </c>
      <c r="O332" s="3" t="s">
        <v>1913</v>
      </c>
      <c r="P332" s="3" t="s">
        <v>157</v>
      </c>
      <c r="Q332" s="5"/>
      <c r="R332" s="3" t="s">
        <v>1918</v>
      </c>
      <c r="S332" s="6">
        <v>46300</v>
      </c>
      <c r="T332" s="24"/>
      <c r="U332" s="3" t="b">
        <v>1</v>
      </c>
      <c r="V332" s="3" t="s">
        <v>1919</v>
      </c>
      <c r="W332" s="64"/>
      <c r="X332" s="64"/>
      <c r="Y332" s="64"/>
      <c r="Z332" s="64"/>
      <c r="AA332" s="59" t="s">
        <v>1920</v>
      </c>
      <c r="AB332" s="65"/>
      <c r="AC332" s="68"/>
      <c r="AD332" s="65"/>
      <c r="AE332" s="68"/>
      <c r="AF332" s="66"/>
      <c r="AG332" s="68"/>
      <c r="AH332" s="67"/>
      <c r="AI332" s="69"/>
      <c r="AJ332" s="69"/>
      <c r="AK332" s="69"/>
      <c r="AL332" s="86"/>
      <c r="AM332" s="88"/>
      <c r="AN332" s="88"/>
      <c r="AO332" s="88"/>
      <c r="AP332" s="59"/>
      <c r="AQ332" s="68"/>
      <c r="AR332" s="59"/>
      <c r="AS332" s="68"/>
      <c r="AT332" s="59"/>
      <c r="AU332" s="68"/>
    </row>
    <row r="333" spans="1:47" ht="45" customHeight="1">
      <c r="A333" s="3" t="s">
        <v>148</v>
      </c>
      <c r="B333" s="3" t="s">
        <v>539</v>
      </c>
      <c r="C333" s="6">
        <v>46282</v>
      </c>
      <c r="D333" s="3" t="s">
        <v>1921</v>
      </c>
      <c r="E333" s="3" t="s">
        <v>1914</v>
      </c>
      <c r="F333" s="20">
        <f>LEN(G333)</f>
        <v>32</v>
      </c>
      <c r="G333" s="3" t="s">
        <v>1922</v>
      </c>
      <c r="H333" s="24" t="s">
        <v>164</v>
      </c>
      <c r="I333" s="24" t="s">
        <v>1916</v>
      </c>
      <c r="J333" s="3" t="s">
        <v>154</v>
      </c>
      <c r="K333" s="3" t="s">
        <v>154</v>
      </c>
      <c r="L333" s="3" t="s">
        <v>155</v>
      </c>
      <c r="M333" s="3" t="s">
        <v>1917</v>
      </c>
      <c r="N333" s="20">
        <v>79597</v>
      </c>
      <c r="O333" s="3" t="s">
        <v>1921</v>
      </c>
      <c r="P333" s="3" t="s">
        <v>157</v>
      </c>
      <c r="Q333" s="5"/>
      <c r="R333" s="3" t="s">
        <v>1923</v>
      </c>
      <c r="S333" s="6">
        <v>46300</v>
      </c>
      <c r="T333" s="24"/>
      <c r="U333" s="3" t="b">
        <v>1</v>
      </c>
      <c r="V333" s="3" t="s">
        <v>1919</v>
      </c>
      <c r="W333" s="64"/>
      <c r="X333" s="64"/>
      <c r="Y333" s="64"/>
      <c r="Z333" s="64"/>
      <c r="AA333" s="59" t="s">
        <v>1924</v>
      </c>
      <c r="AB333" s="65"/>
      <c r="AC333" s="68"/>
      <c r="AD333" s="65"/>
      <c r="AE333" s="68"/>
      <c r="AF333" s="66"/>
      <c r="AG333" s="68"/>
      <c r="AH333" s="67"/>
      <c r="AI333" s="69"/>
      <c r="AJ333" s="69"/>
      <c r="AK333" s="69"/>
      <c r="AL333" s="86"/>
      <c r="AM333" s="88"/>
      <c r="AN333" s="88"/>
      <c r="AO333" s="88"/>
      <c r="AP333" s="59"/>
      <c r="AQ333" s="68"/>
      <c r="AR333" s="59"/>
      <c r="AS333" s="68"/>
      <c r="AT333" s="59"/>
      <c r="AU333" s="68"/>
    </row>
    <row r="334" spans="1:47" ht="45" customHeight="1">
      <c r="A334" s="3" t="s">
        <v>148</v>
      </c>
      <c r="B334" s="3" t="s">
        <v>539</v>
      </c>
      <c r="C334" s="6">
        <v>46282</v>
      </c>
      <c r="D334" s="3" t="s">
        <v>1925</v>
      </c>
      <c r="E334" s="3" t="s">
        <v>1914</v>
      </c>
      <c r="F334" s="20">
        <f>LEN(G334)</f>
        <v>36</v>
      </c>
      <c r="G334" s="3" t="s">
        <v>1926</v>
      </c>
      <c r="H334" s="24" t="s">
        <v>164</v>
      </c>
      <c r="I334" s="24" t="s">
        <v>1916</v>
      </c>
      <c r="J334" s="3" t="s">
        <v>154</v>
      </c>
      <c r="K334" s="3" t="s">
        <v>154</v>
      </c>
      <c r="L334" s="3" t="s">
        <v>155</v>
      </c>
      <c r="M334" s="3" t="s">
        <v>1917</v>
      </c>
      <c r="N334" s="20">
        <v>79597</v>
      </c>
      <c r="O334" s="3" t="s">
        <v>1925</v>
      </c>
      <c r="P334" s="3" t="s">
        <v>157</v>
      </c>
      <c r="Q334" s="5"/>
      <c r="R334" s="3" t="s">
        <v>1927</v>
      </c>
      <c r="S334" s="6">
        <v>46300</v>
      </c>
      <c r="T334" s="24"/>
      <c r="U334" s="3" t="b">
        <v>1</v>
      </c>
      <c r="V334" s="3" t="s">
        <v>1919</v>
      </c>
      <c r="W334" s="64"/>
      <c r="X334" s="64"/>
      <c r="Y334" s="64"/>
      <c r="Z334" s="64"/>
      <c r="AA334" s="59" t="s">
        <v>1928</v>
      </c>
      <c r="AB334" s="65"/>
      <c r="AC334" s="68"/>
      <c r="AD334" s="65"/>
      <c r="AE334" s="68"/>
      <c r="AF334" s="66"/>
      <c r="AG334" s="68"/>
      <c r="AH334" s="67"/>
      <c r="AI334" s="69"/>
      <c r="AJ334" s="69"/>
      <c r="AK334" s="69"/>
      <c r="AL334" s="86"/>
      <c r="AM334" s="88"/>
      <c r="AN334" s="88"/>
      <c r="AO334" s="88"/>
      <c r="AP334" s="59"/>
      <c r="AQ334" s="68"/>
      <c r="AR334" s="59"/>
      <c r="AS334" s="68"/>
      <c r="AT334" s="59"/>
      <c r="AU334" s="68"/>
    </row>
    <row r="335" spans="1:47" ht="45" customHeight="1">
      <c r="A335" s="3" t="s">
        <v>148</v>
      </c>
      <c r="B335" s="3" t="s">
        <v>539</v>
      </c>
      <c r="C335" s="6">
        <v>46282</v>
      </c>
      <c r="D335" s="3" t="s">
        <v>1929</v>
      </c>
      <c r="E335" s="3" t="s">
        <v>1914</v>
      </c>
      <c r="F335" s="20">
        <f>LEN(G335)</f>
        <v>58</v>
      </c>
      <c r="G335" s="3" t="s">
        <v>1930</v>
      </c>
      <c r="H335" s="24" t="s">
        <v>164</v>
      </c>
      <c r="I335" s="24" t="s">
        <v>1916</v>
      </c>
      <c r="J335" s="3" t="s">
        <v>154</v>
      </c>
      <c r="K335" s="3" t="s">
        <v>154</v>
      </c>
      <c r="L335" s="3" t="s">
        <v>155</v>
      </c>
      <c r="M335" s="3" t="s">
        <v>1917</v>
      </c>
      <c r="N335" s="20">
        <v>79597</v>
      </c>
      <c r="O335" s="3" t="s">
        <v>1929</v>
      </c>
      <c r="P335" s="3" t="s">
        <v>157</v>
      </c>
      <c r="Q335" s="5"/>
      <c r="R335" s="3" t="s">
        <v>1931</v>
      </c>
      <c r="S335" s="6">
        <v>46300</v>
      </c>
      <c r="T335" s="24"/>
      <c r="U335" s="3" t="b">
        <v>1</v>
      </c>
      <c r="V335" s="3" t="s">
        <v>1919</v>
      </c>
      <c r="W335" s="64"/>
      <c r="X335" s="64"/>
      <c r="Y335" s="64"/>
      <c r="Z335" s="64"/>
      <c r="AA335" s="59" t="s">
        <v>1932</v>
      </c>
      <c r="AB335" s="65"/>
      <c r="AC335" s="68"/>
      <c r="AD335" s="65"/>
      <c r="AE335" s="68"/>
      <c r="AF335" s="66"/>
      <c r="AG335" s="68"/>
      <c r="AH335" s="67"/>
      <c r="AI335" s="69"/>
      <c r="AJ335" s="69"/>
      <c r="AK335" s="69"/>
      <c r="AL335" s="86"/>
      <c r="AM335" s="88"/>
      <c r="AN335" s="88"/>
      <c r="AO335" s="88"/>
      <c r="AP335" s="59"/>
      <c r="AQ335" s="68"/>
      <c r="AR335" s="59"/>
      <c r="AS335" s="68"/>
      <c r="AT335" s="59"/>
      <c r="AU335" s="68"/>
    </row>
    <row r="336" spans="1:47" ht="45" customHeight="1">
      <c r="A336" s="3" t="s">
        <v>148</v>
      </c>
      <c r="B336" s="3" t="s">
        <v>539</v>
      </c>
      <c r="C336" s="6">
        <v>46282</v>
      </c>
      <c r="D336" s="3" t="s">
        <v>1933</v>
      </c>
      <c r="E336" s="3" t="s">
        <v>1914</v>
      </c>
      <c r="F336" s="20">
        <f>LEN(G336)</f>
        <v>52</v>
      </c>
      <c r="G336" s="3" t="s">
        <v>1934</v>
      </c>
      <c r="H336" s="24" t="s">
        <v>164</v>
      </c>
      <c r="I336" s="24" t="s">
        <v>1916</v>
      </c>
      <c r="J336" s="3" t="s">
        <v>154</v>
      </c>
      <c r="K336" s="3" t="s">
        <v>154</v>
      </c>
      <c r="L336" s="3" t="s">
        <v>155</v>
      </c>
      <c r="M336" s="3" t="s">
        <v>1917</v>
      </c>
      <c r="N336" s="20">
        <v>79597</v>
      </c>
      <c r="O336" s="3" t="s">
        <v>1933</v>
      </c>
      <c r="P336" s="3" t="s">
        <v>157</v>
      </c>
      <c r="Q336" s="5"/>
      <c r="R336" s="3" t="s">
        <v>1935</v>
      </c>
      <c r="S336" s="6">
        <v>46300</v>
      </c>
      <c r="T336" s="24"/>
      <c r="U336" s="3" t="b">
        <v>1</v>
      </c>
      <c r="V336" s="3" t="s">
        <v>1919</v>
      </c>
      <c r="W336" s="64"/>
      <c r="X336" s="64"/>
      <c r="Y336" s="64"/>
      <c r="Z336" s="64"/>
      <c r="AA336" s="59" t="s">
        <v>1936</v>
      </c>
      <c r="AB336" s="65"/>
      <c r="AC336" s="68"/>
      <c r="AD336" s="65"/>
      <c r="AE336" s="68"/>
      <c r="AF336" s="66"/>
      <c r="AG336" s="68"/>
      <c r="AH336" s="67"/>
      <c r="AI336" s="69"/>
      <c r="AJ336" s="69"/>
      <c r="AK336" s="69"/>
      <c r="AL336" s="86"/>
      <c r="AM336" s="88"/>
      <c r="AN336" s="88"/>
      <c r="AO336" s="88"/>
      <c r="AP336" s="59"/>
      <c r="AQ336" s="68"/>
      <c r="AR336" s="59"/>
      <c r="AS336" s="68"/>
      <c r="AT336" s="59"/>
      <c r="AU336" s="68"/>
    </row>
    <row r="337" spans="1:47" ht="45" customHeight="1">
      <c r="A337" s="3" t="s">
        <v>148</v>
      </c>
      <c r="B337" s="3" t="s">
        <v>539</v>
      </c>
      <c r="C337" s="6">
        <v>46282</v>
      </c>
      <c r="D337" s="3" t="s">
        <v>1937</v>
      </c>
      <c r="E337" s="3" t="s">
        <v>1914</v>
      </c>
      <c r="F337" s="20">
        <f>LEN(G337)</f>
        <v>51</v>
      </c>
      <c r="G337" s="3" t="s">
        <v>1938</v>
      </c>
      <c r="H337" s="24" t="s">
        <v>164</v>
      </c>
      <c r="I337" s="24" t="s">
        <v>1916</v>
      </c>
      <c r="J337" s="3" t="s">
        <v>154</v>
      </c>
      <c r="K337" s="3" t="s">
        <v>154</v>
      </c>
      <c r="L337" s="3" t="s">
        <v>155</v>
      </c>
      <c r="M337" s="3" t="s">
        <v>1917</v>
      </c>
      <c r="N337" s="20">
        <v>79597</v>
      </c>
      <c r="O337" s="3" t="s">
        <v>1937</v>
      </c>
      <c r="P337" s="3" t="s">
        <v>157</v>
      </c>
      <c r="Q337" s="5"/>
      <c r="R337" s="3" t="s">
        <v>1939</v>
      </c>
      <c r="S337" s="6">
        <v>46300</v>
      </c>
      <c r="T337" s="24"/>
      <c r="U337" s="3" t="b">
        <v>1</v>
      </c>
      <c r="V337" s="3" t="s">
        <v>1919</v>
      </c>
      <c r="W337" s="64"/>
      <c r="X337" s="64"/>
      <c r="Y337" s="64"/>
      <c r="Z337" s="64"/>
      <c r="AA337" s="59" t="s">
        <v>1940</v>
      </c>
      <c r="AB337" s="65"/>
      <c r="AC337" s="68"/>
      <c r="AD337" s="65"/>
      <c r="AE337" s="68"/>
      <c r="AF337" s="66"/>
      <c r="AG337" s="68"/>
      <c r="AH337" s="67"/>
      <c r="AI337" s="69"/>
      <c r="AJ337" s="69"/>
      <c r="AK337" s="69"/>
      <c r="AL337" s="86"/>
      <c r="AM337" s="88"/>
      <c r="AN337" s="88"/>
      <c r="AO337" s="88"/>
      <c r="AP337" s="59"/>
      <c r="AQ337" s="68"/>
      <c r="AR337" s="59"/>
      <c r="AS337" s="68"/>
      <c r="AT337" s="59"/>
      <c r="AU337" s="68"/>
    </row>
    <row r="338" spans="1:47" ht="45" customHeight="1">
      <c r="A338" s="3" t="s">
        <v>148</v>
      </c>
      <c r="B338" s="3" t="s">
        <v>539</v>
      </c>
      <c r="C338" s="6">
        <v>46282</v>
      </c>
      <c r="D338" s="3" t="s">
        <v>1941</v>
      </c>
      <c r="E338" s="3" t="s">
        <v>1914</v>
      </c>
      <c r="F338" s="20">
        <f>LEN(G338)</f>
        <v>38</v>
      </c>
      <c r="G338" s="3" t="s">
        <v>1942</v>
      </c>
      <c r="H338" s="24" t="s">
        <v>164</v>
      </c>
      <c r="I338" s="24" t="s">
        <v>1916</v>
      </c>
      <c r="J338" s="3" t="s">
        <v>154</v>
      </c>
      <c r="K338" s="3" t="s">
        <v>154</v>
      </c>
      <c r="L338" s="3" t="s">
        <v>155</v>
      </c>
      <c r="M338" s="3" t="s">
        <v>1917</v>
      </c>
      <c r="N338" s="20">
        <v>79597</v>
      </c>
      <c r="O338" s="3" t="s">
        <v>1941</v>
      </c>
      <c r="P338" s="3" t="s">
        <v>157</v>
      </c>
      <c r="Q338" s="5"/>
      <c r="R338" s="3" t="s">
        <v>1943</v>
      </c>
      <c r="S338" s="6">
        <v>46300</v>
      </c>
      <c r="T338" s="24"/>
      <c r="U338" s="3" t="b">
        <v>1</v>
      </c>
      <c r="V338" s="3" t="s">
        <v>1919</v>
      </c>
      <c r="W338" s="64"/>
      <c r="X338" s="64"/>
      <c r="Y338" s="64"/>
      <c r="Z338" s="64"/>
      <c r="AA338" s="59" t="s">
        <v>1944</v>
      </c>
      <c r="AB338" s="65"/>
      <c r="AC338" s="68"/>
      <c r="AD338" s="65"/>
      <c r="AE338" s="68"/>
      <c r="AF338" s="66"/>
      <c r="AG338" s="68"/>
      <c r="AH338" s="67"/>
      <c r="AI338" s="69"/>
      <c r="AJ338" s="69"/>
      <c r="AK338" s="69"/>
      <c r="AL338" s="86"/>
      <c r="AM338" s="88"/>
      <c r="AN338" s="88"/>
      <c r="AO338" s="88"/>
      <c r="AP338" s="59"/>
      <c r="AQ338" s="68"/>
      <c r="AR338" s="59"/>
      <c r="AS338" s="68"/>
      <c r="AT338" s="59"/>
      <c r="AU338" s="68"/>
    </row>
    <row r="339" spans="1:47" ht="45" customHeight="1">
      <c r="A339" s="3" t="s">
        <v>148</v>
      </c>
      <c r="B339" s="3" t="s">
        <v>539</v>
      </c>
      <c r="C339" s="6">
        <v>46282</v>
      </c>
      <c r="D339" s="3" t="s">
        <v>1945</v>
      </c>
      <c r="E339" s="3" t="s">
        <v>1914</v>
      </c>
      <c r="F339" s="20">
        <f>LEN(G339)</f>
        <v>45</v>
      </c>
      <c r="G339" s="3" t="s">
        <v>1946</v>
      </c>
      <c r="H339" s="24" t="s">
        <v>164</v>
      </c>
      <c r="I339" s="24" t="s">
        <v>1916</v>
      </c>
      <c r="J339" s="3" t="s">
        <v>154</v>
      </c>
      <c r="K339" s="3" t="s">
        <v>154</v>
      </c>
      <c r="L339" s="3" t="s">
        <v>155</v>
      </c>
      <c r="M339" s="3" t="s">
        <v>1917</v>
      </c>
      <c r="N339" s="20">
        <v>79597</v>
      </c>
      <c r="O339" s="3" t="s">
        <v>1947</v>
      </c>
      <c r="P339" s="3" t="s">
        <v>157</v>
      </c>
      <c r="Q339" s="5"/>
      <c r="R339" s="3" t="s">
        <v>1948</v>
      </c>
      <c r="S339" s="6">
        <v>46300</v>
      </c>
      <c r="T339" s="24"/>
      <c r="U339" s="3" t="b">
        <v>1</v>
      </c>
      <c r="V339" s="3" t="s">
        <v>1919</v>
      </c>
      <c r="W339" s="64"/>
      <c r="X339" s="64"/>
      <c r="Y339" s="64"/>
      <c r="Z339" s="64"/>
      <c r="AA339" s="59" t="s">
        <v>1949</v>
      </c>
      <c r="AB339" s="65"/>
      <c r="AC339" s="68"/>
      <c r="AD339" s="65"/>
      <c r="AE339" s="68"/>
      <c r="AF339" s="66"/>
      <c r="AG339" s="68"/>
      <c r="AH339" s="67"/>
      <c r="AI339" s="69"/>
      <c r="AJ339" s="69"/>
      <c r="AK339" s="69"/>
      <c r="AL339" s="86"/>
      <c r="AM339" s="88"/>
      <c r="AN339" s="88"/>
      <c r="AO339" s="88"/>
      <c r="AP339" s="59"/>
      <c r="AQ339" s="68"/>
      <c r="AR339" s="59"/>
      <c r="AS339" s="68"/>
      <c r="AT339" s="59"/>
      <c r="AU339" s="68"/>
    </row>
    <row r="340" spans="1:47" ht="45" customHeight="1">
      <c r="A340" s="3" t="s">
        <v>148</v>
      </c>
      <c r="B340" s="3" t="s">
        <v>539</v>
      </c>
      <c r="C340" s="6">
        <v>46282</v>
      </c>
      <c r="D340" s="3" t="s">
        <v>1950</v>
      </c>
      <c r="E340" s="3" t="s">
        <v>1914</v>
      </c>
      <c r="F340" s="20">
        <f>LEN(G340)</f>
        <v>50</v>
      </c>
      <c r="G340" s="3" t="s">
        <v>1951</v>
      </c>
      <c r="H340" s="24" t="s">
        <v>164</v>
      </c>
      <c r="I340" s="24" t="s">
        <v>1916</v>
      </c>
      <c r="J340" s="3" t="s">
        <v>154</v>
      </c>
      <c r="K340" s="3" t="s">
        <v>154</v>
      </c>
      <c r="L340" s="3" t="s">
        <v>155</v>
      </c>
      <c r="M340" s="3" t="s">
        <v>1917</v>
      </c>
      <c r="N340" s="20">
        <v>79597</v>
      </c>
      <c r="O340" s="3" t="s">
        <v>1950</v>
      </c>
      <c r="P340" s="3" t="s">
        <v>157</v>
      </c>
      <c r="Q340" s="5"/>
      <c r="R340" s="3" t="s">
        <v>1952</v>
      </c>
      <c r="S340" s="6">
        <v>46300</v>
      </c>
      <c r="T340" s="24"/>
      <c r="U340" s="3" t="b">
        <v>1</v>
      </c>
      <c r="V340" s="3" t="s">
        <v>1919</v>
      </c>
      <c r="W340" s="64"/>
      <c r="X340" s="64"/>
      <c r="Y340" s="64"/>
      <c r="Z340" s="64"/>
      <c r="AA340" s="59" t="s">
        <v>1953</v>
      </c>
      <c r="AB340" s="65"/>
      <c r="AC340" s="68"/>
      <c r="AD340" s="65"/>
      <c r="AE340" s="68"/>
      <c r="AF340" s="66"/>
      <c r="AG340" s="68"/>
      <c r="AH340" s="67"/>
      <c r="AI340" s="69"/>
      <c r="AJ340" s="69"/>
      <c r="AK340" s="69"/>
      <c r="AL340" s="86"/>
      <c r="AM340" s="88"/>
      <c r="AN340" s="88"/>
      <c r="AO340" s="88"/>
      <c r="AP340" s="59"/>
      <c r="AQ340" s="68"/>
      <c r="AR340" s="59"/>
      <c r="AS340" s="68"/>
      <c r="AT340" s="59"/>
      <c r="AU340" s="68"/>
    </row>
    <row r="341" spans="1:47" ht="45" customHeight="1">
      <c r="A341" s="3" t="s">
        <v>148</v>
      </c>
      <c r="B341" s="3" t="s">
        <v>539</v>
      </c>
      <c r="C341" s="6">
        <v>46282</v>
      </c>
      <c r="D341" s="3" t="s">
        <v>1954</v>
      </c>
      <c r="E341" s="3" t="s">
        <v>1914</v>
      </c>
      <c r="F341" s="20">
        <f>LEN(G341)</f>
        <v>21</v>
      </c>
      <c r="G341" s="3" t="s">
        <v>1955</v>
      </c>
      <c r="H341" s="24" t="s">
        <v>164</v>
      </c>
      <c r="I341" s="24" t="s">
        <v>1916</v>
      </c>
      <c r="J341" s="3" t="s">
        <v>154</v>
      </c>
      <c r="K341" s="3" t="s">
        <v>154</v>
      </c>
      <c r="L341" s="3" t="s">
        <v>155</v>
      </c>
      <c r="M341" s="3" t="s">
        <v>1917</v>
      </c>
      <c r="N341" s="20">
        <v>79597</v>
      </c>
      <c r="O341" s="3" t="s">
        <v>1954</v>
      </c>
      <c r="P341" s="3" t="s">
        <v>157</v>
      </c>
      <c r="Q341" s="5"/>
      <c r="R341" s="3" t="s">
        <v>1956</v>
      </c>
      <c r="S341" s="6">
        <v>46300</v>
      </c>
      <c r="T341" s="24"/>
      <c r="U341" s="3" t="b">
        <v>1</v>
      </c>
      <c r="V341" s="3" t="s">
        <v>1919</v>
      </c>
      <c r="W341" s="64"/>
      <c r="X341" s="64"/>
      <c r="Y341" s="64"/>
      <c r="Z341" s="64"/>
      <c r="AA341" s="59" t="s">
        <v>1957</v>
      </c>
      <c r="AB341" s="65"/>
      <c r="AC341" s="68"/>
      <c r="AD341" s="65"/>
      <c r="AE341" s="68"/>
      <c r="AF341" s="66"/>
      <c r="AG341" s="68"/>
      <c r="AH341" s="67"/>
      <c r="AI341" s="69"/>
      <c r="AJ341" s="69"/>
      <c r="AK341" s="69"/>
      <c r="AL341" s="86"/>
      <c r="AM341" s="88"/>
      <c r="AN341" s="88"/>
      <c r="AO341" s="88"/>
      <c r="AP341" s="59"/>
      <c r="AQ341" s="68"/>
      <c r="AR341" s="59"/>
      <c r="AS341" s="68"/>
      <c r="AT341" s="59"/>
      <c r="AU341" s="68"/>
    </row>
    <row r="342" spans="1:47" ht="45" customHeight="1">
      <c r="A342" s="3" t="s">
        <v>148</v>
      </c>
      <c r="B342" s="3" t="s">
        <v>539</v>
      </c>
      <c r="C342" s="6">
        <v>46282</v>
      </c>
      <c r="D342" s="3" t="s">
        <v>1958</v>
      </c>
      <c r="E342" s="3" t="s">
        <v>1914</v>
      </c>
      <c r="F342" s="20">
        <f>LEN(G342)</f>
        <v>42</v>
      </c>
      <c r="G342" s="3" t="s">
        <v>1959</v>
      </c>
      <c r="H342" s="24" t="s">
        <v>164</v>
      </c>
      <c r="I342" s="24" t="s">
        <v>1916</v>
      </c>
      <c r="J342" s="3" t="s">
        <v>154</v>
      </c>
      <c r="K342" s="3" t="s">
        <v>154</v>
      </c>
      <c r="L342" s="3" t="s">
        <v>155</v>
      </c>
      <c r="M342" s="3" t="s">
        <v>1917</v>
      </c>
      <c r="N342" s="20">
        <v>79597</v>
      </c>
      <c r="O342" s="3" t="s">
        <v>1960</v>
      </c>
      <c r="P342" s="3" t="s">
        <v>157</v>
      </c>
      <c r="Q342" s="5"/>
      <c r="R342" s="3" t="s">
        <v>1961</v>
      </c>
      <c r="S342" s="6">
        <v>46300</v>
      </c>
      <c r="T342" s="24"/>
      <c r="U342" s="3" t="b">
        <v>1</v>
      </c>
      <c r="V342" s="3" t="s">
        <v>1919</v>
      </c>
      <c r="W342" s="64"/>
      <c r="X342" s="64"/>
      <c r="Y342" s="64"/>
      <c r="Z342" s="64"/>
      <c r="AA342" s="59" t="s">
        <v>1962</v>
      </c>
      <c r="AB342" s="65"/>
      <c r="AC342" s="68"/>
      <c r="AD342" s="65"/>
      <c r="AE342" s="68"/>
      <c r="AF342" s="66"/>
      <c r="AG342" s="68"/>
      <c r="AH342" s="67"/>
      <c r="AI342" s="69"/>
      <c r="AJ342" s="69"/>
      <c r="AK342" s="69"/>
      <c r="AL342" s="86"/>
      <c r="AM342" s="88"/>
      <c r="AN342" s="88"/>
      <c r="AO342" s="88"/>
      <c r="AP342" s="59"/>
      <c r="AQ342" s="68"/>
      <c r="AR342" s="59"/>
      <c r="AS342" s="68"/>
      <c r="AT342" s="59"/>
      <c r="AU342" s="68"/>
    </row>
    <row r="343" spans="1:47" ht="45" customHeight="1">
      <c r="A343" s="3" t="s">
        <v>148</v>
      </c>
      <c r="B343" s="3" t="s">
        <v>539</v>
      </c>
      <c r="C343" s="6">
        <v>46282</v>
      </c>
      <c r="D343" s="3" t="s">
        <v>1963</v>
      </c>
      <c r="E343" s="3" t="s">
        <v>1914</v>
      </c>
      <c r="F343" s="20">
        <f>LEN(G343)</f>
        <v>21</v>
      </c>
      <c r="G343" s="3" t="s">
        <v>1964</v>
      </c>
      <c r="H343" s="24" t="s">
        <v>164</v>
      </c>
      <c r="I343" s="24" t="s">
        <v>1916</v>
      </c>
      <c r="J343" s="3" t="s">
        <v>154</v>
      </c>
      <c r="K343" s="3" t="s">
        <v>154</v>
      </c>
      <c r="L343" s="3" t="s">
        <v>155</v>
      </c>
      <c r="M343" s="3" t="s">
        <v>1917</v>
      </c>
      <c r="N343" s="20">
        <v>79597</v>
      </c>
      <c r="O343" s="3" t="s">
        <v>1965</v>
      </c>
      <c r="P343" s="3" t="s">
        <v>157</v>
      </c>
      <c r="Q343" s="5"/>
      <c r="R343" s="3" t="s">
        <v>1966</v>
      </c>
      <c r="S343" s="6">
        <v>46300</v>
      </c>
      <c r="T343" s="24"/>
      <c r="U343" s="3" t="b">
        <v>1</v>
      </c>
      <c r="V343" s="3" t="s">
        <v>1919</v>
      </c>
      <c r="W343" s="64"/>
      <c r="X343" s="64"/>
      <c r="Y343" s="64"/>
      <c r="Z343" s="64"/>
      <c r="AA343" s="59" t="s">
        <v>1967</v>
      </c>
      <c r="AB343" s="65"/>
      <c r="AC343" s="68"/>
      <c r="AD343" s="65"/>
      <c r="AE343" s="68"/>
      <c r="AF343" s="66"/>
      <c r="AG343" s="68"/>
      <c r="AH343" s="67"/>
      <c r="AI343" s="69"/>
      <c r="AJ343" s="69"/>
      <c r="AK343" s="69"/>
      <c r="AL343" s="86"/>
      <c r="AM343" s="88"/>
      <c r="AN343" s="88"/>
      <c r="AO343" s="88"/>
      <c r="AP343" s="59"/>
      <c r="AQ343" s="68"/>
      <c r="AR343" s="59"/>
      <c r="AS343" s="68"/>
      <c r="AT343" s="59"/>
      <c r="AU343" s="68"/>
    </row>
    <row r="344" spans="1:47" ht="45" customHeight="1">
      <c r="A344" s="3" t="s">
        <v>148</v>
      </c>
      <c r="B344" s="3" t="s">
        <v>539</v>
      </c>
      <c r="C344" s="6">
        <v>46282</v>
      </c>
      <c r="D344" s="3" t="s">
        <v>1968</v>
      </c>
      <c r="E344" s="3" t="s">
        <v>1914</v>
      </c>
      <c r="F344" s="20">
        <f>LEN(G344)</f>
        <v>21</v>
      </c>
      <c r="G344" s="3" t="s">
        <v>1969</v>
      </c>
      <c r="H344" s="24" t="s">
        <v>164</v>
      </c>
      <c r="I344" s="24" t="s">
        <v>1916</v>
      </c>
      <c r="J344" s="3" t="s">
        <v>154</v>
      </c>
      <c r="K344" s="3" t="s">
        <v>154</v>
      </c>
      <c r="L344" s="3" t="s">
        <v>155</v>
      </c>
      <c r="M344" s="3" t="s">
        <v>1917</v>
      </c>
      <c r="N344" s="20">
        <v>79597</v>
      </c>
      <c r="O344" s="3" t="s">
        <v>1968</v>
      </c>
      <c r="P344" s="3" t="s">
        <v>157</v>
      </c>
      <c r="Q344" s="5"/>
      <c r="R344" s="3" t="s">
        <v>1970</v>
      </c>
      <c r="S344" s="6">
        <v>46300</v>
      </c>
      <c r="T344" s="24"/>
      <c r="U344" s="3" t="b">
        <v>1</v>
      </c>
      <c r="V344" s="3" t="s">
        <v>1919</v>
      </c>
      <c r="W344" s="64"/>
      <c r="X344" s="64"/>
      <c r="Y344" s="64"/>
      <c r="Z344" s="64"/>
      <c r="AA344" s="59" t="s">
        <v>1971</v>
      </c>
      <c r="AB344" s="65"/>
      <c r="AC344" s="68"/>
      <c r="AD344" s="65"/>
      <c r="AE344" s="68"/>
      <c r="AF344" s="66"/>
      <c r="AG344" s="68"/>
      <c r="AH344" s="67"/>
      <c r="AI344" s="69"/>
      <c r="AJ344" s="69"/>
      <c r="AK344" s="69"/>
      <c r="AL344" s="86"/>
      <c r="AM344" s="88"/>
      <c r="AN344" s="88"/>
      <c r="AO344" s="88"/>
      <c r="AP344" s="59"/>
      <c r="AQ344" s="68"/>
      <c r="AR344" s="59"/>
      <c r="AS344" s="68"/>
      <c r="AT344" s="59"/>
      <c r="AU344" s="68"/>
    </row>
    <row r="345" spans="1:47" ht="45" customHeight="1">
      <c r="A345" s="3" t="s">
        <v>148</v>
      </c>
      <c r="B345" s="3" t="s">
        <v>539</v>
      </c>
      <c r="C345" s="6">
        <v>46282</v>
      </c>
      <c r="D345" s="3" t="s">
        <v>1972</v>
      </c>
      <c r="E345" s="3" t="s">
        <v>1914</v>
      </c>
      <c r="F345" s="20">
        <f>LEN(G345)</f>
        <v>21</v>
      </c>
      <c r="G345" s="3" t="s">
        <v>1973</v>
      </c>
      <c r="H345" s="24" t="s">
        <v>164</v>
      </c>
      <c r="I345" s="3" t="s">
        <v>1916</v>
      </c>
      <c r="J345" s="3" t="s">
        <v>154</v>
      </c>
      <c r="K345" s="3" t="s">
        <v>154</v>
      </c>
      <c r="L345" s="3" t="s">
        <v>155</v>
      </c>
      <c r="M345" s="3" t="s">
        <v>1917</v>
      </c>
      <c r="N345" s="20">
        <v>79597</v>
      </c>
      <c r="O345" s="3" t="s">
        <v>1972</v>
      </c>
      <c r="P345" s="3" t="s">
        <v>157</v>
      </c>
      <c r="Q345" s="5"/>
      <c r="R345" s="3" t="s">
        <v>1974</v>
      </c>
      <c r="S345" s="6">
        <v>46300</v>
      </c>
      <c r="T345" s="24"/>
      <c r="U345" s="3" t="b">
        <v>0</v>
      </c>
      <c r="V345" s="3" t="s">
        <v>1919</v>
      </c>
      <c r="W345" s="64"/>
      <c r="X345" s="64"/>
      <c r="Y345" s="64"/>
      <c r="Z345" s="64"/>
      <c r="AA345" s="59" t="s">
        <v>1975</v>
      </c>
      <c r="AB345" s="65"/>
      <c r="AC345" s="68"/>
      <c r="AD345" s="65"/>
      <c r="AE345" s="68"/>
      <c r="AF345" s="66"/>
      <c r="AG345" s="68"/>
      <c r="AH345" s="67"/>
      <c r="AI345" s="69"/>
      <c r="AJ345" s="69"/>
      <c r="AK345" s="69"/>
      <c r="AL345" s="86"/>
      <c r="AM345" s="88"/>
      <c r="AN345" s="88"/>
      <c r="AO345" s="88"/>
      <c r="AP345" s="59"/>
      <c r="AQ345" s="68"/>
      <c r="AR345" s="59"/>
      <c r="AS345" s="68"/>
      <c r="AT345" s="59"/>
      <c r="AU345" s="68"/>
    </row>
    <row r="346" spans="1:47" ht="45" customHeight="1">
      <c r="A346" s="3" t="s">
        <v>148</v>
      </c>
      <c r="B346" s="3" t="s">
        <v>539</v>
      </c>
      <c r="C346" s="6">
        <v>46282</v>
      </c>
      <c r="D346" s="3" t="s">
        <v>1976</v>
      </c>
      <c r="E346" s="3" t="s">
        <v>1914</v>
      </c>
      <c r="F346" s="20">
        <f>LEN(G346)</f>
        <v>28</v>
      </c>
      <c r="G346" s="3" t="s">
        <v>1977</v>
      </c>
      <c r="H346" s="24" t="s">
        <v>164</v>
      </c>
      <c r="I346" s="3" t="s">
        <v>1916</v>
      </c>
      <c r="J346" s="3" t="s">
        <v>154</v>
      </c>
      <c r="K346" s="3" t="s">
        <v>154</v>
      </c>
      <c r="L346" s="3" t="s">
        <v>155</v>
      </c>
      <c r="M346" s="3" t="s">
        <v>1917</v>
      </c>
      <c r="N346" s="20">
        <v>79597</v>
      </c>
      <c r="O346" s="3" t="s">
        <v>1976</v>
      </c>
      <c r="P346" s="3" t="s">
        <v>157</v>
      </c>
      <c r="Q346" s="5"/>
      <c r="R346" s="3" t="s">
        <v>1978</v>
      </c>
      <c r="S346" s="6">
        <v>46300</v>
      </c>
      <c r="T346" s="24"/>
      <c r="U346" s="3" t="b">
        <v>0</v>
      </c>
      <c r="V346" s="3" t="s">
        <v>1919</v>
      </c>
      <c r="W346" s="64"/>
      <c r="X346" s="64"/>
      <c r="Y346" s="64"/>
      <c r="Z346" s="64"/>
      <c r="AA346" s="59" t="s">
        <v>1979</v>
      </c>
      <c r="AB346" s="65"/>
      <c r="AC346" s="68"/>
      <c r="AD346" s="65"/>
      <c r="AE346" s="68"/>
      <c r="AF346" s="66"/>
      <c r="AG346" s="68"/>
      <c r="AH346" s="67"/>
      <c r="AI346" s="69"/>
      <c r="AJ346" s="69"/>
      <c r="AK346" s="69"/>
      <c r="AL346" s="86"/>
      <c r="AM346" s="88"/>
      <c r="AN346" s="88"/>
      <c r="AO346" s="88"/>
      <c r="AP346" s="59"/>
      <c r="AQ346" s="68"/>
      <c r="AR346" s="59"/>
      <c r="AS346" s="68"/>
      <c r="AT346" s="59"/>
      <c r="AU346" s="68"/>
    </row>
    <row r="347" spans="1:47" ht="45" customHeight="1">
      <c r="A347" s="3" t="s">
        <v>148</v>
      </c>
      <c r="B347" s="3" t="s">
        <v>539</v>
      </c>
      <c r="C347" s="6">
        <v>46283</v>
      </c>
      <c r="D347" s="3" t="s">
        <v>1980</v>
      </c>
      <c r="E347" s="3" t="s">
        <v>542</v>
      </c>
      <c r="F347" s="20">
        <f>LEN(G347)</f>
        <v>17</v>
      </c>
      <c r="G347" s="3" t="s">
        <v>1981</v>
      </c>
      <c r="H347" s="24" t="s">
        <v>544</v>
      </c>
      <c r="I347" s="24" t="s">
        <v>545</v>
      </c>
      <c r="J347" s="3" t="s">
        <v>154</v>
      </c>
      <c r="K347" s="3" t="s">
        <v>154</v>
      </c>
      <c r="L347" s="3" t="s">
        <v>155</v>
      </c>
      <c r="M347" s="3" t="s">
        <v>546</v>
      </c>
      <c r="N347" s="20">
        <v>139893</v>
      </c>
      <c r="O347" s="3" t="s">
        <v>1980</v>
      </c>
      <c r="P347" s="3" t="s">
        <v>157</v>
      </c>
      <c r="Q347" s="5"/>
      <c r="R347" s="3" t="s">
        <v>1982</v>
      </c>
      <c r="S347" s="6">
        <v>46294</v>
      </c>
      <c r="T347" s="24"/>
      <c r="U347" s="3" t="b">
        <v>1</v>
      </c>
      <c r="V347" s="5"/>
      <c r="W347" s="64"/>
      <c r="X347" s="64"/>
      <c r="Y347" s="64"/>
      <c r="Z347" s="64"/>
      <c r="AA347" s="59" t="s">
        <v>1983</v>
      </c>
      <c r="AB347" s="65"/>
      <c r="AC347" s="68"/>
      <c r="AD347" s="65"/>
      <c r="AE347" s="68"/>
      <c r="AF347" s="66"/>
      <c r="AG347" s="68"/>
      <c r="AH347" s="67"/>
      <c r="AI347" s="69"/>
      <c r="AJ347" s="69"/>
      <c r="AK347" s="69"/>
      <c r="AL347" s="86"/>
      <c r="AM347" s="88"/>
      <c r="AN347" s="88"/>
      <c r="AO347" s="88"/>
      <c r="AP347" s="59"/>
      <c r="AQ347" s="68"/>
      <c r="AR347" s="59"/>
      <c r="AS347" s="68"/>
      <c r="AT347" s="59"/>
      <c r="AU347" s="68"/>
    </row>
    <row r="348" spans="1:47" ht="45" customHeight="1">
      <c r="A348" s="3" t="s">
        <v>148</v>
      </c>
      <c r="B348" s="3" t="s">
        <v>539</v>
      </c>
      <c r="C348" s="6">
        <v>46283</v>
      </c>
      <c r="D348" s="3" t="s">
        <v>1984</v>
      </c>
      <c r="E348" s="3" t="s">
        <v>612</v>
      </c>
      <c r="F348" s="20">
        <f>LEN(G348)</f>
        <v>44</v>
      </c>
      <c r="G348" s="3" t="s">
        <v>1985</v>
      </c>
      <c r="H348" s="24" t="s">
        <v>1986</v>
      </c>
      <c r="I348" s="24" t="s">
        <v>1987</v>
      </c>
      <c r="J348" s="3" t="s">
        <v>615</v>
      </c>
      <c r="K348" s="3" t="s">
        <v>615</v>
      </c>
      <c r="L348" s="3" t="s">
        <v>155</v>
      </c>
      <c r="M348" s="3" t="s">
        <v>616</v>
      </c>
      <c r="N348" s="20">
        <v>26343</v>
      </c>
      <c r="O348" s="3" t="s">
        <v>1984</v>
      </c>
      <c r="P348" s="3" t="s">
        <v>157</v>
      </c>
      <c r="Q348" s="5"/>
      <c r="R348" s="3" t="s">
        <v>1988</v>
      </c>
      <c r="S348" s="6">
        <v>46294</v>
      </c>
      <c r="T348" s="24"/>
      <c r="U348" s="3" t="b">
        <v>1</v>
      </c>
      <c r="V348" s="5"/>
      <c r="W348" s="64"/>
      <c r="X348" s="64"/>
      <c r="Y348" s="64"/>
      <c r="Z348" s="64"/>
      <c r="AA348" s="59" t="s">
        <v>1989</v>
      </c>
      <c r="AB348" s="65"/>
      <c r="AC348" s="68"/>
      <c r="AD348" s="65"/>
      <c r="AE348" s="68"/>
      <c r="AF348" s="66"/>
      <c r="AG348" s="68"/>
      <c r="AH348" s="67"/>
      <c r="AI348" s="69"/>
      <c r="AJ348" s="69"/>
      <c r="AK348" s="69"/>
      <c r="AL348" s="86"/>
      <c r="AM348" s="88"/>
      <c r="AN348" s="88"/>
      <c r="AO348" s="88"/>
      <c r="AP348" s="59"/>
      <c r="AQ348" s="68"/>
      <c r="AR348" s="59"/>
      <c r="AS348" s="68"/>
      <c r="AT348" s="59"/>
      <c r="AU348" s="68"/>
    </row>
    <row r="349" spans="1:47" ht="80.25" customHeight="1">
      <c r="A349" s="3" t="s">
        <v>148</v>
      </c>
      <c r="B349" s="3" t="s">
        <v>539</v>
      </c>
      <c r="C349" s="6">
        <v>46283</v>
      </c>
      <c r="D349" s="3" t="s">
        <v>1990</v>
      </c>
      <c r="E349" s="3" t="s">
        <v>612</v>
      </c>
      <c r="F349" s="20">
        <f>LEN(G349)</f>
        <v>52</v>
      </c>
      <c r="G349" s="3" t="s">
        <v>1991</v>
      </c>
      <c r="H349" s="24" t="s">
        <v>1986</v>
      </c>
      <c r="I349" s="3" t="s">
        <v>1987</v>
      </c>
      <c r="J349" s="3" t="s">
        <v>615</v>
      </c>
      <c r="K349" s="3" t="s">
        <v>615</v>
      </c>
      <c r="L349" s="3" t="s">
        <v>155</v>
      </c>
      <c r="M349" s="3" t="s">
        <v>616</v>
      </c>
      <c r="N349" s="20">
        <v>26343</v>
      </c>
      <c r="O349" s="3" t="s">
        <v>1990</v>
      </c>
      <c r="P349" s="3" t="s">
        <v>157</v>
      </c>
      <c r="Q349" s="5"/>
      <c r="R349" s="5" t="inlineStr">
        <is>
          <t xml:space="preserve">087334</t>
        </is>
      </c>
      <c r="S349" s="5">
        <v>46302</v>
      </c>
      <c r="T349" s="24" t="inlineStr">
        <is>
          <t xml:space="preserve">mettre plus de détail dans la description merci</t>
        </is>
      </c>
      <c r="U349" s="3" t="b">
        <v>0</v>
      </c>
      <c r="V349" s="3" t="s">
        <v>1993</v>
      </c>
      <c r="W349" s="64" t="s">
        <v>1990</v>
      </c>
      <c r="X349" s="64" t="s">
        <v>1994</v>
      </c>
      <c r="Y349" s="64" t="s">
        <v>1995</v>
      </c>
      <c r="Z349" s="64"/>
      <c r="AA349" s="59" t="s">
        <v>1793</v>
      </c>
      <c r="AB349" s="65" t="s">
        <v>1996</v>
      </c>
      <c r="AC349" s="68" t="s">
        <v>1997</v>
      </c>
      <c r="AD349" s="65" t="s">
        <v>1998</v>
      </c>
      <c r="AE349" s="68" t="s">
        <v>1999</v>
      </c>
      <c r="AF349" s="66" t="s">
        <v>1991</v>
      </c>
      <c r="AG349" s="68" t="s">
        <v>2000</v>
      </c>
      <c r="AH349" s="67"/>
      <c r="AI349" s="69"/>
      <c r="AJ349" s="69"/>
      <c r="AK349" s="69"/>
      <c r="AL349" s="86" t="s">
        <v>218</v>
      </c>
      <c r="AM349" s="89" t="str">
        <f>HYPERLINK("https://www.dertec.com/images/downloads/brochures/system-plast-modular-belts-sprockets.pdf","https://www.dertec.com/images/downloads/brochures/system-plast-modular-belts-sprockets.pdf")</f>
        <v>https://www.dertec.com/images/downloads/brochures/system-plast-modular-belts-sprockets.pdf</v>
      </c>
      <c r="AN349" s="89" t="str">
        <f>HYPERLINK("https://www.regalrexnord.com/products/others/10941741-nge2124ft-k134-10941741","https://www.regalrexnord.com/products/others/10941741-nge2124ft-k134-10941741")</f>
        <v>https://www.regalrexnord.com/products/others/10941741-nge2124ft-k134-10941741</v>
      </c>
      <c r="AO349" s="89" t="str">
        <f>HYPERLINK("https://odoo.archimedes.pl/en/shop/p14-073-771-aa2501994-modular-belt-nge2124ft-k134-system-plast-aa2501994-77543","https://odoo.archimedes.pl/en/shop/p14-073-771-aa2501994-modular-belt-nge2124ft-k134-system-plast-aa2501994-77543")</f>
        <v>https://odoo.archimedes.pl/en/shop/p14-073-771-aa2501994-modular-belt-nge2124ft-k134-system-plast-aa2501994-77543</v>
      </c>
      <c r="AP349" s="59" t="s">
        <v>70</v>
      </c>
      <c r="AQ349" s="68" t="s">
        <v>2001</v>
      </c>
      <c r="AR349" s="59" t="inlineStr">
        <is>
          <t xml:space="preserve">100410 CONVOYAGE A BANDES PLASTIQUES : BANDES</t>
        </is>
      </c>
      <c r="AS349" s="68" t="s">
        <v>2003</v>
      </c>
      <c r="AT349" s="59" t="inlineStr">
        <is>
          <t xml:space="preserve">FARDELEUSE PRA 2707</t>
        </is>
      </c>
      <c r="AU349" s="68" t="s">
        <v>223</v>
      </c>
    </row>
    <row r="350" spans="1:47" ht="45" customHeight="1">
      <c r="A350" s="3" t="s">
        <v>148</v>
      </c>
      <c r="B350" s="3" t="s">
        <v>539</v>
      </c>
      <c r="C350" s="6">
        <v>46283</v>
      </c>
      <c r="D350" s="3" t="s">
        <v>2005</v>
      </c>
      <c r="E350" s="3" t="s">
        <v>988</v>
      </c>
      <c r="F350" s="20">
        <f>LEN(G350)</f>
        <v>59</v>
      </c>
      <c r="G350" s="3" t="s">
        <v>2006</v>
      </c>
      <c r="H350" s="24" t="s">
        <v>940</v>
      </c>
      <c r="I350" s="24" t="s">
        <v>1987</v>
      </c>
      <c r="J350" s="3" t="s">
        <v>154</v>
      </c>
      <c r="K350" s="3" t="s">
        <v>154</v>
      </c>
      <c r="L350" s="3" t="s">
        <v>155</v>
      </c>
      <c r="M350" s="3" t="s">
        <v>2007</v>
      </c>
      <c r="N350" s="20">
        <v>109526</v>
      </c>
      <c r="O350" s="3" t="s">
        <v>2005</v>
      </c>
      <c r="P350" s="3" t="s">
        <v>157</v>
      </c>
      <c r="Q350" s="5"/>
      <c r="R350" s="3" t="s">
        <v>2008</v>
      </c>
      <c r="S350" s="6">
        <v>46293</v>
      </c>
      <c r="T350" s="24"/>
      <c r="U350" s="3" t="b">
        <v>1</v>
      </c>
      <c r="V350" s="5"/>
      <c r="W350" s="64"/>
      <c r="X350" s="64"/>
      <c r="Y350" s="64"/>
      <c r="Z350" s="64"/>
      <c r="AA350" s="59" t="s">
        <v>2009</v>
      </c>
      <c r="AB350" s="65"/>
      <c r="AC350" s="68"/>
      <c r="AD350" s="65"/>
      <c r="AE350" s="68"/>
      <c r="AF350" s="66"/>
      <c r="AG350" s="68"/>
      <c r="AH350" s="67"/>
      <c r="AI350" s="69"/>
      <c r="AJ350" s="69"/>
      <c r="AK350" s="69"/>
      <c r="AL350" s="86"/>
      <c r="AM350" s="88"/>
      <c r="AN350" s="88"/>
      <c r="AO350" s="88"/>
      <c r="AP350" s="59"/>
      <c r="AQ350" s="68"/>
      <c r="AR350" s="59"/>
      <c r="AS350" s="68"/>
      <c r="AT350" s="59"/>
      <c r="AU350" s="68"/>
    </row>
    <row r="351" spans="1:47" ht="45" customHeight="1">
      <c r="A351" s="3" t="s">
        <v>148</v>
      </c>
      <c r="B351" s="3" t="s">
        <v>539</v>
      </c>
      <c r="C351" s="6">
        <v>46283</v>
      </c>
      <c r="D351" s="3" t="s">
        <v>2010</v>
      </c>
      <c r="E351" s="3" t="s">
        <v>988</v>
      </c>
      <c r="F351" s="20">
        <f>LEN(G351)</f>
        <v>59</v>
      </c>
      <c r="G351" s="3" t="s">
        <v>2011</v>
      </c>
      <c r="H351" s="24" t="s">
        <v>940</v>
      </c>
      <c r="I351" s="24" t="s">
        <v>1987</v>
      </c>
      <c r="J351" s="3" t="s">
        <v>154</v>
      </c>
      <c r="K351" s="3" t="s">
        <v>154</v>
      </c>
      <c r="L351" s="3" t="s">
        <v>155</v>
      </c>
      <c r="M351" s="3" t="s">
        <v>2007</v>
      </c>
      <c r="N351" s="20">
        <v>109526</v>
      </c>
      <c r="O351" s="3" t="s">
        <v>2010</v>
      </c>
      <c r="P351" s="3" t="s">
        <v>157</v>
      </c>
      <c r="Q351" s="5"/>
      <c r="R351" s="3" t="s">
        <v>2012</v>
      </c>
      <c r="S351" s="6">
        <v>46293</v>
      </c>
      <c r="T351" s="24"/>
      <c r="U351" s="3" t="b">
        <v>1</v>
      </c>
      <c r="V351" s="5"/>
      <c r="W351" s="64"/>
      <c r="X351" s="64"/>
      <c r="Y351" s="64"/>
      <c r="Z351" s="64"/>
      <c r="AA351" s="59" t="s">
        <v>2013</v>
      </c>
      <c r="AB351" s="65"/>
      <c r="AC351" s="68"/>
      <c r="AD351" s="65"/>
      <c r="AE351" s="68"/>
      <c r="AF351" s="66"/>
      <c r="AG351" s="68"/>
      <c r="AH351" s="67"/>
      <c r="AI351" s="69"/>
      <c r="AJ351" s="69"/>
      <c r="AK351" s="69"/>
      <c r="AL351" s="86"/>
      <c r="AM351" s="88"/>
      <c r="AN351" s="88"/>
      <c r="AO351" s="88"/>
      <c r="AP351" s="59"/>
      <c r="AQ351" s="68"/>
      <c r="AR351" s="59"/>
      <c r="AS351" s="68"/>
      <c r="AT351" s="59"/>
      <c r="AU351" s="68"/>
    </row>
    <row r="352" spans="1:47" ht="45" customHeight="1">
      <c r="A352" s="3" t="s">
        <v>148</v>
      </c>
      <c r="B352" s="3" t="s">
        <v>539</v>
      </c>
      <c r="C352" s="6">
        <v>46283</v>
      </c>
      <c r="D352" s="3" t="s">
        <v>2014</v>
      </c>
      <c r="E352" s="3" t="s">
        <v>988</v>
      </c>
      <c r="F352" s="20">
        <f>LEN(G352)</f>
        <v>59</v>
      </c>
      <c r="G352" s="3" t="s">
        <v>2015</v>
      </c>
      <c r="H352" s="24" t="s">
        <v>940</v>
      </c>
      <c r="I352" s="24" t="s">
        <v>1987</v>
      </c>
      <c r="J352" s="3" t="s">
        <v>154</v>
      </c>
      <c r="K352" s="3" t="s">
        <v>154</v>
      </c>
      <c r="L352" s="3" t="s">
        <v>155</v>
      </c>
      <c r="M352" s="3" t="s">
        <v>2007</v>
      </c>
      <c r="N352" s="20">
        <v>109526</v>
      </c>
      <c r="O352" s="3" t="s">
        <v>2014</v>
      </c>
      <c r="P352" s="3" t="s">
        <v>157</v>
      </c>
      <c r="Q352" s="5"/>
      <c r="R352" s="3" t="s">
        <v>2016</v>
      </c>
      <c r="S352" s="6">
        <v>46293</v>
      </c>
      <c r="T352" s="24"/>
      <c r="U352" s="3" t="b">
        <v>1</v>
      </c>
      <c r="V352" s="5"/>
      <c r="W352" s="64"/>
      <c r="X352" s="64"/>
      <c r="Y352" s="64"/>
      <c r="Z352" s="64"/>
      <c r="AA352" s="59" t="s">
        <v>2017</v>
      </c>
      <c r="AB352" s="65"/>
      <c r="AC352" s="68"/>
      <c r="AD352" s="65"/>
      <c r="AE352" s="68"/>
      <c r="AF352" s="66"/>
      <c r="AG352" s="68"/>
      <c r="AH352" s="67"/>
      <c r="AI352" s="69"/>
      <c r="AJ352" s="69"/>
      <c r="AK352" s="69"/>
      <c r="AL352" s="86"/>
      <c r="AM352" s="88"/>
      <c r="AN352" s="88"/>
      <c r="AO352" s="88"/>
      <c r="AP352" s="59"/>
      <c r="AQ352" s="68"/>
      <c r="AR352" s="59"/>
      <c r="AS352" s="68"/>
      <c r="AT352" s="59"/>
      <c r="AU352" s="68"/>
    </row>
    <row r="353" spans="1:47" ht="45" customHeight="1">
      <c r="A353" s="3" t="s">
        <v>148</v>
      </c>
      <c r="B353" s="3" t="s">
        <v>539</v>
      </c>
      <c r="C353" s="6">
        <v>46283</v>
      </c>
      <c r="D353" s="3" t="s">
        <v>2018</v>
      </c>
      <c r="E353" s="3" t="s">
        <v>988</v>
      </c>
      <c r="F353" s="20">
        <f>LEN(G353)</f>
        <v>59</v>
      </c>
      <c r="G353" s="3" t="s">
        <v>2019</v>
      </c>
      <c r="H353" s="24" t="s">
        <v>940</v>
      </c>
      <c r="I353" s="24" t="s">
        <v>1987</v>
      </c>
      <c r="J353" s="3" t="s">
        <v>154</v>
      </c>
      <c r="K353" s="3" t="s">
        <v>154</v>
      </c>
      <c r="L353" s="3" t="s">
        <v>155</v>
      </c>
      <c r="M353" s="3" t="s">
        <v>2007</v>
      </c>
      <c r="N353" s="20">
        <v>109526</v>
      </c>
      <c r="O353" s="3" t="s">
        <v>2018</v>
      </c>
      <c r="P353" s="3" t="s">
        <v>157</v>
      </c>
      <c r="Q353" s="5"/>
      <c r="R353" s="3" t="s">
        <v>2020</v>
      </c>
      <c r="S353" s="6">
        <v>46293</v>
      </c>
      <c r="T353" s="24"/>
      <c r="U353" s="3" t="b">
        <v>1</v>
      </c>
      <c r="V353" s="5"/>
      <c r="W353" s="64"/>
      <c r="X353" s="64"/>
      <c r="Y353" s="64"/>
      <c r="Z353" s="64"/>
      <c r="AA353" s="59" t="s">
        <v>2021</v>
      </c>
      <c r="AB353" s="65"/>
      <c r="AC353" s="68"/>
      <c r="AD353" s="65"/>
      <c r="AE353" s="68"/>
      <c r="AF353" s="66"/>
      <c r="AG353" s="68"/>
      <c r="AH353" s="67"/>
      <c r="AI353" s="69"/>
      <c r="AJ353" s="69"/>
      <c r="AK353" s="69"/>
      <c r="AL353" s="86"/>
      <c r="AM353" s="88"/>
      <c r="AN353" s="88"/>
      <c r="AO353" s="88"/>
      <c r="AP353" s="59"/>
      <c r="AQ353" s="68"/>
      <c r="AR353" s="59"/>
      <c r="AS353" s="68"/>
      <c r="AT353" s="59"/>
      <c r="AU353" s="68"/>
    </row>
    <row r="354" spans="1:47" ht="45" customHeight="1">
      <c r="A354" s="3" t="s">
        <v>148</v>
      </c>
      <c r="B354" s="3" t="s">
        <v>539</v>
      </c>
      <c r="C354" s="6">
        <v>46283</v>
      </c>
      <c r="D354" s="3" t="s">
        <v>2022</v>
      </c>
      <c r="E354" s="3" t="s">
        <v>988</v>
      </c>
      <c r="F354" s="20">
        <f>LEN(G354)</f>
        <v>59</v>
      </c>
      <c r="G354" s="3" t="s">
        <v>2023</v>
      </c>
      <c r="H354" s="24" t="s">
        <v>940</v>
      </c>
      <c r="I354" s="24" t="s">
        <v>1987</v>
      </c>
      <c r="J354" s="3" t="s">
        <v>154</v>
      </c>
      <c r="K354" s="3" t="s">
        <v>154</v>
      </c>
      <c r="L354" s="3" t="s">
        <v>155</v>
      </c>
      <c r="M354" s="3" t="s">
        <v>2007</v>
      </c>
      <c r="N354" s="20">
        <v>109526</v>
      </c>
      <c r="O354" s="3" t="s">
        <v>2022</v>
      </c>
      <c r="P354" s="3" t="s">
        <v>157</v>
      </c>
      <c r="Q354" s="5"/>
      <c r="R354" s="3" t="s">
        <v>2024</v>
      </c>
      <c r="S354" s="6">
        <v>46293</v>
      </c>
      <c r="T354" s="24"/>
      <c r="U354" s="3" t="b">
        <v>1</v>
      </c>
      <c r="V354" s="5"/>
      <c r="W354" s="64"/>
      <c r="X354" s="64"/>
      <c r="Y354" s="64"/>
      <c r="Z354" s="64"/>
      <c r="AA354" s="59" t="s">
        <v>2025</v>
      </c>
      <c r="AB354" s="65"/>
      <c r="AC354" s="68"/>
      <c r="AD354" s="65"/>
      <c r="AE354" s="68"/>
      <c r="AF354" s="66"/>
      <c r="AG354" s="68"/>
      <c r="AH354" s="67"/>
      <c r="AI354" s="69"/>
      <c r="AJ354" s="69"/>
      <c r="AK354" s="69"/>
      <c r="AL354" s="86"/>
      <c r="AM354" s="88"/>
      <c r="AN354" s="88"/>
      <c r="AO354" s="88"/>
      <c r="AP354" s="59"/>
      <c r="AQ354" s="68"/>
      <c r="AR354" s="59"/>
      <c r="AS354" s="68"/>
      <c r="AT354" s="59"/>
      <c r="AU354" s="68"/>
    </row>
    <row r="355" spans="1:47" ht="45" customHeight="1">
      <c r="A355" s="3" t="s">
        <v>148</v>
      </c>
      <c r="B355" s="3" t="s">
        <v>539</v>
      </c>
      <c r="C355" s="6">
        <v>46283</v>
      </c>
      <c r="D355" s="3" t="s">
        <v>2026</v>
      </c>
      <c r="E355" s="3" t="s">
        <v>988</v>
      </c>
      <c r="F355" s="20">
        <f>LEN(G355)</f>
        <v>59</v>
      </c>
      <c r="G355" s="3" t="s">
        <v>2027</v>
      </c>
      <c r="H355" s="24" t="s">
        <v>940</v>
      </c>
      <c r="I355" s="24" t="s">
        <v>1987</v>
      </c>
      <c r="J355" s="3" t="s">
        <v>154</v>
      </c>
      <c r="K355" s="3" t="s">
        <v>154</v>
      </c>
      <c r="L355" s="3" t="s">
        <v>155</v>
      </c>
      <c r="M355" s="3" t="s">
        <v>2007</v>
      </c>
      <c r="N355" s="20">
        <v>109526</v>
      </c>
      <c r="O355" s="3" t="s">
        <v>2026</v>
      </c>
      <c r="P355" s="3" t="s">
        <v>157</v>
      </c>
      <c r="Q355" s="5"/>
      <c r="R355" s="3" t="s">
        <v>2028</v>
      </c>
      <c r="S355" s="6">
        <v>46293</v>
      </c>
      <c r="T355" s="24"/>
      <c r="U355" s="3" t="b">
        <v>1</v>
      </c>
      <c r="V355" s="5"/>
      <c r="W355" s="64"/>
      <c r="X355" s="64"/>
      <c r="Y355" s="64"/>
      <c r="Z355" s="64"/>
      <c r="AA355" s="59" t="s">
        <v>2029</v>
      </c>
      <c r="AB355" s="65"/>
      <c r="AC355" s="68"/>
      <c r="AD355" s="65"/>
      <c r="AE355" s="68"/>
      <c r="AF355" s="66"/>
      <c r="AG355" s="68"/>
      <c r="AH355" s="67"/>
      <c r="AI355" s="69"/>
      <c r="AJ355" s="69"/>
      <c r="AK355" s="69"/>
      <c r="AL355" s="86"/>
      <c r="AM355" s="88"/>
      <c r="AN355" s="88"/>
      <c r="AO355" s="88"/>
      <c r="AP355" s="59"/>
      <c r="AQ355" s="68"/>
      <c r="AR355" s="59"/>
      <c r="AS355" s="68"/>
      <c r="AT355" s="59"/>
      <c r="AU355" s="68"/>
    </row>
    <row r="356" spans="1:47" ht="45" customHeight="1">
      <c r="A356" s="3" t="s">
        <v>148</v>
      </c>
      <c r="B356" s="3" t="s">
        <v>539</v>
      </c>
      <c r="C356" s="6">
        <v>46283</v>
      </c>
      <c r="D356" s="3" t="s">
        <v>2030</v>
      </c>
      <c r="E356" s="3" t="s">
        <v>988</v>
      </c>
      <c r="F356" s="20">
        <f>LEN(G356)</f>
        <v>59</v>
      </c>
      <c r="G356" s="3" t="s">
        <v>2031</v>
      </c>
      <c r="H356" s="24" t="s">
        <v>940</v>
      </c>
      <c r="I356" s="24" t="s">
        <v>1987</v>
      </c>
      <c r="J356" s="3" t="s">
        <v>154</v>
      </c>
      <c r="K356" s="3" t="s">
        <v>154</v>
      </c>
      <c r="L356" s="3" t="s">
        <v>155</v>
      </c>
      <c r="M356" s="3" t="s">
        <v>2007</v>
      </c>
      <c r="N356" s="20">
        <v>109526</v>
      </c>
      <c r="O356" s="3" t="s">
        <v>2030</v>
      </c>
      <c r="P356" s="3" t="s">
        <v>157</v>
      </c>
      <c r="Q356" s="5"/>
      <c r="R356" s="3" t="s">
        <v>2032</v>
      </c>
      <c r="S356" s="6">
        <v>46293</v>
      </c>
      <c r="T356" s="24"/>
      <c r="U356" s="3" t="b">
        <v>1</v>
      </c>
      <c r="V356" s="5"/>
      <c r="W356" s="64"/>
      <c r="X356" s="64"/>
      <c r="Y356" s="64"/>
      <c r="Z356" s="64"/>
      <c r="AA356" s="59" t="s">
        <v>2033</v>
      </c>
      <c r="AB356" s="65"/>
      <c r="AC356" s="68"/>
      <c r="AD356" s="65"/>
      <c r="AE356" s="68"/>
      <c r="AF356" s="66"/>
      <c r="AG356" s="68"/>
      <c r="AH356" s="67"/>
      <c r="AI356" s="69"/>
      <c r="AJ356" s="69"/>
      <c r="AK356" s="69"/>
      <c r="AL356" s="86"/>
      <c r="AM356" s="88"/>
      <c r="AN356" s="88"/>
      <c r="AO356" s="88"/>
      <c r="AP356" s="59"/>
      <c r="AQ356" s="68"/>
      <c r="AR356" s="59"/>
      <c r="AS356" s="68"/>
      <c r="AT356" s="59"/>
      <c r="AU356" s="68"/>
    </row>
    <row r="357" spans="1:47" ht="45" customHeight="1">
      <c r="A357" s="3" t="s">
        <v>148</v>
      </c>
      <c r="B357" s="3" t="s">
        <v>539</v>
      </c>
      <c r="C357" s="6">
        <v>46283</v>
      </c>
      <c r="D357" s="3" t="s">
        <v>2034</v>
      </c>
      <c r="E357" s="3" t="s">
        <v>988</v>
      </c>
      <c r="F357" s="20">
        <f>LEN(G357)</f>
        <v>46</v>
      </c>
      <c r="G357" s="3" t="s">
        <v>2035</v>
      </c>
      <c r="H357" s="24" t="s">
        <v>940</v>
      </c>
      <c r="I357" s="3" t="s">
        <v>1987</v>
      </c>
      <c r="J357" s="3" t="s">
        <v>154</v>
      </c>
      <c r="K357" s="3" t="s">
        <v>154</v>
      </c>
      <c r="L357" s="3" t="s">
        <v>155</v>
      </c>
      <c r="M357" s="3" t="s">
        <v>2007</v>
      </c>
      <c r="N357" s="20">
        <v>109526</v>
      </c>
      <c r="O357" s="3" t="s">
        <v>2034</v>
      </c>
      <c r="P357" s="3" t="s">
        <v>157</v>
      </c>
      <c r="Q357" s="5"/>
      <c r="R357" s="3" t="s">
        <v>2036</v>
      </c>
      <c r="S357" s="5"/>
      <c r="T357" s="24" t="s">
        <v>2037</v>
      </c>
      <c r="U357" s="3" t="b">
        <v>0</v>
      </c>
      <c r="V357" s="3" t="s">
        <v>2038</v>
      </c>
      <c r="W357" s="64"/>
      <c r="X357" s="64"/>
      <c r="Y357" s="64"/>
      <c r="Z357" s="64"/>
      <c r="AA357" s="59" t="s">
        <v>2039</v>
      </c>
      <c r="AB357" s="65"/>
      <c r="AC357" s="68"/>
      <c r="AD357" s="65"/>
      <c r="AE357" s="68"/>
      <c r="AF357" s="66"/>
      <c r="AG357" s="68"/>
      <c r="AH357" s="67"/>
      <c r="AI357" s="69"/>
      <c r="AJ357" s="69"/>
      <c r="AK357" s="69"/>
      <c r="AL357" s="86"/>
      <c r="AM357" s="88"/>
      <c r="AN357" s="88"/>
      <c r="AO357" s="88"/>
      <c r="AP357" s="59"/>
      <c r="AQ357" s="68"/>
      <c r="AR357" s="59"/>
      <c r="AS357" s="68"/>
      <c r="AT357" s="59"/>
      <c r="AU357" s="68"/>
    </row>
    <row r="358" spans="1:47" ht="45" customHeight="1">
      <c r="A358" s="3" t="s">
        <v>148</v>
      </c>
      <c r="B358" s="3" t="s">
        <v>539</v>
      </c>
      <c r="C358" s="6">
        <v>46283</v>
      </c>
      <c r="D358" s="3" t="s">
        <v>2040</v>
      </c>
      <c r="E358" s="3" t="s">
        <v>988</v>
      </c>
      <c r="F358" s="20">
        <f>LEN(G358)</f>
        <v>47</v>
      </c>
      <c r="G358" s="3" t="s">
        <v>2041</v>
      </c>
      <c r="H358" s="24" t="s">
        <v>940</v>
      </c>
      <c r="I358" s="3" t="s">
        <v>1987</v>
      </c>
      <c r="J358" s="3" t="s">
        <v>154</v>
      </c>
      <c r="K358" s="3" t="s">
        <v>154</v>
      </c>
      <c r="L358" s="3" t="s">
        <v>155</v>
      </c>
      <c r="M358" s="3" t="s">
        <v>2007</v>
      </c>
      <c r="N358" s="20">
        <v>109526</v>
      </c>
      <c r="O358" s="3" t="s">
        <v>2040</v>
      </c>
      <c r="P358" s="3" t="s">
        <v>157</v>
      </c>
      <c r="Q358" s="5"/>
      <c r="R358" s="3" t="s">
        <v>2042</v>
      </c>
      <c r="S358" s="5"/>
      <c r="T358" s="24" t="s">
        <v>2043</v>
      </c>
      <c r="U358" s="3" t="b">
        <v>0</v>
      </c>
      <c r="V358" s="5"/>
      <c r="W358" s="64"/>
      <c r="X358" s="64"/>
      <c r="Y358" s="64"/>
      <c r="Z358" s="64"/>
      <c r="AA358" s="59" t="s">
        <v>2044</v>
      </c>
      <c r="AB358" s="65"/>
      <c r="AC358" s="68"/>
      <c r="AD358" s="65"/>
      <c r="AE358" s="68"/>
      <c r="AF358" s="66"/>
      <c r="AG358" s="68"/>
      <c r="AH358" s="67"/>
      <c r="AI358" s="69"/>
      <c r="AJ358" s="69"/>
      <c r="AK358" s="69"/>
      <c r="AL358" s="86"/>
      <c r="AM358" s="88"/>
      <c r="AN358" s="88"/>
      <c r="AO358" s="88"/>
      <c r="AP358" s="59"/>
      <c r="AQ358" s="68"/>
      <c r="AR358" s="59"/>
      <c r="AS358" s="68"/>
      <c r="AT358" s="59"/>
      <c r="AU358" s="68"/>
    </row>
    <row r="359" spans="1:47" ht="45" customHeight="1">
      <c r="A359" s="3" t="s">
        <v>148</v>
      </c>
      <c r="B359" s="3" t="s">
        <v>539</v>
      </c>
      <c r="C359" s="6">
        <v>46283</v>
      </c>
      <c r="D359" s="3" t="s">
        <v>2045</v>
      </c>
      <c r="E359" s="3" t="s">
        <v>988</v>
      </c>
      <c r="F359" s="20">
        <f>LEN(G359)</f>
        <v>47</v>
      </c>
      <c r="G359" s="3" t="s">
        <v>2046</v>
      </c>
      <c r="H359" s="24" t="s">
        <v>940</v>
      </c>
      <c r="I359" s="24" t="s">
        <v>1987</v>
      </c>
      <c r="J359" s="3" t="s">
        <v>154</v>
      </c>
      <c r="K359" s="3" t="s">
        <v>154</v>
      </c>
      <c r="L359" s="3" t="s">
        <v>155</v>
      </c>
      <c r="M359" s="3" t="s">
        <v>2007</v>
      </c>
      <c r="N359" s="20">
        <v>109526</v>
      </c>
      <c r="O359" s="3" t="s">
        <v>2045</v>
      </c>
      <c r="P359" s="3" t="s">
        <v>157</v>
      </c>
      <c r="Q359" s="5"/>
      <c r="R359" s="3" t="s">
        <v>2047</v>
      </c>
      <c r="S359" s="6">
        <v>46293</v>
      </c>
      <c r="T359" s="24"/>
      <c r="U359" s="3" t="b">
        <v>1</v>
      </c>
      <c r="V359" s="5"/>
      <c r="W359" s="64"/>
      <c r="X359" s="64"/>
      <c r="Y359" s="64"/>
      <c r="Z359" s="64"/>
      <c r="AA359" s="59" t="s">
        <v>2048</v>
      </c>
      <c r="AB359" s="65"/>
      <c r="AC359" s="68"/>
      <c r="AD359" s="65"/>
      <c r="AE359" s="68"/>
      <c r="AF359" s="66"/>
      <c r="AG359" s="68"/>
      <c r="AH359" s="67"/>
      <c r="AI359" s="69"/>
      <c r="AJ359" s="69"/>
      <c r="AK359" s="69"/>
      <c r="AL359" s="86"/>
      <c r="AM359" s="88"/>
      <c r="AN359" s="88"/>
      <c r="AO359" s="88"/>
      <c r="AP359" s="59"/>
      <c r="AQ359" s="68"/>
      <c r="AR359" s="59"/>
      <c r="AS359" s="68"/>
      <c r="AT359" s="59"/>
      <c r="AU359" s="68"/>
    </row>
    <row r="360" spans="1:47" ht="45" customHeight="1">
      <c r="A360" s="3" t="s">
        <v>148</v>
      </c>
      <c r="B360" s="3" t="s">
        <v>539</v>
      </c>
      <c r="C360" s="6">
        <v>46283</v>
      </c>
      <c r="D360" s="3" t="s">
        <v>2049</v>
      </c>
      <c r="E360" s="3" t="s">
        <v>988</v>
      </c>
      <c r="F360" s="20">
        <f>LEN(G360)</f>
        <v>46</v>
      </c>
      <c r="G360" s="3" t="s">
        <v>2050</v>
      </c>
      <c r="H360" s="24" t="s">
        <v>940</v>
      </c>
      <c r="I360" s="24" t="s">
        <v>1987</v>
      </c>
      <c r="J360" s="3" t="s">
        <v>154</v>
      </c>
      <c r="K360" s="3" t="s">
        <v>154</v>
      </c>
      <c r="L360" s="3" t="s">
        <v>155</v>
      </c>
      <c r="M360" s="3" t="s">
        <v>2007</v>
      </c>
      <c r="N360" s="20">
        <v>109526</v>
      </c>
      <c r="O360" s="3" t="s">
        <v>2049</v>
      </c>
      <c r="P360" s="3" t="s">
        <v>157</v>
      </c>
      <c r="Q360" s="5"/>
      <c r="R360" s="3" t="s">
        <v>2051</v>
      </c>
      <c r="S360" s="6">
        <v>46293</v>
      </c>
      <c r="T360" s="24"/>
      <c r="U360" s="3" t="b">
        <v>1</v>
      </c>
      <c r="V360" s="5"/>
      <c r="W360" s="64"/>
      <c r="X360" s="64"/>
      <c r="Y360" s="64"/>
      <c r="Z360" s="64"/>
      <c r="AA360" s="59" t="s">
        <v>2052</v>
      </c>
      <c r="AB360" s="65"/>
      <c r="AC360" s="68"/>
      <c r="AD360" s="65"/>
      <c r="AE360" s="68"/>
      <c r="AF360" s="66"/>
      <c r="AG360" s="68"/>
      <c r="AH360" s="67"/>
      <c r="AI360" s="69"/>
      <c r="AJ360" s="69"/>
      <c r="AK360" s="69"/>
      <c r="AL360" s="86"/>
      <c r="AM360" s="88"/>
      <c r="AN360" s="88"/>
      <c r="AO360" s="88"/>
      <c r="AP360" s="59"/>
      <c r="AQ360" s="68"/>
      <c r="AR360" s="59"/>
      <c r="AS360" s="68"/>
      <c r="AT360" s="59"/>
      <c r="AU360" s="68"/>
    </row>
    <row r="361" spans="1:47" ht="45" customHeight="1">
      <c r="A361" s="3" t="s">
        <v>148</v>
      </c>
      <c r="B361" s="3" t="s">
        <v>539</v>
      </c>
      <c r="C361" s="6">
        <v>46283</v>
      </c>
      <c r="D361" s="3" t="s">
        <v>2053</v>
      </c>
      <c r="E361" s="3" t="s">
        <v>988</v>
      </c>
      <c r="F361" s="20">
        <f>LEN(G361)</f>
        <v>39</v>
      </c>
      <c r="G361" s="3" t="s">
        <v>2054</v>
      </c>
      <c r="H361" s="24" t="s">
        <v>940</v>
      </c>
      <c r="I361" s="24" t="s">
        <v>1987</v>
      </c>
      <c r="J361" s="3" t="s">
        <v>154</v>
      </c>
      <c r="K361" s="3" t="s">
        <v>154</v>
      </c>
      <c r="L361" s="3" t="s">
        <v>155</v>
      </c>
      <c r="M361" s="3" t="s">
        <v>2007</v>
      </c>
      <c r="N361" s="20">
        <v>109526</v>
      </c>
      <c r="O361" s="3" t="s">
        <v>2053</v>
      </c>
      <c r="P361" s="3" t="s">
        <v>157</v>
      </c>
      <c r="Q361" s="5"/>
      <c r="R361" s="3" t="s">
        <v>2055</v>
      </c>
      <c r="S361" s="6">
        <v>46293</v>
      </c>
      <c r="T361" s="24"/>
      <c r="U361" s="3" t="b">
        <v>1</v>
      </c>
      <c r="V361" s="5"/>
      <c r="W361" s="64"/>
      <c r="X361" s="64"/>
      <c r="Y361" s="64"/>
      <c r="Z361" s="64"/>
      <c r="AA361" s="59" t="s">
        <v>2056</v>
      </c>
      <c r="AB361" s="65"/>
      <c r="AC361" s="68"/>
      <c r="AD361" s="65"/>
      <c r="AE361" s="68"/>
      <c r="AF361" s="66"/>
      <c r="AG361" s="68"/>
      <c r="AH361" s="67"/>
      <c r="AI361" s="69"/>
      <c r="AJ361" s="69"/>
      <c r="AK361" s="69"/>
      <c r="AL361" s="86"/>
      <c r="AM361" s="88"/>
      <c r="AN361" s="88"/>
      <c r="AO361" s="88"/>
      <c r="AP361" s="59"/>
      <c r="AQ361" s="68"/>
      <c r="AR361" s="59"/>
      <c r="AS361" s="68"/>
      <c r="AT361" s="59"/>
      <c r="AU361" s="68"/>
    </row>
    <row r="362" spans="1:47" ht="45" customHeight="1">
      <c r="A362" s="3" t="s">
        <v>148</v>
      </c>
      <c r="B362" s="3" t="s">
        <v>539</v>
      </c>
      <c r="C362" s="6">
        <v>46283</v>
      </c>
      <c r="D362" s="3" t="s">
        <v>2057</v>
      </c>
      <c r="E362" s="3" t="s">
        <v>988</v>
      </c>
      <c r="F362" s="20">
        <f>LEN(G362)</f>
        <v>38</v>
      </c>
      <c r="G362" s="3" t="s">
        <v>2058</v>
      </c>
      <c r="H362" s="24" t="s">
        <v>940</v>
      </c>
      <c r="I362" s="24" t="s">
        <v>1987</v>
      </c>
      <c r="J362" s="3" t="s">
        <v>154</v>
      </c>
      <c r="K362" s="3" t="s">
        <v>154</v>
      </c>
      <c r="L362" s="3" t="s">
        <v>155</v>
      </c>
      <c r="M362" s="3" t="s">
        <v>2007</v>
      </c>
      <c r="N362" s="20">
        <v>109526</v>
      </c>
      <c r="O362" s="3" t="s">
        <v>2057</v>
      </c>
      <c r="P362" s="3" t="s">
        <v>157</v>
      </c>
      <c r="Q362" s="5"/>
      <c r="R362" s="3" t="s">
        <v>2059</v>
      </c>
      <c r="S362" s="6">
        <v>46293</v>
      </c>
      <c r="T362" s="24"/>
      <c r="U362" s="3" t="b">
        <v>1</v>
      </c>
      <c r="V362" s="5"/>
      <c r="W362" s="64"/>
      <c r="X362" s="64"/>
      <c r="Y362" s="64"/>
      <c r="Z362" s="64"/>
      <c r="AA362" s="59" t="s">
        <v>2060</v>
      </c>
      <c r="AB362" s="65"/>
      <c r="AC362" s="68"/>
      <c r="AD362" s="65"/>
      <c r="AE362" s="68"/>
      <c r="AF362" s="66"/>
      <c r="AG362" s="68"/>
      <c r="AH362" s="67"/>
      <c r="AI362" s="69"/>
      <c r="AJ362" s="69"/>
      <c r="AK362" s="69"/>
      <c r="AL362" s="86"/>
      <c r="AM362" s="88"/>
      <c r="AN362" s="88"/>
      <c r="AO362" s="88"/>
      <c r="AP362" s="59"/>
      <c r="AQ362" s="68"/>
      <c r="AR362" s="59"/>
      <c r="AS362" s="68"/>
      <c r="AT362" s="59"/>
      <c r="AU362" s="68"/>
    </row>
    <row r="363" spans="1:47" ht="45" customHeight="1">
      <c r="A363" s="3" t="s">
        <v>148</v>
      </c>
      <c r="B363" s="3" t="s">
        <v>539</v>
      </c>
      <c r="C363" s="6">
        <v>46283</v>
      </c>
      <c r="D363" s="3" t="s">
        <v>2061</v>
      </c>
      <c r="E363" s="3" t="s">
        <v>988</v>
      </c>
      <c r="F363" s="20">
        <f>LEN(G363)</f>
        <v>33</v>
      </c>
      <c r="G363" s="3" t="s">
        <v>2062</v>
      </c>
      <c r="H363" s="24" t="s">
        <v>940</v>
      </c>
      <c r="I363" s="3" t="s">
        <v>1987</v>
      </c>
      <c r="J363" s="3" t="s">
        <v>154</v>
      </c>
      <c r="K363" s="3" t="s">
        <v>154</v>
      </c>
      <c r="L363" s="3" t="s">
        <v>155</v>
      </c>
      <c r="M363" s="3" t="s">
        <v>2007</v>
      </c>
      <c r="N363" s="20">
        <v>109526</v>
      </c>
      <c r="O363" s="3" t="s">
        <v>2061</v>
      </c>
      <c r="P363" s="3" t="s">
        <v>157</v>
      </c>
      <c r="Q363" s="5"/>
      <c r="R363" s="3" t="s">
        <v>2063</v>
      </c>
      <c r="S363" s="3">
        <v>46300</v>
      </c>
      <c r="T363" s="24" t="s">
        <v>2064</v>
      </c>
      <c r="U363" s="3" t="b">
        <v>0</v>
      </c>
      <c r="V363" s="5"/>
      <c r="W363" s="64"/>
      <c r="X363" s="64"/>
      <c r="Y363" s="64"/>
      <c r="Z363" s="64"/>
      <c r="AA363" s="59" t="s">
        <v>2065</v>
      </c>
      <c r="AB363" s="65"/>
      <c r="AC363" s="68"/>
      <c r="AD363" s="65"/>
      <c r="AE363" s="68"/>
      <c r="AF363" s="66"/>
      <c r="AG363" s="68"/>
      <c r="AH363" s="67"/>
      <c r="AI363" s="69"/>
      <c r="AJ363" s="69"/>
      <c r="AK363" s="69"/>
      <c r="AL363" s="86"/>
      <c r="AM363" s="88"/>
      <c r="AN363" s="88"/>
      <c r="AO363" s="88"/>
      <c r="AP363" s="59"/>
      <c r="AQ363" s="68"/>
      <c r="AR363" s="59"/>
      <c r="AS363" s="68"/>
      <c r="AT363" s="59"/>
      <c r="AU363" s="68"/>
    </row>
    <row r="364" spans="1:47" ht="45" customHeight="1">
      <c r="A364" s="3" t="s">
        <v>148</v>
      </c>
      <c r="B364" s="3" t="s">
        <v>539</v>
      </c>
      <c r="C364" s="6">
        <v>46283</v>
      </c>
      <c r="D364" s="3" t="s">
        <v>2066</v>
      </c>
      <c r="E364" s="3" t="s">
        <v>988</v>
      </c>
      <c r="F364" s="20">
        <f>LEN(G364)</f>
        <v>36</v>
      </c>
      <c r="G364" s="3" t="s">
        <v>2067</v>
      </c>
      <c r="H364" s="24" t="s">
        <v>940</v>
      </c>
      <c r="I364" s="24" t="s">
        <v>1987</v>
      </c>
      <c r="J364" s="3" t="s">
        <v>154</v>
      </c>
      <c r="K364" s="3" t="s">
        <v>154</v>
      </c>
      <c r="L364" s="3" t="s">
        <v>155</v>
      </c>
      <c r="M364" s="3" t="s">
        <v>2007</v>
      </c>
      <c r="N364" s="20">
        <v>109526</v>
      </c>
      <c r="O364" s="3" t="s">
        <v>2066</v>
      </c>
      <c r="P364" s="3" t="s">
        <v>157</v>
      </c>
      <c r="Q364" s="5"/>
      <c r="R364" s="3" t="s">
        <v>2068</v>
      </c>
      <c r="S364" s="6">
        <v>46293</v>
      </c>
      <c r="T364" s="24"/>
      <c r="U364" s="3" t="b">
        <v>1</v>
      </c>
      <c r="V364" s="5"/>
      <c r="W364" s="64"/>
      <c r="X364" s="64"/>
      <c r="Y364" s="64"/>
      <c r="Z364" s="64"/>
      <c r="AA364" s="59" t="s">
        <v>2069</v>
      </c>
      <c r="AB364" s="65"/>
      <c r="AC364" s="68"/>
      <c r="AD364" s="65"/>
      <c r="AE364" s="68"/>
      <c r="AF364" s="66"/>
      <c r="AG364" s="68"/>
      <c r="AH364" s="67"/>
      <c r="AI364" s="69"/>
      <c r="AJ364" s="69"/>
      <c r="AK364" s="69"/>
      <c r="AL364" s="86"/>
      <c r="AM364" s="88"/>
      <c r="AN364" s="88"/>
      <c r="AO364" s="88"/>
      <c r="AP364" s="59"/>
      <c r="AQ364" s="68"/>
      <c r="AR364" s="59"/>
      <c r="AS364" s="68"/>
      <c r="AT364" s="59"/>
      <c r="AU364" s="68"/>
    </row>
    <row r="365" spans="1:47" ht="45" customHeight="1">
      <c r="A365" s="3" t="s">
        <v>148</v>
      </c>
      <c r="B365" s="3" t="s">
        <v>539</v>
      </c>
      <c r="C365" s="6">
        <v>46283</v>
      </c>
      <c r="D365" s="3" t="s">
        <v>2070</v>
      </c>
      <c r="E365" s="3" t="s">
        <v>988</v>
      </c>
      <c r="F365" s="20">
        <f>LEN(G365)</f>
        <v>36</v>
      </c>
      <c r="G365" s="3" t="s">
        <v>2071</v>
      </c>
      <c r="H365" s="24" t="s">
        <v>940</v>
      </c>
      <c r="I365" s="24" t="s">
        <v>1987</v>
      </c>
      <c r="J365" s="3" t="s">
        <v>154</v>
      </c>
      <c r="K365" s="3" t="s">
        <v>154</v>
      </c>
      <c r="L365" s="3" t="s">
        <v>155</v>
      </c>
      <c r="M365" s="3" t="s">
        <v>2007</v>
      </c>
      <c r="N365" s="20">
        <v>109526</v>
      </c>
      <c r="O365" s="3" t="s">
        <v>2070</v>
      </c>
      <c r="P365" s="3" t="s">
        <v>157</v>
      </c>
      <c r="Q365" s="5"/>
      <c r="R365" s="3" t="s">
        <v>2072</v>
      </c>
      <c r="S365" s="6">
        <v>46293</v>
      </c>
      <c r="T365" s="24"/>
      <c r="U365" s="3" t="b">
        <v>1</v>
      </c>
      <c r="V365" s="5"/>
      <c r="W365" s="64"/>
      <c r="X365" s="64"/>
      <c r="Y365" s="64"/>
      <c r="Z365" s="64"/>
      <c r="AA365" s="59" t="s">
        <v>2073</v>
      </c>
      <c r="AB365" s="65"/>
      <c r="AC365" s="68"/>
      <c r="AD365" s="65"/>
      <c r="AE365" s="68"/>
      <c r="AF365" s="66"/>
      <c r="AG365" s="68"/>
      <c r="AH365" s="67"/>
      <c r="AI365" s="69"/>
      <c r="AJ365" s="69"/>
      <c r="AK365" s="69"/>
      <c r="AL365" s="86"/>
      <c r="AM365" s="88"/>
      <c r="AN365" s="88"/>
      <c r="AO365" s="88"/>
      <c r="AP365" s="59"/>
      <c r="AQ365" s="68"/>
      <c r="AR365" s="59"/>
      <c r="AS365" s="68"/>
      <c r="AT365" s="59"/>
      <c r="AU365" s="68"/>
    </row>
    <row r="366" spans="1:47" ht="45" customHeight="1">
      <c r="A366" s="3" t="s">
        <v>148</v>
      </c>
      <c r="B366" s="3" t="s">
        <v>539</v>
      </c>
      <c r="C366" s="6">
        <v>46283</v>
      </c>
      <c r="D366" s="3" t="s">
        <v>2074</v>
      </c>
      <c r="E366" s="3" t="s">
        <v>988</v>
      </c>
      <c r="F366" s="20">
        <f>LEN(G366)</f>
        <v>38</v>
      </c>
      <c r="G366" s="3" t="s">
        <v>2075</v>
      </c>
      <c r="H366" s="24" t="s">
        <v>940</v>
      </c>
      <c r="I366" s="24" t="s">
        <v>1987</v>
      </c>
      <c r="J366" s="3" t="s">
        <v>154</v>
      </c>
      <c r="K366" s="3" t="s">
        <v>154</v>
      </c>
      <c r="L366" s="3" t="s">
        <v>155</v>
      </c>
      <c r="M366" s="3" t="s">
        <v>2007</v>
      </c>
      <c r="N366" s="20">
        <v>109526</v>
      </c>
      <c r="O366" s="3" t="s">
        <v>2074</v>
      </c>
      <c r="P366" s="3" t="s">
        <v>157</v>
      </c>
      <c r="Q366" s="5"/>
      <c r="R366" s="3" t="s">
        <v>2076</v>
      </c>
      <c r="S366" s="6">
        <v>46293</v>
      </c>
      <c r="T366" s="24"/>
      <c r="U366" s="3" t="b">
        <v>1</v>
      </c>
      <c r="V366" s="5"/>
      <c r="W366" s="64"/>
      <c r="X366" s="64"/>
      <c r="Y366" s="64"/>
      <c r="Z366" s="64"/>
      <c r="AA366" s="59" t="s">
        <v>2077</v>
      </c>
      <c r="AB366" s="65"/>
      <c r="AC366" s="68"/>
      <c r="AD366" s="65"/>
      <c r="AE366" s="68"/>
      <c r="AF366" s="66"/>
      <c r="AG366" s="68"/>
      <c r="AH366" s="67"/>
      <c r="AI366" s="69"/>
      <c r="AJ366" s="69"/>
      <c r="AK366" s="69"/>
      <c r="AL366" s="86"/>
      <c r="AM366" s="88"/>
      <c r="AN366" s="88"/>
      <c r="AO366" s="88"/>
      <c r="AP366" s="59"/>
      <c r="AQ366" s="68"/>
      <c r="AR366" s="59"/>
      <c r="AS366" s="68"/>
      <c r="AT366" s="59"/>
      <c r="AU366" s="68"/>
    </row>
    <row r="367" spans="1:47" ht="45" customHeight="1">
      <c r="A367" s="3" t="s">
        <v>148</v>
      </c>
      <c r="B367" s="3" t="s">
        <v>539</v>
      </c>
      <c r="C367" s="6">
        <v>46283</v>
      </c>
      <c r="D367" s="3" t="s">
        <v>2078</v>
      </c>
      <c r="E367" s="3" t="s">
        <v>988</v>
      </c>
      <c r="F367" s="20">
        <f>LEN(G367)</f>
        <v>64</v>
      </c>
      <c r="G367" s="3" t="s">
        <v>2079</v>
      </c>
      <c r="H367" s="24" t="s">
        <v>940</v>
      </c>
      <c r="I367" s="24" t="s">
        <v>1987</v>
      </c>
      <c r="J367" s="3" t="s">
        <v>154</v>
      </c>
      <c r="K367" s="3" t="s">
        <v>154</v>
      </c>
      <c r="L367" s="3" t="s">
        <v>155</v>
      </c>
      <c r="M367" s="3" t="s">
        <v>2007</v>
      </c>
      <c r="N367" s="20">
        <v>109526</v>
      </c>
      <c r="O367" s="3" t="s">
        <v>2078</v>
      </c>
      <c r="P367" s="3" t="s">
        <v>157</v>
      </c>
      <c r="Q367" s="5"/>
      <c r="R367" s="3" t="s">
        <v>2080</v>
      </c>
      <c r="S367" s="6">
        <v>46293</v>
      </c>
      <c r="T367" s="24"/>
      <c r="U367" s="3" t="b">
        <v>1</v>
      </c>
      <c r="V367" s="5"/>
      <c r="W367" s="64"/>
      <c r="X367" s="64"/>
      <c r="Y367" s="64"/>
      <c r="Z367" s="64"/>
      <c r="AA367" s="59" t="s">
        <v>2081</v>
      </c>
      <c r="AB367" s="65"/>
      <c r="AC367" s="68"/>
      <c r="AD367" s="65"/>
      <c r="AE367" s="68"/>
      <c r="AF367" s="66"/>
      <c r="AG367" s="68"/>
      <c r="AH367" s="67"/>
      <c r="AI367" s="69"/>
      <c r="AJ367" s="69"/>
      <c r="AK367" s="69"/>
      <c r="AL367" s="86"/>
      <c r="AM367" s="88"/>
      <c r="AN367" s="88"/>
      <c r="AO367" s="88"/>
      <c r="AP367" s="59"/>
      <c r="AQ367" s="68"/>
      <c r="AR367" s="59"/>
      <c r="AS367" s="68"/>
      <c r="AT367" s="59"/>
      <c r="AU367" s="68"/>
    </row>
    <row r="368" spans="1:47" ht="45" customHeight="1">
      <c r="A368" s="3" t="s">
        <v>148</v>
      </c>
      <c r="B368" s="3" t="s">
        <v>539</v>
      </c>
      <c r="C368" s="6">
        <v>46283</v>
      </c>
      <c r="D368" s="3" t="s">
        <v>2082</v>
      </c>
      <c r="E368" s="3" t="s">
        <v>988</v>
      </c>
      <c r="F368" s="20">
        <f>LEN(G368)</f>
        <v>64</v>
      </c>
      <c r="G368" s="3" t="s">
        <v>2083</v>
      </c>
      <c r="H368" s="24" t="s">
        <v>940</v>
      </c>
      <c r="I368" s="24" t="s">
        <v>1987</v>
      </c>
      <c r="J368" s="3" t="s">
        <v>154</v>
      </c>
      <c r="K368" s="3" t="s">
        <v>154</v>
      </c>
      <c r="L368" s="3" t="s">
        <v>155</v>
      </c>
      <c r="M368" s="3" t="s">
        <v>2007</v>
      </c>
      <c r="N368" s="20">
        <v>109526</v>
      </c>
      <c r="O368" s="3" t="s">
        <v>2082</v>
      </c>
      <c r="P368" s="3" t="s">
        <v>157</v>
      </c>
      <c r="Q368" s="5"/>
      <c r="R368" s="3" t="s">
        <v>2084</v>
      </c>
      <c r="S368" s="6">
        <v>46293</v>
      </c>
      <c r="T368" s="24"/>
      <c r="U368" s="3" t="b">
        <v>1</v>
      </c>
      <c r="V368" s="5"/>
      <c r="W368" s="64"/>
      <c r="X368" s="64"/>
      <c r="Y368" s="64"/>
      <c r="Z368" s="64"/>
      <c r="AA368" s="59" t="s">
        <v>2085</v>
      </c>
      <c r="AB368" s="65"/>
      <c r="AC368" s="68"/>
      <c r="AD368" s="65"/>
      <c r="AE368" s="68"/>
      <c r="AF368" s="66"/>
      <c r="AG368" s="68"/>
      <c r="AH368" s="67"/>
      <c r="AI368" s="69"/>
      <c r="AJ368" s="69"/>
      <c r="AK368" s="69"/>
      <c r="AL368" s="86"/>
      <c r="AM368" s="88"/>
      <c r="AN368" s="88"/>
      <c r="AO368" s="88"/>
      <c r="AP368" s="59"/>
      <c r="AQ368" s="68"/>
      <c r="AR368" s="59"/>
      <c r="AS368" s="68"/>
      <c r="AT368" s="59"/>
      <c r="AU368" s="68"/>
    </row>
    <row r="369" spans="1:47" ht="45" customHeight="1">
      <c r="A369" s="3" t="s">
        <v>148</v>
      </c>
      <c r="B369" s="3" t="s">
        <v>539</v>
      </c>
      <c r="C369" s="6">
        <v>46283</v>
      </c>
      <c r="D369" s="3" t="s">
        <v>2086</v>
      </c>
      <c r="E369" s="3" t="s">
        <v>988</v>
      </c>
      <c r="F369" s="20">
        <f>LEN(G369)</f>
        <v>66</v>
      </c>
      <c r="G369" s="3" t="s">
        <v>2087</v>
      </c>
      <c r="H369" s="24" t="s">
        <v>940</v>
      </c>
      <c r="I369" s="24" t="s">
        <v>1987</v>
      </c>
      <c r="J369" s="3" t="s">
        <v>154</v>
      </c>
      <c r="K369" s="3" t="s">
        <v>154</v>
      </c>
      <c r="L369" s="3" t="s">
        <v>155</v>
      </c>
      <c r="M369" s="3" t="s">
        <v>2007</v>
      </c>
      <c r="N369" s="20">
        <v>109526</v>
      </c>
      <c r="O369" s="3" t="s">
        <v>2086</v>
      </c>
      <c r="P369" s="3" t="s">
        <v>157</v>
      </c>
      <c r="Q369" s="5"/>
      <c r="R369" s="3" t="s">
        <v>2088</v>
      </c>
      <c r="S369" s="6">
        <v>46293</v>
      </c>
      <c r="T369" s="24"/>
      <c r="U369" s="3" t="b">
        <v>1</v>
      </c>
      <c r="V369" s="5"/>
      <c r="W369" s="64"/>
      <c r="X369" s="64"/>
      <c r="Y369" s="64"/>
      <c r="Z369" s="64"/>
      <c r="AA369" s="59" t="s">
        <v>2089</v>
      </c>
      <c r="AB369" s="65"/>
      <c r="AC369" s="68"/>
      <c r="AD369" s="65"/>
      <c r="AE369" s="68"/>
      <c r="AF369" s="66"/>
      <c r="AG369" s="68"/>
      <c r="AH369" s="67"/>
      <c r="AI369" s="69"/>
      <c r="AJ369" s="69"/>
      <c r="AK369" s="69"/>
      <c r="AL369" s="86"/>
      <c r="AM369" s="88"/>
      <c r="AN369" s="88"/>
      <c r="AO369" s="88"/>
      <c r="AP369" s="59"/>
      <c r="AQ369" s="68"/>
      <c r="AR369" s="59"/>
      <c r="AS369" s="68"/>
      <c r="AT369" s="59"/>
      <c r="AU369" s="68"/>
    </row>
    <row r="370" spans="1:47" ht="45" customHeight="1">
      <c r="A370" s="3" t="s">
        <v>148</v>
      </c>
      <c r="B370" s="3" t="s">
        <v>539</v>
      </c>
      <c r="C370" s="6">
        <v>46283</v>
      </c>
      <c r="D370" s="3" t="s">
        <v>2090</v>
      </c>
      <c r="E370" s="3" t="s">
        <v>988</v>
      </c>
      <c r="F370" s="20">
        <f>LEN(G370)</f>
        <v>68</v>
      </c>
      <c r="G370" s="3" t="s">
        <v>2091</v>
      </c>
      <c r="H370" s="24" t="s">
        <v>940</v>
      </c>
      <c r="I370" s="24" t="s">
        <v>1987</v>
      </c>
      <c r="J370" s="3" t="s">
        <v>154</v>
      </c>
      <c r="K370" s="3" t="s">
        <v>154</v>
      </c>
      <c r="L370" s="3" t="s">
        <v>155</v>
      </c>
      <c r="M370" s="3" t="s">
        <v>2007</v>
      </c>
      <c r="N370" s="20">
        <v>109526</v>
      </c>
      <c r="O370" s="3" t="s">
        <v>2090</v>
      </c>
      <c r="P370" s="3" t="s">
        <v>157</v>
      </c>
      <c r="Q370" s="5"/>
      <c r="R370" s="3" t="s">
        <v>2092</v>
      </c>
      <c r="S370" s="6">
        <v>46293</v>
      </c>
      <c r="T370" s="24"/>
      <c r="U370" s="3" t="b">
        <v>1</v>
      </c>
      <c r="V370" s="5"/>
      <c r="W370" s="64"/>
      <c r="X370" s="64"/>
      <c r="Y370" s="64"/>
      <c r="Z370" s="64"/>
      <c r="AA370" s="59" t="s">
        <v>2093</v>
      </c>
      <c r="AB370" s="65"/>
      <c r="AC370" s="68"/>
      <c r="AD370" s="65"/>
      <c r="AE370" s="68"/>
      <c r="AF370" s="66"/>
      <c r="AG370" s="68"/>
      <c r="AH370" s="67"/>
      <c r="AI370" s="69"/>
      <c r="AJ370" s="69"/>
      <c r="AK370" s="69"/>
      <c r="AL370" s="86"/>
      <c r="AM370" s="88"/>
      <c r="AN370" s="88"/>
      <c r="AO370" s="88"/>
      <c r="AP370" s="59"/>
      <c r="AQ370" s="68"/>
      <c r="AR370" s="59"/>
      <c r="AS370" s="68"/>
      <c r="AT370" s="59"/>
      <c r="AU370" s="68"/>
    </row>
    <row r="371" spans="1:47" ht="45" customHeight="1">
      <c r="A371" s="3" t="s">
        <v>148</v>
      </c>
      <c r="B371" s="3" t="s">
        <v>539</v>
      </c>
      <c r="C371" s="6">
        <v>46283</v>
      </c>
      <c r="D371" s="3" t="s">
        <v>2094</v>
      </c>
      <c r="E371" s="3" t="s">
        <v>988</v>
      </c>
      <c r="F371" s="20">
        <f>LEN(G371)</f>
        <v>68</v>
      </c>
      <c r="G371" s="3" t="s">
        <v>2095</v>
      </c>
      <c r="H371" s="24" t="s">
        <v>940</v>
      </c>
      <c r="I371" s="24" t="s">
        <v>1987</v>
      </c>
      <c r="J371" s="3" t="s">
        <v>154</v>
      </c>
      <c r="K371" s="3" t="s">
        <v>154</v>
      </c>
      <c r="L371" s="3" t="s">
        <v>155</v>
      </c>
      <c r="M371" s="3" t="s">
        <v>2007</v>
      </c>
      <c r="N371" s="20">
        <v>109526</v>
      </c>
      <c r="O371" s="3" t="s">
        <v>2094</v>
      </c>
      <c r="P371" s="3" t="s">
        <v>157</v>
      </c>
      <c r="Q371" s="5"/>
      <c r="R371" s="3" t="s">
        <v>2096</v>
      </c>
      <c r="S371" s="6">
        <v>46293</v>
      </c>
      <c r="T371" s="24"/>
      <c r="U371" s="3" t="b">
        <v>1</v>
      </c>
      <c r="V371" s="5"/>
      <c r="W371" s="64"/>
      <c r="X371" s="64"/>
      <c r="Y371" s="64"/>
      <c r="Z371" s="64"/>
      <c r="AA371" s="59" t="s">
        <v>2097</v>
      </c>
      <c r="AB371" s="65"/>
      <c r="AC371" s="68"/>
      <c r="AD371" s="65"/>
      <c r="AE371" s="68"/>
      <c r="AF371" s="66"/>
      <c r="AG371" s="68"/>
      <c r="AH371" s="67"/>
      <c r="AI371" s="69"/>
      <c r="AJ371" s="69"/>
      <c r="AK371" s="69"/>
      <c r="AL371" s="86"/>
      <c r="AM371" s="88"/>
      <c r="AN371" s="88"/>
      <c r="AO371" s="88"/>
      <c r="AP371" s="59"/>
      <c r="AQ371" s="68"/>
      <c r="AR371" s="59"/>
      <c r="AS371" s="68"/>
      <c r="AT371" s="59"/>
      <c r="AU371" s="68"/>
    </row>
    <row r="372" spans="1:47" ht="45" customHeight="1">
      <c r="A372" s="3" t="s">
        <v>148</v>
      </c>
      <c r="B372" s="3" t="s">
        <v>539</v>
      </c>
      <c r="C372" s="6">
        <v>46283</v>
      </c>
      <c r="D372" s="3" t="s">
        <v>2098</v>
      </c>
      <c r="E372" s="3" t="s">
        <v>988</v>
      </c>
      <c r="F372" s="20">
        <f>LEN(G372)</f>
        <v>64</v>
      </c>
      <c r="G372" s="3" t="s">
        <v>2099</v>
      </c>
      <c r="H372" s="24" t="s">
        <v>940</v>
      </c>
      <c r="I372" s="24" t="s">
        <v>1987</v>
      </c>
      <c r="J372" s="3" t="s">
        <v>154</v>
      </c>
      <c r="K372" s="3" t="s">
        <v>154</v>
      </c>
      <c r="L372" s="3" t="s">
        <v>155</v>
      </c>
      <c r="M372" s="3" t="s">
        <v>2007</v>
      </c>
      <c r="N372" s="20">
        <v>109526</v>
      </c>
      <c r="O372" s="3" t="s">
        <v>2098</v>
      </c>
      <c r="P372" s="3" t="s">
        <v>157</v>
      </c>
      <c r="Q372" s="5"/>
      <c r="R372" s="3" t="s">
        <v>2100</v>
      </c>
      <c r="S372" s="6">
        <v>46293</v>
      </c>
      <c r="T372" s="24"/>
      <c r="U372" s="3" t="b">
        <v>1</v>
      </c>
      <c r="V372" s="5"/>
      <c r="W372" s="64"/>
      <c r="X372" s="64"/>
      <c r="Y372" s="64"/>
      <c r="Z372" s="64"/>
      <c r="AA372" s="59" t="s">
        <v>2101</v>
      </c>
      <c r="AB372" s="65"/>
      <c r="AC372" s="68"/>
      <c r="AD372" s="65"/>
      <c r="AE372" s="68"/>
      <c r="AF372" s="66"/>
      <c r="AG372" s="68"/>
      <c r="AH372" s="67"/>
      <c r="AI372" s="69"/>
      <c r="AJ372" s="69"/>
      <c r="AK372" s="69"/>
      <c r="AL372" s="86"/>
      <c r="AM372" s="88"/>
      <c r="AN372" s="88"/>
      <c r="AO372" s="88"/>
      <c r="AP372" s="59"/>
      <c r="AQ372" s="68"/>
      <c r="AR372" s="59"/>
      <c r="AS372" s="68"/>
      <c r="AT372" s="59"/>
      <c r="AU372" s="68"/>
    </row>
    <row r="373" spans="1:47" ht="45" customHeight="1">
      <c r="A373" s="3" t="s">
        <v>148</v>
      </c>
      <c r="B373" s="3" t="s">
        <v>539</v>
      </c>
      <c r="C373" s="6">
        <v>46283</v>
      </c>
      <c r="D373" s="3" t="s">
        <v>2102</v>
      </c>
      <c r="E373" s="3" t="s">
        <v>988</v>
      </c>
      <c r="F373" s="20">
        <f>LEN(G373)</f>
        <v>63</v>
      </c>
      <c r="G373" s="3" t="s">
        <v>2103</v>
      </c>
      <c r="H373" s="24" t="s">
        <v>940</v>
      </c>
      <c r="I373" s="24" t="s">
        <v>1987</v>
      </c>
      <c r="J373" s="3" t="s">
        <v>154</v>
      </c>
      <c r="K373" s="3" t="s">
        <v>154</v>
      </c>
      <c r="L373" s="3" t="s">
        <v>155</v>
      </c>
      <c r="M373" s="3" t="s">
        <v>2007</v>
      </c>
      <c r="N373" s="20">
        <v>109526</v>
      </c>
      <c r="O373" s="3" t="s">
        <v>2102</v>
      </c>
      <c r="P373" s="3" t="s">
        <v>157</v>
      </c>
      <c r="Q373" s="5"/>
      <c r="R373" s="3" t="s">
        <v>2104</v>
      </c>
      <c r="S373" s="6">
        <v>46293</v>
      </c>
      <c r="T373" s="24"/>
      <c r="U373" s="3" t="b">
        <v>1</v>
      </c>
      <c r="V373" s="5"/>
      <c r="W373" s="64"/>
      <c r="X373" s="64"/>
      <c r="Y373" s="64"/>
      <c r="Z373" s="64"/>
      <c r="AA373" s="59" t="s">
        <v>2105</v>
      </c>
      <c r="AB373" s="65"/>
      <c r="AC373" s="68"/>
      <c r="AD373" s="65"/>
      <c r="AE373" s="68"/>
      <c r="AF373" s="66"/>
      <c r="AG373" s="68"/>
      <c r="AH373" s="67"/>
      <c r="AI373" s="69"/>
      <c r="AJ373" s="69"/>
      <c r="AK373" s="69"/>
      <c r="AL373" s="86"/>
      <c r="AM373" s="88"/>
      <c r="AN373" s="88"/>
      <c r="AO373" s="88"/>
      <c r="AP373" s="59"/>
      <c r="AQ373" s="68"/>
      <c r="AR373" s="59"/>
      <c r="AS373" s="68"/>
      <c r="AT373" s="59"/>
      <c r="AU373" s="68"/>
    </row>
    <row r="374" spans="1:47" ht="45" customHeight="1">
      <c r="A374" s="3" t="s">
        <v>148</v>
      </c>
      <c r="B374" s="3" t="s">
        <v>539</v>
      </c>
      <c r="C374" s="6">
        <v>46283</v>
      </c>
      <c r="D374" s="3" t="s">
        <v>2106</v>
      </c>
      <c r="E374" s="3" t="s">
        <v>988</v>
      </c>
      <c r="F374" s="20">
        <f>LEN(G374)</f>
        <v>76</v>
      </c>
      <c r="G374" s="3" t="s">
        <v>2107</v>
      </c>
      <c r="H374" s="24" t="s">
        <v>940</v>
      </c>
      <c r="I374" s="24" t="s">
        <v>1987</v>
      </c>
      <c r="J374" s="3" t="s">
        <v>154</v>
      </c>
      <c r="K374" s="3" t="s">
        <v>154</v>
      </c>
      <c r="L374" s="3" t="s">
        <v>155</v>
      </c>
      <c r="M374" s="3" t="s">
        <v>2007</v>
      </c>
      <c r="N374" s="20">
        <v>109526</v>
      </c>
      <c r="O374" s="3" t="s">
        <v>2106</v>
      </c>
      <c r="P374" s="3" t="s">
        <v>157</v>
      </c>
      <c r="Q374" s="5"/>
      <c r="R374" s="3" t="s">
        <v>2108</v>
      </c>
      <c r="S374" s="6">
        <v>46293</v>
      </c>
      <c r="T374" s="24"/>
      <c r="U374" s="3" t="b">
        <v>1</v>
      </c>
      <c r="V374" s="5"/>
      <c r="W374" s="64"/>
      <c r="X374" s="64"/>
      <c r="Y374" s="64"/>
      <c r="Z374" s="64"/>
      <c r="AA374" s="59" t="s">
        <v>2109</v>
      </c>
      <c r="AB374" s="65"/>
      <c r="AC374" s="68"/>
      <c r="AD374" s="65"/>
      <c r="AE374" s="68"/>
      <c r="AF374" s="66"/>
      <c r="AG374" s="68"/>
      <c r="AH374" s="67"/>
      <c r="AI374" s="69"/>
      <c r="AJ374" s="69"/>
      <c r="AK374" s="69"/>
      <c r="AL374" s="86"/>
      <c r="AM374" s="88"/>
      <c r="AN374" s="88"/>
      <c r="AO374" s="88"/>
      <c r="AP374" s="59"/>
      <c r="AQ374" s="68"/>
      <c r="AR374" s="59"/>
      <c r="AS374" s="68"/>
      <c r="AT374" s="59"/>
      <c r="AU374" s="68"/>
    </row>
    <row r="375" spans="1:47" ht="45" customHeight="1">
      <c r="A375" s="3" t="s">
        <v>148</v>
      </c>
      <c r="B375" s="3" t="s">
        <v>539</v>
      </c>
      <c r="C375" s="6">
        <v>46283</v>
      </c>
      <c r="D375" s="3" t="s">
        <v>2110</v>
      </c>
      <c r="E375" s="3" t="s">
        <v>988</v>
      </c>
      <c r="F375" s="20">
        <f>LEN(G375)</f>
        <v>64</v>
      </c>
      <c r="G375" s="3" t="s">
        <v>2111</v>
      </c>
      <c r="H375" s="24" t="s">
        <v>940</v>
      </c>
      <c r="I375" s="24" t="s">
        <v>1987</v>
      </c>
      <c r="J375" s="3" t="s">
        <v>154</v>
      </c>
      <c r="K375" s="3" t="s">
        <v>154</v>
      </c>
      <c r="L375" s="3" t="s">
        <v>155</v>
      </c>
      <c r="M375" s="3" t="s">
        <v>2007</v>
      </c>
      <c r="N375" s="20">
        <v>109526</v>
      </c>
      <c r="O375" s="3" t="s">
        <v>2110</v>
      </c>
      <c r="P375" s="3" t="s">
        <v>157</v>
      </c>
      <c r="Q375" s="5"/>
      <c r="R375" s="3" t="s">
        <v>2112</v>
      </c>
      <c r="S375" s="6">
        <v>46293</v>
      </c>
      <c r="T375" s="24"/>
      <c r="U375" s="3" t="b">
        <v>1</v>
      </c>
      <c r="V375" s="5"/>
      <c r="W375" s="64"/>
      <c r="X375" s="64"/>
      <c r="Y375" s="64"/>
      <c r="Z375" s="64"/>
      <c r="AA375" s="59" t="s">
        <v>2113</v>
      </c>
      <c r="AB375" s="65"/>
      <c r="AC375" s="68"/>
      <c r="AD375" s="65"/>
      <c r="AE375" s="68"/>
      <c r="AF375" s="66"/>
      <c r="AG375" s="68"/>
      <c r="AH375" s="67"/>
      <c r="AI375" s="69"/>
      <c r="AJ375" s="69"/>
      <c r="AK375" s="69"/>
      <c r="AL375" s="86"/>
      <c r="AM375" s="88"/>
      <c r="AN375" s="88"/>
      <c r="AO375" s="88"/>
      <c r="AP375" s="59"/>
      <c r="AQ375" s="68"/>
      <c r="AR375" s="59"/>
      <c r="AS375" s="68"/>
      <c r="AT375" s="59"/>
      <c r="AU375" s="68"/>
    </row>
    <row r="376" spans="1:47" ht="45" customHeight="1">
      <c r="A376" s="3" t="s">
        <v>148</v>
      </c>
      <c r="B376" s="3" t="s">
        <v>539</v>
      </c>
      <c r="C376" s="6">
        <v>46283</v>
      </c>
      <c r="D376" s="3" t="s">
        <v>2114</v>
      </c>
      <c r="E376" s="3" t="s">
        <v>988</v>
      </c>
      <c r="F376" s="20">
        <f>LEN(G376)</f>
        <v>42</v>
      </c>
      <c r="G376" s="3" t="s">
        <v>2115</v>
      </c>
      <c r="H376" s="24" t="s">
        <v>940</v>
      </c>
      <c r="I376" s="24" t="s">
        <v>1987</v>
      </c>
      <c r="J376" s="3" t="s">
        <v>154</v>
      </c>
      <c r="K376" s="3" t="s">
        <v>154</v>
      </c>
      <c r="L376" s="3" t="s">
        <v>155</v>
      </c>
      <c r="M376" s="3" t="s">
        <v>2007</v>
      </c>
      <c r="N376" s="20">
        <v>109526</v>
      </c>
      <c r="O376" s="3" t="s">
        <v>2114</v>
      </c>
      <c r="P376" s="3" t="s">
        <v>157</v>
      </c>
      <c r="Q376" s="5"/>
      <c r="R376" s="3" t="s">
        <v>2116</v>
      </c>
      <c r="S376" s="6">
        <v>46293</v>
      </c>
      <c r="T376" s="24"/>
      <c r="U376" s="3" t="b">
        <v>1</v>
      </c>
      <c r="V376" s="5"/>
      <c r="W376" s="64"/>
      <c r="X376" s="64"/>
      <c r="Y376" s="64"/>
      <c r="Z376" s="64"/>
      <c r="AA376" s="59" t="s">
        <v>2117</v>
      </c>
      <c r="AB376" s="65"/>
      <c r="AC376" s="68"/>
      <c r="AD376" s="65"/>
      <c r="AE376" s="68"/>
      <c r="AF376" s="66"/>
      <c r="AG376" s="68"/>
      <c r="AH376" s="67"/>
      <c r="AI376" s="69"/>
      <c r="AJ376" s="69"/>
      <c r="AK376" s="69"/>
      <c r="AL376" s="86"/>
      <c r="AM376" s="88"/>
      <c r="AN376" s="88"/>
      <c r="AO376" s="88"/>
      <c r="AP376" s="59"/>
      <c r="AQ376" s="68"/>
      <c r="AR376" s="59"/>
      <c r="AS376" s="68"/>
      <c r="AT376" s="59"/>
      <c r="AU376" s="68"/>
    </row>
    <row r="377" spans="1:47" ht="45" customHeight="1">
      <c r="A377" s="3" t="s">
        <v>148</v>
      </c>
      <c r="B377" s="3" t="s">
        <v>539</v>
      </c>
      <c r="C377" s="6">
        <v>46283</v>
      </c>
      <c r="D377" s="3" t="s">
        <v>2118</v>
      </c>
      <c r="E377" s="3" t="s">
        <v>988</v>
      </c>
      <c r="F377" s="20">
        <f>LEN(G377)</f>
        <v>64</v>
      </c>
      <c r="G377" s="3" t="s">
        <v>2119</v>
      </c>
      <c r="H377" s="24" t="s">
        <v>940</v>
      </c>
      <c r="I377" s="24" t="s">
        <v>1987</v>
      </c>
      <c r="J377" s="3" t="s">
        <v>154</v>
      </c>
      <c r="K377" s="3" t="s">
        <v>154</v>
      </c>
      <c r="L377" s="3" t="s">
        <v>155</v>
      </c>
      <c r="M377" s="3" t="s">
        <v>2007</v>
      </c>
      <c r="N377" s="20">
        <v>109526</v>
      </c>
      <c r="O377" s="3" t="s">
        <v>2118</v>
      </c>
      <c r="P377" s="3" t="s">
        <v>157</v>
      </c>
      <c r="Q377" s="5"/>
      <c r="R377" s="3" t="s">
        <v>2120</v>
      </c>
      <c r="S377" s="6">
        <v>46293</v>
      </c>
      <c r="T377" s="24"/>
      <c r="U377" s="3" t="b">
        <v>1</v>
      </c>
      <c r="V377" s="5"/>
      <c r="W377" s="64"/>
      <c r="X377" s="64"/>
      <c r="Y377" s="64"/>
      <c r="Z377" s="64"/>
      <c r="AA377" s="59" t="s">
        <v>2121</v>
      </c>
      <c r="AB377" s="65"/>
      <c r="AC377" s="68"/>
      <c r="AD377" s="65"/>
      <c r="AE377" s="68"/>
      <c r="AF377" s="66"/>
      <c r="AG377" s="68"/>
      <c r="AH377" s="67"/>
      <c r="AI377" s="69"/>
      <c r="AJ377" s="69"/>
      <c r="AK377" s="69"/>
      <c r="AL377" s="86"/>
      <c r="AM377" s="88"/>
      <c r="AN377" s="88"/>
      <c r="AO377" s="88"/>
      <c r="AP377" s="59"/>
      <c r="AQ377" s="68"/>
      <c r="AR377" s="59"/>
      <c r="AS377" s="68"/>
      <c r="AT377" s="59"/>
      <c r="AU377" s="68"/>
    </row>
    <row r="378" spans="1:47" ht="45" customHeight="1">
      <c r="A378" s="3" t="s">
        <v>148</v>
      </c>
      <c r="B378" s="3" t="s">
        <v>539</v>
      </c>
      <c r="C378" s="6">
        <v>46283</v>
      </c>
      <c r="D378" s="3" t="s">
        <v>2122</v>
      </c>
      <c r="E378" s="3" t="s">
        <v>988</v>
      </c>
      <c r="F378" s="20">
        <f>LEN(G378)</f>
        <v>34</v>
      </c>
      <c r="G378" s="3" t="s">
        <v>2123</v>
      </c>
      <c r="H378" s="24" t="s">
        <v>940</v>
      </c>
      <c r="I378" s="24" t="s">
        <v>1987</v>
      </c>
      <c r="J378" s="3" t="s">
        <v>154</v>
      </c>
      <c r="K378" s="3" t="s">
        <v>154</v>
      </c>
      <c r="L378" s="3" t="s">
        <v>155</v>
      </c>
      <c r="M378" s="3" t="s">
        <v>2007</v>
      </c>
      <c r="N378" s="20">
        <v>109526</v>
      </c>
      <c r="O378" s="3" t="s">
        <v>2122</v>
      </c>
      <c r="P378" s="3" t="s">
        <v>157</v>
      </c>
      <c r="Q378" s="5"/>
      <c r="R378" s="3" t="s">
        <v>2124</v>
      </c>
      <c r="S378" s="6">
        <v>46293</v>
      </c>
      <c r="T378" s="24"/>
      <c r="U378" s="3" t="b">
        <v>1</v>
      </c>
      <c r="V378" s="5"/>
      <c r="W378" s="64"/>
      <c r="X378" s="64"/>
      <c r="Y378" s="64"/>
      <c r="Z378" s="64"/>
      <c r="AA378" s="59" t="s">
        <v>2125</v>
      </c>
      <c r="AB378" s="65"/>
      <c r="AC378" s="68"/>
      <c r="AD378" s="65"/>
      <c r="AE378" s="68"/>
      <c r="AF378" s="66"/>
      <c r="AG378" s="68"/>
      <c r="AH378" s="67"/>
      <c r="AI378" s="69"/>
      <c r="AJ378" s="69"/>
      <c r="AK378" s="69"/>
      <c r="AL378" s="86"/>
      <c r="AM378" s="88"/>
      <c r="AN378" s="88"/>
      <c r="AO378" s="88"/>
      <c r="AP378" s="59"/>
      <c r="AQ378" s="68"/>
      <c r="AR378" s="59"/>
      <c r="AS378" s="68"/>
      <c r="AT378" s="59"/>
      <c r="AU378" s="68"/>
    </row>
    <row r="379" spans="1:47" ht="45" customHeight="1">
      <c r="A379" s="3" t="s">
        <v>148</v>
      </c>
      <c r="B379" s="3" t="s">
        <v>539</v>
      </c>
      <c r="C379" s="6">
        <v>46283</v>
      </c>
      <c r="D379" s="3" t="s">
        <v>2126</v>
      </c>
      <c r="E379" s="3" t="s">
        <v>988</v>
      </c>
      <c r="F379" s="20">
        <f>LEN(G379)</f>
        <v>46</v>
      </c>
      <c r="G379" s="3" t="s">
        <v>2127</v>
      </c>
      <c r="H379" s="24" t="s">
        <v>940</v>
      </c>
      <c r="I379" s="24" t="s">
        <v>1987</v>
      </c>
      <c r="J379" s="3" t="s">
        <v>154</v>
      </c>
      <c r="K379" s="3" t="s">
        <v>154</v>
      </c>
      <c r="L379" s="3" t="s">
        <v>155</v>
      </c>
      <c r="M379" s="3" t="s">
        <v>2007</v>
      </c>
      <c r="N379" s="20">
        <v>109526</v>
      </c>
      <c r="O379" s="3" t="s">
        <v>2126</v>
      </c>
      <c r="P379" s="3" t="s">
        <v>157</v>
      </c>
      <c r="Q379" s="5"/>
      <c r="R379" s="3" t="s">
        <v>2128</v>
      </c>
      <c r="S379" s="6">
        <v>46293</v>
      </c>
      <c r="T379" s="24"/>
      <c r="U379" s="3" t="b">
        <v>1</v>
      </c>
      <c r="V379" s="5"/>
      <c r="W379" s="64"/>
      <c r="X379" s="64"/>
      <c r="Y379" s="64"/>
      <c r="Z379" s="64"/>
      <c r="AA379" s="59" t="s">
        <v>2129</v>
      </c>
      <c r="AB379" s="65"/>
      <c r="AC379" s="68"/>
      <c r="AD379" s="65"/>
      <c r="AE379" s="68"/>
      <c r="AF379" s="66"/>
      <c r="AG379" s="68"/>
      <c r="AH379" s="67"/>
      <c r="AI379" s="69"/>
      <c r="AJ379" s="69"/>
      <c r="AK379" s="69"/>
      <c r="AL379" s="86"/>
      <c r="AM379" s="88"/>
      <c r="AN379" s="88"/>
      <c r="AO379" s="88"/>
      <c r="AP379" s="59"/>
      <c r="AQ379" s="68"/>
      <c r="AR379" s="59"/>
      <c r="AS379" s="68"/>
      <c r="AT379" s="59"/>
      <c r="AU379" s="68"/>
    </row>
    <row r="380" spans="1:47" ht="45" customHeight="1">
      <c r="A380" s="3" t="s">
        <v>148</v>
      </c>
      <c r="B380" s="3" t="s">
        <v>539</v>
      </c>
      <c r="C380" s="6">
        <v>46283</v>
      </c>
      <c r="D380" s="3" t="s">
        <v>2130</v>
      </c>
      <c r="E380" s="3" t="s">
        <v>988</v>
      </c>
      <c r="F380" s="20">
        <f>LEN(G380)</f>
        <v>34</v>
      </c>
      <c r="G380" s="3" t="s">
        <v>2131</v>
      </c>
      <c r="H380" s="24" t="s">
        <v>940</v>
      </c>
      <c r="I380" s="24" t="s">
        <v>1987</v>
      </c>
      <c r="J380" s="3" t="s">
        <v>154</v>
      </c>
      <c r="K380" s="3" t="s">
        <v>154</v>
      </c>
      <c r="L380" s="3" t="s">
        <v>155</v>
      </c>
      <c r="M380" s="3" t="s">
        <v>2007</v>
      </c>
      <c r="N380" s="20">
        <v>109526</v>
      </c>
      <c r="O380" s="3" t="s">
        <v>2130</v>
      </c>
      <c r="P380" s="3" t="s">
        <v>157</v>
      </c>
      <c r="Q380" s="5"/>
      <c r="R380" s="3" t="s">
        <v>2132</v>
      </c>
      <c r="S380" s="6">
        <v>46293</v>
      </c>
      <c r="T380" s="24"/>
      <c r="U380" s="3" t="b">
        <v>1</v>
      </c>
      <c r="V380" s="5"/>
      <c r="W380" s="64"/>
      <c r="X380" s="64"/>
      <c r="Y380" s="64"/>
      <c r="Z380" s="64"/>
      <c r="AA380" s="59" t="s">
        <v>2133</v>
      </c>
      <c r="AB380" s="65"/>
      <c r="AC380" s="68"/>
      <c r="AD380" s="65"/>
      <c r="AE380" s="68"/>
      <c r="AF380" s="66"/>
      <c r="AG380" s="68"/>
      <c r="AH380" s="67"/>
      <c r="AI380" s="69"/>
      <c r="AJ380" s="69"/>
      <c r="AK380" s="69"/>
      <c r="AL380" s="86"/>
      <c r="AM380" s="88"/>
      <c r="AN380" s="88"/>
      <c r="AO380" s="88"/>
      <c r="AP380" s="59"/>
      <c r="AQ380" s="68"/>
      <c r="AR380" s="59"/>
      <c r="AS380" s="68"/>
      <c r="AT380" s="59"/>
      <c r="AU380" s="68"/>
    </row>
    <row r="381" spans="1:47" ht="45" customHeight="1">
      <c r="A381" s="3" t="s">
        <v>148</v>
      </c>
      <c r="B381" s="3" t="s">
        <v>539</v>
      </c>
      <c r="C381" s="6">
        <v>46283</v>
      </c>
      <c r="D381" s="3" t="s">
        <v>2134</v>
      </c>
      <c r="E381" s="3" t="s">
        <v>988</v>
      </c>
      <c r="F381" s="20">
        <f>LEN(G381)</f>
        <v>41</v>
      </c>
      <c r="G381" s="3" t="s">
        <v>2135</v>
      </c>
      <c r="H381" s="24" t="s">
        <v>940</v>
      </c>
      <c r="I381" s="24" t="s">
        <v>1987</v>
      </c>
      <c r="J381" s="3" t="s">
        <v>154</v>
      </c>
      <c r="K381" s="3" t="s">
        <v>154</v>
      </c>
      <c r="L381" s="3" t="s">
        <v>155</v>
      </c>
      <c r="M381" s="3" t="s">
        <v>2007</v>
      </c>
      <c r="N381" s="20">
        <v>109526</v>
      </c>
      <c r="O381" s="3" t="s">
        <v>2134</v>
      </c>
      <c r="P381" s="3" t="s">
        <v>157</v>
      </c>
      <c r="Q381" s="5"/>
      <c r="R381" s="3" t="s">
        <v>2136</v>
      </c>
      <c r="S381" s="6">
        <v>46293</v>
      </c>
      <c r="T381" s="24"/>
      <c r="U381" s="3" t="b">
        <v>1</v>
      </c>
      <c r="V381" s="5"/>
      <c r="W381" s="64"/>
      <c r="X381" s="64"/>
      <c r="Y381" s="64"/>
      <c r="Z381" s="64"/>
      <c r="AA381" s="59" t="s">
        <v>2137</v>
      </c>
      <c r="AB381" s="65"/>
      <c r="AC381" s="68"/>
      <c r="AD381" s="65"/>
      <c r="AE381" s="68"/>
      <c r="AF381" s="66"/>
      <c r="AG381" s="68"/>
      <c r="AH381" s="67"/>
      <c r="AI381" s="69"/>
      <c r="AJ381" s="69"/>
      <c r="AK381" s="69"/>
      <c r="AL381" s="86"/>
      <c r="AM381" s="88"/>
      <c r="AN381" s="88"/>
      <c r="AO381" s="88"/>
      <c r="AP381" s="59"/>
      <c r="AQ381" s="68"/>
      <c r="AR381" s="59"/>
      <c r="AS381" s="68"/>
      <c r="AT381" s="59"/>
      <c r="AU381" s="68"/>
    </row>
    <row r="382" spans="1:47" ht="45" customHeight="1">
      <c r="A382" s="3" t="s">
        <v>148</v>
      </c>
      <c r="B382" s="3" t="s">
        <v>539</v>
      </c>
      <c r="C382" s="6">
        <v>46283</v>
      </c>
      <c r="D382" s="3" t="s">
        <v>2138</v>
      </c>
      <c r="E382" s="3" t="s">
        <v>988</v>
      </c>
      <c r="F382" s="20">
        <f>LEN(G382)</f>
        <v>38</v>
      </c>
      <c r="G382" s="3" t="s">
        <v>2139</v>
      </c>
      <c r="H382" s="24" t="s">
        <v>940</v>
      </c>
      <c r="I382" s="24" t="s">
        <v>1987</v>
      </c>
      <c r="J382" s="3" t="s">
        <v>154</v>
      </c>
      <c r="K382" s="3" t="s">
        <v>154</v>
      </c>
      <c r="L382" s="3" t="s">
        <v>155</v>
      </c>
      <c r="M382" s="3" t="s">
        <v>2007</v>
      </c>
      <c r="N382" s="20">
        <v>109526</v>
      </c>
      <c r="O382" s="3" t="s">
        <v>2138</v>
      </c>
      <c r="P382" s="3" t="s">
        <v>157</v>
      </c>
      <c r="Q382" s="5"/>
      <c r="R382" s="3" t="s">
        <v>2140</v>
      </c>
      <c r="S382" s="6">
        <v>46293</v>
      </c>
      <c r="T382" s="24"/>
      <c r="U382" s="3" t="b">
        <v>1</v>
      </c>
      <c r="V382" s="5"/>
      <c r="W382" s="64"/>
      <c r="X382" s="64"/>
      <c r="Y382" s="64"/>
      <c r="Z382" s="64"/>
      <c r="AA382" s="59" t="s">
        <v>2141</v>
      </c>
      <c r="AB382" s="65"/>
      <c r="AC382" s="68"/>
      <c r="AD382" s="65"/>
      <c r="AE382" s="68"/>
      <c r="AF382" s="66"/>
      <c r="AG382" s="68"/>
      <c r="AH382" s="67"/>
      <c r="AI382" s="69"/>
      <c r="AJ382" s="69"/>
      <c r="AK382" s="69"/>
      <c r="AL382" s="86"/>
      <c r="AM382" s="88"/>
      <c r="AN382" s="88"/>
      <c r="AO382" s="88"/>
      <c r="AP382" s="59"/>
      <c r="AQ382" s="68"/>
      <c r="AR382" s="59"/>
      <c r="AS382" s="68"/>
      <c r="AT382" s="59"/>
      <c r="AU382" s="68"/>
    </row>
    <row r="383" spans="1:47" ht="45" customHeight="1">
      <c r="A383" s="3" t="s">
        <v>148</v>
      </c>
      <c r="B383" s="3" t="s">
        <v>539</v>
      </c>
      <c r="C383" s="6">
        <v>46283</v>
      </c>
      <c r="D383" s="3" t="s">
        <v>2142</v>
      </c>
      <c r="E383" s="3" t="s">
        <v>988</v>
      </c>
      <c r="F383" s="20">
        <f>LEN(G383)</f>
        <v>50</v>
      </c>
      <c r="G383" s="3" t="s">
        <v>2143</v>
      </c>
      <c r="H383" s="24" t="s">
        <v>940</v>
      </c>
      <c r="I383" s="24" t="s">
        <v>1987</v>
      </c>
      <c r="J383" s="3" t="s">
        <v>154</v>
      </c>
      <c r="K383" s="3" t="s">
        <v>154</v>
      </c>
      <c r="L383" s="3" t="s">
        <v>155</v>
      </c>
      <c r="M383" s="3" t="s">
        <v>2007</v>
      </c>
      <c r="N383" s="20">
        <v>109526</v>
      </c>
      <c r="O383" s="3" t="s">
        <v>2142</v>
      </c>
      <c r="P383" s="3" t="s">
        <v>157</v>
      </c>
      <c r="Q383" s="5"/>
      <c r="R383" s="3" t="s">
        <v>2144</v>
      </c>
      <c r="S383" s="6">
        <v>46293</v>
      </c>
      <c r="T383" s="24"/>
      <c r="U383" s="3" t="b">
        <v>1</v>
      </c>
      <c r="V383" s="5"/>
      <c r="W383" s="64"/>
      <c r="X383" s="64"/>
      <c r="Y383" s="64"/>
      <c r="Z383" s="64"/>
      <c r="AA383" s="59" t="s">
        <v>2145</v>
      </c>
      <c r="AB383" s="65"/>
      <c r="AC383" s="68"/>
      <c r="AD383" s="65"/>
      <c r="AE383" s="68"/>
      <c r="AF383" s="66"/>
      <c r="AG383" s="68"/>
      <c r="AH383" s="67"/>
      <c r="AI383" s="69"/>
      <c r="AJ383" s="69"/>
      <c r="AK383" s="69"/>
      <c r="AL383" s="86"/>
      <c r="AM383" s="88"/>
      <c r="AN383" s="88"/>
      <c r="AO383" s="88"/>
      <c r="AP383" s="59"/>
      <c r="AQ383" s="68"/>
      <c r="AR383" s="59"/>
      <c r="AS383" s="68"/>
      <c r="AT383" s="59"/>
      <c r="AU383" s="68"/>
    </row>
    <row r="384" spans="1:47" ht="45" customHeight="1">
      <c r="A384" s="3" t="s">
        <v>148</v>
      </c>
      <c r="B384" s="3" t="s">
        <v>539</v>
      </c>
      <c r="C384" s="6">
        <v>46283</v>
      </c>
      <c r="D384" s="3" t="s">
        <v>2146</v>
      </c>
      <c r="E384" s="3" t="s">
        <v>988</v>
      </c>
      <c r="F384" s="20">
        <f>LEN(G384)</f>
        <v>52</v>
      </c>
      <c r="G384" s="3" t="s">
        <v>2147</v>
      </c>
      <c r="H384" s="24" t="s">
        <v>940</v>
      </c>
      <c r="I384" s="24" t="s">
        <v>1987</v>
      </c>
      <c r="J384" s="3" t="s">
        <v>154</v>
      </c>
      <c r="K384" s="3" t="s">
        <v>154</v>
      </c>
      <c r="L384" s="3" t="s">
        <v>155</v>
      </c>
      <c r="M384" s="3" t="s">
        <v>2007</v>
      </c>
      <c r="N384" s="20">
        <v>109526</v>
      </c>
      <c r="O384" s="3" t="s">
        <v>2146</v>
      </c>
      <c r="P384" s="3" t="s">
        <v>157</v>
      </c>
      <c r="Q384" s="5"/>
      <c r="R384" s="3" t="s">
        <v>2148</v>
      </c>
      <c r="S384" s="6">
        <v>46293</v>
      </c>
      <c r="T384" s="24"/>
      <c r="U384" s="3" t="b">
        <v>1</v>
      </c>
      <c r="V384" s="5"/>
      <c r="W384" s="64"/>
      <c r="X384" s="64"/>
      <c r="Y384" s="64"/>
      <c r="Z384" s="64"/>
      <c r="AA384" s="59" t="s">
        <v>2149</v>
      </c>
      <c r="AB384" s="65"/>
      <c r="AC384" s="68"/>
      <c r="AD384" s="65"/>
      <c r="AE384" s="68"/>
      <c r="AF384" s="66"/>
      <c r="AG384" s="68"/>
      <c r="AH384" s="67"/>
      <c r="AI384" s="69"/>
      <c r="AJ384" s="69"/>
      <c r="AK384" s="69"/>
      <c r="AL384" s="86"/>
      <c r="AM384" s="88"/>
      <c r="AN384" s="88"/>
      <c r="AO384" s="88"/>
      <c r="AP384" s="59"/>
      <c r="AQ384" s="68"/>
      <c r="AR384" s="59"/>
      <c r="AS384" s="68"/>
      <c r="AT384" s="59"/>
      <c r="AU384" s="68"/>
    </row>
    <row r="385" spans="1:47" ht="45" customHeight="1">
      <c r="A385" s="3" t="s">
        <v>148</v>
      </c>
      <c r="B385" s="3" t="s">
        <v>539</v>
      </c>
      <c r="C385" s="6">
        <v>46283</v>
      </c>
      <c r="D385" s="3" t="s">
        <v>2150</v>
      </c>
      <c r="E385" s="3" t="s">
        <v>988</v>
      </c>
      <c r="F385" s="20">
        <f>LEN(G385)</f>
        <v>49</v>
      </c>
      <c r="G385" s="3" t="s">
        <v>2151</v>
      </c>
      <c r="H385" s="24" t="s">
        <v>940</v>
      </c>
      <c r="I385" s="3" t="s">
        <v>1987</v>
      </c>
      <c r="J385" s="3" t="s">
        <v>154</v>
      </c>
      <c r="K385" s="3" t="s">
        <v>154</v>
      </c>
      <c r="L385" s="3" t="s">
        <v>155</v>
      </c>
      <c r="M385" s="3" t="s">
        <v>2007</v>
      </c>
      <c r="N385" s="20">
        <v>109526</v>
      </c>
      <c r="O385" s="3" t="s">
        <v>2150</v>
      </c>
      <c r="P385" s="3" t="s">
        <v>157</v>
      </c>
      <c r="Q385" s="5"/>
      <c r="R385" s="3" t="s">
        <v>2152</v>
      </c>
      <c r="S385" s="5"/>
      <c r="T385" s="24" t="s">
        <v>2153</v>
      </c>
      <c r="U385" s="3" t="b">
        <v>0</v>
      </c>
      <c r="V385" s="5"/>
      <c r="W385" s="64"/>
      <c r="X385" s="64"/>
      <c r="Y385" s="64"/>
      <c r="Z385" s="64"/>
      <c r="AA385" s="59" t="s">
        <v>2154</v>
      </c>
      <c r="AB385" s="65"/>
      <c r="AC385" s="68"/>
      <c r="AD385" s="65"/>
      <c r="AE385" s="68"/>
      <c r="AF385" s="66"/>
      <c r="AG385" s="68"/>
      <c r="AH385" s="67"/>
      <c r="AI385" s="69"/>
      <c r="AJ385" s="69"/>
      <c r="AK385" s="69"/>
      <c r="AL385" s="86"/>
      <c r="AM385" s="88"/>
      <c r="AN385" s="88"/>
      <c r="AO385" s="88"/>
      <c r="AP385" s="59"/>
      <c r="AQ385" s="68"/>
      <c r="AR385" s="59"/>
      <c r="AS385" s="68"/>
      <c r="AT385" s="59"/>
      <c r="AU385" s="68"/>
    </row>
    <row r="386" spans="1:47" ht="45" customHeight="1">
      <c r="A386" s="3" t="s">
        <v>148</v>
      </c>
      <c r="B386" s="3" t="s">
        <v>539</v>
      </c>
      <c r="C386" s="6">
        <v>46283</v>
      </c>
      <c r="D386" s="3" t="s">
        <v>2155</v>
      </c>
      <c r="E386" s="3" t="s">
        <v>988</v>
      </c>
      <c r="F386" s="20">
        <f>LEN(G386)</f>
        <v>34</v>
      </c>
      <c r="G386" s="3" t="s">
        <v>2156</v>
      </c>
      <c r="H386" s="24" t="s">
        <v>940</v>
      </c>
      <c r="I386" s="24" t="s">
        <v>1987</v>
      </c>
      <c r="J386" s="3" t="s">
        <v>154</v>
      </c>
      <c r="K386" s="3" t="s">
        <v>154</v>
      </c>
      <c r="L386" s="3" t="s">
        <v>155</v>
      </c>
      <c r="M386" s="3" t="s">
        <v>2007</v>
      </c>
      <c r="N386" s="20">
        <v>109526</v>
      </c>
      <c r="O386" s="3" t="s">
        <v>2155</v>
      </c>
      <c r="P386" s="3" t="s">
        <v>157</v>
      </c>
      <c r="Q386" s="5"/>
      <c r="R386" s="3" t="s">
        <v>2157</v>
      </c>
      <c r="S386" s="6">
        <v>46293</v>
      </c>
      <c r="T386" s="24"/>
      <c r="U386" s="3" t="b">
        <v>1</v>
      </c>
      <c r="V386" s="5"/>
      <c r="W386" s="64"/>
      <c r="X386" s="64"/>
      <c r="Y386" s="64"/>
      <c r="Z386" s="64"/>
      <c r="AA386" s="59" t="s">
        <v>2158</v>
      </c>
      <c r="AB386" s="65"/>
      <c r="AC386" s="68"/>
      <c r="AD386" s="65"/>
      <c r="AE386" s="68"/>
      <c r="AF386" s="66"/>
      <c r="AG386" s="68"/>
      <c r="AH386" s="67"/>
      <c r="AI386" s="69"/>
      <c r="AJ386" s="69"/>
      <c r="AK386" s="69"/>
      <c r="AL386" s="86"/>
      <c r="AM386" s="88"/>
      <c r="AN386" s="88"/>
      <c r="AO386" s="88"/>
      <c r="AP386" s="59"/>
      <c r="AQ386" s="68"/>
      <c r="AR386" s="59"/>
      <c r="AS386" s="68"/>
      <c r="AT386" s="59"/>
      <c r="AU386" s="68"/>
    </row>
    <row r="387" spans="1:47" ht="45" customHeight="1">
      <c r="A387" s="3" t="s">
        <v>148</v>
      </c>
      <c r="B387" s="3" t="s">
        <v>539</v>
      </c>
      <c r="C387" s="6">
        <v>46283</v>
      </c>
      <c r="D387" s="3" t="s">
        <v>2159</v>
      </c>
      <c r="E387" s="3" t="s">
        <v>988</v>
      </c>
      <c r="F387" s="20">
        <f>LEN(G387)</f>
        <v>53</v>
      </c>
      <c r="G387" s="3" t="s">
        <v>2160</v>
      </c>
      <c r="H387" s="24" t="s">
        <v>940</v>
      </c>
      <c r="I387" s="24" t="s">
        <v>1987</v>
      </c>
      <c r="J387" s="3" t="s">
        <v>154</v>
      </c>
      <c r="K387" s="3" t="s">
        <v>154</v>
      </c>
      <c r="L387" s="3" t="s">
        <v>155</v>
      </c>
      <c r="M387" s="3" t="s">
        <v>2007</v>
      </c>
      <c r="N387" s="20">
        <v>109526</v>
      </c>
      <c r="O387" s="3" t="s">
        <v>2159</v>
      </c>
      <c r="P387" s="3" t="s">
        <v>157</v>
      </c>
      <c r="Q387" s="5"/>
      <c r="R387" s="3" t="s">
        <v>2161</v>
      </c>
      <c r="S387" s="6">
        <v>46293</v>
      </c>
      <c r="T387" s="24"/>
      <c r="U387" s="3" t="b">
        <v>1</v>
      </c>
      <c r="V387" s="5"/>
      <c r="W387" s="64"/>
      <c r="X387" s="64"/>
      <c r="Y387" s="64"/>
      <c r="Z387" s="64"/>
      <c r="AA387" s="59" t="s">
        <v>2162</v>
      </c>
      <c r="AB387" s="65"/>
      <c r="AC387" s="68"/>
      <c r="AD387" s="65"/>
      <c r="AE387" s="68"/>
      <c r="AF387" s="66"/>
      <c r="AG387" s="68"/>
      <c r="AH387" s="67"/>
      <c r="AI387" s="69"/>
      <c r="AJ387" s="69"/>
      <c r="AK387" s="69"/>
      <c r="AL387" s="86"/>
      <c r="AM387" s="88"/>
      <c r="AN387" s="88"/>
      <c r="AO387" s="88"/>
      <c r="AP387" s="59"/>
      <c r="AQ387" s="68"/>
      <c r="AR387" s="59"/>
      <c r="AS387" s="68"/>
      <c r="AT387" s="59"/>
      <c r="AU387" s="68"/>
    </row>
    <row r="388" spans="1:47" ht="45" customHeight="1">
      <c r="A388" s="3" t="s">
        <v>148</v>
      </c>
      <c r="B388" s="3" t="s">
        <v>539</v>
      </c>
      <c r="C388" s="6">
        <v>46283</v>
      </c>
      <c r="D388" s="3" t="s">
        <v>2163</v>
      </c>
      <c r="E388" s="3" t="s">
        <v>988</v>
      </c>
      <c r="F388" s="20">
        <f>LEN(G388)</f>
        <v>43</v>
      </c>
      <c r="G388" s="3" t="s">
        <v>2164</v>
      </c>
      <c r="H388" s="24" t="s">
        <v>940</v>
      </c>
      <c r="I388" s="24" t="s">
        <v>1987</v>
      </c>
      <c r="J388" s="3" t="s">
        <v>154</v>
      </c>
      <c r="K388" s="3" t="s">
        <v>154</v>
      </c>
      <c r="L388" s="3" t="s">
        <v>155</v>
      </c>
      <c r="M388" s="3" t="s">
        <v>2007</v>
      </c>
      <c r="N388" s="20">
        <v>109526</v>
      </c>
      <c r="O388" s="3" t="s">
        <v>2163</v>
      </c>
      <c r="P388" s="3" t="s">
        <v>157</v>
      </c>
      <c r="Q388" s="5"/>
      <c r="R388" s="3" t="s">
        <v>2165</v>
      </c>
      <c r="S388" s="6">
        <v>46293</v>
      </c>
      <c r="T388" s="24"/>
      <c r="U388" s="3" t="b">
        <v>1</v>
      </c>
      <c r="V388" s="5"/>
      <c r="W388" s="64"/>
      <c r="X388" s="64"/>
      <c r="Y388" s="64"/>
      <c r="Z388" s="64"/>
      <c r="AA388" s="59" t="s">
        <v>2166</v>
      </c>
      <c r="AB388" s="65"/>
      <c r="AC388" s="68"/>
      <c r="AD388" s="65"/>
      <c r="AE388" s="68"/>
      <c r="AF388" s="66"/>
      <c r="AG388" s="68"/>
      <c r="AH388" s="67"/>
      <c r="AI388" s="69"/>
      <c r="AJ388" s="69"/>
      <c r="AK388" s="69"/>
      <c r="AL388" s="86"/>
      <c r="AM388" s="88"/>
      <c r="AN388" s="88"/>
      <c r="AO388" s="88"/>
      <c r="AP388" s="59"/>
      <c r="AQ388" s="68"/>
      <c r="AR388" s="59"/>
      <c r="AS388" s="68"/>
      <c r="AT388" s="59"/>
      <c r="AU388" s="68"/>
    </row>
    <row r="389" spans="1:47" ht="45" customHeight="1">
      <c r="A389" s="3" t="s">
        <v>148</v>
      </c>
      <c r="B389" s="3" t="s">
        <v>539</v>
      </c>
      <c r="C389" s="6">
        <v>46283</v>
      </c>
      <c r="D389" s="3" t="s">
        <v>2167</v>
      </c>
      <c r="E389" s="3" t="s">
        <v>988</v>
      </c>
      <c r="F389" s="20">
        <f>LEN(G389)</f>
        <v>34</v>
      </c>
      <c r="G389" s="3" t="s">
        <v>2168</v>
      </c>
      <c r="H389" s="24" t="s">
        <v>940</v>
      </c>
      <c r="I389" s="24" t="s">
        <v>1987</v>
      </c>
      <c r="J389" s="3" t="s">
        <v>154</v>
      </c>
      <c r="K389" s="3" t="s">
        <v>154</v>
      </c>
      <c r="L389" s="3" t="s">
        <v>155</v>
      </c>
      <c r="M389" s="3" t="s">
        <v>2007</v>
      </c>
      <c r="N389" s="20">
        <v>109526</v>
      </c>
      <c r="O389" s="3" t="s">
        <v>2167</v>
      </c>
      <c r="P389" s="3" t="s">
        <v>157</v>
      </c>
      <c r="Q389" s="5"/>
      <c r="R389" s="3" t="s">
        <v>2169</v>
      </c>
      <c r="S389" s="6">
        <v>46293</v>
      </c>
      <c r="T389" s="24"/>
      <c r="U389" s="3" t="b">
        <v>1</v>
      </c>
      <c r="V389" s="5"/>
      <c r="W389" s="64"/>
      <c r="X389" s="64"/>
      <c r="Y389" s="64"/>
      <c r="Z389" s="64"/>
      <c r="AA389" s="59" t="s">
        <v>2170</v>
      </c>
      <c r="AB389" s="65"/>
      <c r="AC389" s="68"/>
      <c r="AD389" s="65"/>
      <c r="AE389" s="68"/>
      <c r="AF389" s="66"/>
      <c r="AG389" s="68"/>
      <c r="AH389" s="67"/>
      <c r="AI389" s="69"/>
      <c r="AJ389" s="69"/>
      <c r="AK389" s="69"/>
      <c r="AL389" s="86"/>
      <c r="AM389" s="88"/>
      <c r="AN389" s="88"/>
      <c r="AO389" s="88"/>
      <c r="AP389" s="59"/>
      <c r="AQ389" s="68"/>
      <c r="AR389" s="59"/>
      <c r="AS389" s="68"/>
      <c r="AT389" s="59"/>
      <c r="AU389" s="68"/>
    </row>
    <row r="390" spans="1:47" ht="45" customHeight="1">
      <c r="A390" s="3" t="s">
        <v>148</v>
      </c>
      <c r="B390" s="3" t="s">
        <v>539</v>
      </c>
      <c r="C390" s="6">
        <v>46283</v>
      </c>
      <c r="D390" s="3" t="s">
        <v>2171</v>
      </c>
      <c r="E390" s="3" t="s">
        <v>988</v>
      </c>
      <c r="F390" s="20">
        <f>LEN(G390)</f>
        <v>56</v>
      </c>
      <c r="G390" s="3" t="s">
        <v>2172</v>
      </c>
      <c r="H390" s="24" t="s">
        <v>940</v>
      </c>
      <c r="I390" s="24" t="s">
        <v>1987</v>
      </c>
      <c r="J390" s="3" t="s">
        <v>154</v>
      </c>
      <c r="K390" s="3" t="s">
        <v>154</v>
      </c>
      <c r="L390" s="3" t="s">
        <v>155</v>
      </c>
      <c r="M390" s="3" t="s">
        <v>2007</v>
      </c>
      <c r="N390" s="20">
        <v>109526</v>
      </c>
      <c r="O390" s="3" t="s">
        <v>2171</v>
      </c>
      <c r="P390" s="3" t="s">
        <v>157</v>
      </c>
      <c r="Q390" s="5"/>
      <c r="R390" s="3" t="s">
        <v>2173</v>
      </c>
      <c r="S390" s="6">
        <v>46293</v>
      </c>
      <c r="T390" s="24"/>
      <c r="U390" s="3" t="b">
        <v>1</v>
      </c>
      <c r="V390" s="5"/>
      <c r="W390" s="64"/>
      <c r="X390" s="64"/>
      <c r="Y390" s="64"/>
      <c r="Z390" s="64"/>
      <c r="AA390" s="59" t="s">
        <v>2174</v>
      </c>
      <c r="AB390" s="65"/>
      <c r="AC390" s="68"/>
      <c r="AD390" s="65"/>
      <c r="AE390" s="68"/>
      <c r="AF390" s="66"/>
      <c r="AG390" s="68"/>
      <c r="AH390" s="67"/>
      <c r="AI390" s="69"/>
      <c r="AJ390" s="69"/>
      <c r="AK390" s="69"/>
      <c r="AL390" s="86"/>
      <c r="AM390" s="88"/>
      <c r="AN390" s="88"/>
      <c r="AO390" s="88"/>
      <c r="AP390" s="59"/>
      <c r="AQ390" s="68"/>
      <c r="AR390" s="59"/>
      <c r="AS390" s="68"/>
      <c r="AT390" s="59"/>
      <c r="AU390" s="68"/>
    </row>
    <row r="391" spans="1:47" ht="45" customHeight="1">
      <c r="A391" s="3" t="s">
        <v>148</v>
      </c>
      <c r="B391" s="3" t="s">
        <v>539</v>
      </c>
      <c r="C391" s="6">
        <v>46283</v>
      </c>
      <c r="D391" s="3" t="s">
        <v>2175</v>
      </c>
      <c r="E391" s="3" t="s">
        <v>988</v>
      </c>
      <c r="F391" s="20">
        <f>LEN(G391)</f>
        <v>32</v>
      </c>
      <c r="G391" s="3" t="s">
        <v>2176</v>
      </c>
      <c r="H391" s="24" t="s">
        <v>940</v>
      </c>
      <c r="I391" s="24" t="s">
        <v>1987</v>
      </c>
      <c r="J391" s="3" t="s">
        <v>154</v>
      </c>
      <c r="K391" s="3" t="s">
        <v>154</v>
      </c>
      <c r="L391" s="3" t="s">
        <v>155</v>
      </c>
      <c r="M391" s="3" t="s">
        <v>2007</v>
      </c>
      <c r="N391" s="20">
        <v>109526</v>
      </c>
      <c r="O391" s="3" t="s">
        <v>2175</v>
      </c>
      <c r="P391" s="3" t="s">
        <v>157</v>
      </c>
      <c r="Q391" s="5"/>
      <c r="R391" s="3" t="s">
        <v>2177</v>
      </c>
      <c r="S391" s="6">
        <v>46293</v>
      </c>
      <c r="T391" s="24"/>
      <c r="U391" s="3" t="b">
        <v>1</v>
      </c>
      <c r="V391" s="5"/>
      <c r="W391" s="64"/>
      <c r="X391" s="64"/>
      <c r="Y391" s="64"/>
      <c r="Z391" s="64"/>
      <c r="AA391" s="59" t="s">
        <v>2178</v>
      </c>
      <c r="AB391" s="65"/>
      <c r="AC391" s="68"/>
      <c r="AD391" s="65"/>
      <c r="AE391" s="68"/>
      <c r="AF391" s="66"/>
      <c r="AG391" s="68"/>
      <c r="AH391" s="67"/>
      <c r="AI391" s="69"/>
      <c r="AJ391" s="69"/>
      <c r="AK391" s="69"/>
      <c r="AL391" s="86"/>
      <c r="AM391" s="88"/>
      <c r="AN391" s="88"/>
      <c r="AO391" s="88"/>
      <c r="AP391" s="59"/>
      <c r="AQ391" s="68"/>
      <c r="AR391" s="59"/>
      <c r="AS391" s="68"/>
      <c r="AT391" s="59"/>
      <c r="AU391" s="68"/>
    </row>
    <row r="392" spans="1:47" ht="45" customHeight="1">
      <c r="A392" s="3" t="s">
        <v>148</v>
      </c>
      <c r="B392" s="3" t="s">
        <v>539</v>
      </c>
      <c r="C392" s="6">
        <v>46283</v>
      </c>
      <c r="D392" s="3" t="s">
        <v>2179</v>
      </c>
      <c r="E392" s="3" t="s">
        <v>988</v>
      </c>
      <c r="F392" s="20">
        <f>LEN(G392)</f>
        <v>34</v>
      </c>
      <c r="G392" s="3" t="s">
        <v>2180</v>
      </c>
      <c r="H392" s="24" t="s">
        <v>940</v>
      </c>
      <c r="I392" s="3" t="s">
        <v>1987</v>
      </c>
      <c r="J392" s="3" t="s">
        <v>154</v>
      </c>
      <c r="K392" s="3" t="s">
        <v>154</v>
      </c>
      <c r="L392" s="3" t="s">
        <v>155</v>
      </c>
      <c r="M392" s="3" t="s">
        <v>2007</v>
      </c>
      <c r="N392" s="20">
        <v>109526</v>
      </c>
      <c r="O392" s="3" t="s">
        <v>2179</v>
      </c>
      <c r="P392" s="3" t="s">
        <v>157</v>
      </c>
      <c r="Q392" s="5"/>
      <c r="R392" s="3" t="s">
        <v>2181</v>
      </c>
      <c r="S392" s="3">
        <v>46300</v>
      </c>
      <c r="T392" s="24" t="s">
        <v>2037</v>
      </c>
      <c r="U392" s="3" t="b">
        <v>0</v>
      </c>
      <c r="V392" s="3" t="s">
        <v>2182</v>
      </c>
      <c r="W392" s="64"/>
      <c r="X392" s="64"/>
      <c r="Y392" s="64"/>
      <c r="Z392" s="64"/>
      <c r="AA392" s="59" t="s">
        <v>2183</v>
      </c>
      <c r="AB392" s="65"/>
      <c r="AC392" s="68"/>
      <c r="AD392" s="65"/>
      <c r="AE392" s="68"/>
      <c r="AF392" s="66"/>
      <c r="AG392" s="68"/>
      <c r="AH392" s="67"/>
      <c r="AI392" s="69"/>
      <c r="AJ392" s="69"/>
      <c r="AK392" s="69"/>
      <c r="AL392" s="86"/>
      <c r="AM392" s="88"/>
      <c r="AN392" s="88"/>
      <c r="AO392" s="88"/>
      <c r="AP392" s="59"/>
      <c r="AQ392" s="68"/>
      <c r="AR392" s="59"/>
      <c r="AS392" s="68"/>
      <c r="AT392" s="59"/>
      <c r="AU392" s="68"/>
    </row>
    <row r="393" spans="1:47" ht="45" customHeight="1">
      <c r="A393" s="3" t="s">
        <v>148</v>
      </c>
      <c r="B393" s="3" t="s">
        <v>539</v>
      </c>
      <c r="C393" s="6">
        <v>46283</v>
      </c>
      <c r="D393" s="3" t="s">
        <v>2184</v>
      </c>
      <c r="E393" s="3" t="s">
        <v>988</v>
      </c>
      <c r="F393" s="20">
        <f>LEN(G393)</f>
        <v>32</v>
      </c>
      <c r="G393" s="3" t="s">
        <v>2185</v>
      </c>
      <c r="H393" s="24" t="s">
        <v>940</v>
      </c>
      <c r="I393" s="24" t="s">
        <v>1987</v>
      </c>
      <c r="J393" s="3" t="s">
        <v>154</v>
      </c>
      <c r="K393" s="3" t="s">
        <v>154</v>
      </c>
      <c r="L393" s="3" t="s">
        <v>155</v>
      </c>
      <c r="M393" s="3" t="s">
        <v>2007</v>
      </c>
      <c r="N393" s="20">
        <v>109526</v>
      </c>
      <c r="O393" s="3" t="s">
        <v>2184</v>
      </c>
      <c r="P393" s="3" t="s">
        <v>157</v>
      </c>
      <c r="Q393" s="5"/>
      <c r="R393" s="3" t="s">
        <v>2186</v>
      </c>
      <c r="S393" s="6">
        <v>46293</v>
      </c>
      <c r="T393" s="24"/>
      <c r="U393" s="3" t="b">
        <v>1</v>
      </c>
      <c r="V393" s="5"/>
      <c r="W393" s="64"/>
      <c r="X393" s="64"/>
      <c r="Y393" s="64"/>
      <c r="Z393" s="64"/>
      <c r="AA393" s="59" t="s">
        <v>2187</v>
      </c>
      <c r="AB393" s="65"/>
      <c r="AC393" s="68"/>
      <c r="AD393" s="65"/>
      <c r="AE393" s="68"/>
      <c r="AF393" s="66"/>
      <c r="AG393" s="68"/>
      <c r="AH393" s="67"/>
      <c r="AI393" s="69"/>
      <c r="AJ393" s="69"/>
      <c r="AK393" s="69"/>
      <c r="AL393" s="86"/>
      <c r="AM393" s="88"/>
      <c r="AN393" s="88"/>
      <c r="AO393" s="88"/>
      <c r="AP393" s="59"/>
      <c r="AQ393" s="68"/>
      <c r="AR393" s="59"/>
      <c r="AS393" s="68"/>
      <c r="AT393" s="59"/>
      <c r="AU393" s="68"/>
    </row>
    <row r="394" spans="1:47" ht="45" customHeight="1">
      <c r="A394" s="3" t="s">
        <v>148</v>
      </c>
      <c r="B394" s="3" t="s">
        <v>539</v>
      </c>
      <c r="C394" s="6">
        <v>46283</v>
      </c>
      <c r="D394" s="3" t="s">
        <v>2188</v>
      </c>
      <c r="E394" s="3" t="s">
        <v>988</v>
      </c>
      <c r="F394" s="20">
        <f>LEN(G394)</f>
        <v>32</v>
      </c>
      <c r="G394" s="3" t="s">
        <v>2189</v>
      </c>
      <c r="H394" s="24" t="s">
        <v>940</v>
      </c>
      <c r="I394" s="24" t="s">
        <v>1987</v>
      </c>
      <c r="J394" s="3" t="s">
        <v>154</v>
      </c>
      <c r="K394" s="3" t="s">
        <v>154</v>
      </c>
      <c r="L394" s="3" t="s">
        <v>155</v>
      </c>
      <c r="M394" s="3" t="s">
        <v>2007</v>
      </c>
      <c r="N394" s="20">
        <v>109526</v>
      </c>
      <c r="O394" s="3" t="s">
        <v>2188</v>
      </c>
      <c r="P394" s="3" t="s">
        <v>157</v>
      </c>
      <c r="Q394" s="5"/>
      <c r="R394" s="3" t="s">
        <v>2190</v>
      </c>
      <c r="S394" s="6">
        <v>46293</v>
      </c>
      <c r="T394" s="24"/>
      <c r="U394" s="3" t="b">
        <v>1</v>
      </c>
      <c r="V394" s="5"/>
      <c r="W394" s="64"/>
      <c r="X394" s="64"/>
      <c r="Y394" s="64"/>
      <c r="Z394" s="64"/>
      <c r="AA394" s="59" t="s">
        <v>2191</v>
      </c>
      <c r="AB394" s="65"/>
      <c r="AC394" s="68"/>
      <c r="AD394" s="65"/>
      <c r="AE394" s="68"/>
      <c r="AF394" s="66"/>
      <c r="AG394" s="68"/>
      <c r="AH394" s="67"/>
      <c r="AI394" s="69"/>
      <c r="AJ394" s="69"/>
      <c r="AK394" s="69"/>
      <c r="AL394" s="86"/>
      <c r="AM394" s="88"/>
      <c r="AN394" s="88"/>
      <c r="AO394" s="88"/>
      <c r="AP394" s="59"/>
      <c r="AQ394" s="68"/>
      <c r="AR394" s="59"/>
      <c r="AS394" s="68"/>
      <c r="AT394" s="59"/>
      <c r="AU394" s="68"/>
    </row>
    <row r="395" spans="1:47" ht="45" customHeight="1">
      <c r="A395" s="3" t="s">
        <v>148</v>
      </c>
      <c r="B395" s="3" t="s">
        <v>539</v>
      </c>
      <c r="C395" s="6">
        <v>46283</v>
      </c>
      <c r="D395" s="3" t="s">
        <v>2192</v>
      </c>
      <c r="E395" s="3" t="s">
        <v>988</v>
      </c>
      <c r="F395" s="20">
        <f>LEN(G395)</f>
        <v>33</v>
      </c>
      <c r="G395" s="3" t="s">
        <v>2193</v>
      </c>
      <c r="H395" s="24" t="s">
        <v>940</v>
      </c>
      <c r="I395" s="3" t="s">
        <v>1987</v>
      </c>
      <c r="J395" s="3" t="s">
        <v>154</v>
      </c>
      <c r="K395" s="3" t="s">
        <v>154</v>
      </c>
      <c r="L395" s="3" t="s">
        <v>155</v>
      </c>
      <c r="M395" s="3" t="s">
        <v>2007</v>
      </c>
      <c r="N395" s="20">
        <v>109526</v>
      </c>
      <c r="O395" s="3" t="s">
        <v>2192</v>
      </c>
      <c r="P395" s="3" t="s">
        <v>157</v>
      </c>
      <c r="Q395" s="5"/>
      <c r="R395" s="3" t="s">
        <v>2194</v>
      </c>
      <c r="S395" s="3">
        <v>46300</v>
      </c>
      <c r="T395" s="24" t="s">
        <v>2195</v>
      </c>
      <c r="U395" s="3" t="b">
        <v>0</v>
      </c>
      <c r="V395" s="3" t="s">
        <v>2196</v>
      </c>
      <c r="W395" s="64"/>
      <c r="X395" s="64"/>
      <c r="Y395" s="64"/>
      <c r="Z395" s="64"/>
      <c r="AA395" s="59" t="s">
        <v>2197</v>
      </c>
      <c r="AB395" s="65"/>
      <c r="AC395" s="68"/>
      <c r="AD395" s="65"/>
      <c r="AE395" s="68"/>
      <c r="AF395" s="66"/>
      <c r="AG395" s="68"/>
      <c r="AH395" s="67"/>
      <c r="AI395" s="69"/>
      <c r="AJ395" s="69"/>
      <c r="AK395" s="69"/>
      <c r="AL395" s="86"/>
      <c r="AM395" s="88"/>
      <c r="AN395" s="88"/>
      <c r="AO395" s="88"/>
      <c r="AP395" s="59"/>
      <c r="AQ395" s="68"/>
      <c r="AR395" s="59"/>
      <c r="AS395" s="68"/>
      <c r="AT395" s="59"/>
      <c r="AU395" s="68"/>
    </row>
    <row r="396" spans="1:47" ht="45" customHeight="1">
      <c r="A396" s="3" t="s">
        <v>148</v>
      </c>
      <c r="B396" s="3" t="s">
        <v>539</v>
      </c>
      <c r="C396" s="6">
        <v>46283</v>
      </c>
      <c r="D396" s="3" t="s">
        <v>2198</v>
      </c>
      <c r="E396" s="3" t="s">
        <v>988</v>
      </c>
      <c r="F396" s="20">
        <f>LEN(G396)</f>
        <v>34</v>
      </c>
      <c r="G396" s="3" t="s">
        <v>2199</v>
      </c>
      <c r="H396" s="24" t="s">
        <v>940</v>
      </c>
      <c r="I396" s="24" t="s">
        <v>1987</v>
      </c>
      <c r="J396" s="3" t="s">
        <v>154</v>
      </c>
      <c r="K396" s="3" t="s">
        <v>154</v>
      </c>
      <c r="L396" s="3" t="s">
        <v>155</v>
      </c>
      <c r="M396" s="3" t="s">
        <v>2007</v>
      </c>
      <c r="N396" s="20">
        <v>109526</v>
      </c>
      <c r="O396" s="3" t="s">
        <v>2198</v>
      </c>
      <c r="P396" s="3" t="s">
        <v>157</v>
      </c>
      <c r="Q396" s="5"/>
      <c r="R396" s="3" t="s">
        <v>2200</v>
      </c>
      <c r="S396" s="6">
        <v>46293</v>
      </c>
      <c r="T396" s="24"/>
      <c r="U396" s="3" t="b">
        <v>1</v>
      </c>
      <c r="V396" s="5"/>
      <c r="W396" s="64"/>
      <c r="X396" s="64"/>
      <c r="Y396" s="64"/>
      <c r="Z396" s="64"/>
      <c r="AA396" s="59" t="s">
        <v>2201</v>
      </c>
      <c r="AB396" s="65"/>
      <c r="AC396" s="68"/>
      <c r="AD396" s="65"/>
      <c r="AE396" s="68"/>
      <c r="AF396" s="66"/>
      <c r="AG396" s="68"/>
      <c r="AH396" s="67"/>
      <c r="AI396" s="69"/>
      <c r="AJ396" s="69"/>
      <c r="AK396" s="69"/>
      <c r="AL396" s="86"/>
      <c r="AM396" s="88"/>
      <c r="AN396" s="88"/>
      <c r="AO396" s="88"/>
      <c r="AP396" s="59"/>
      <c r="AQ396" s="68"/>
      <c r="AR396" s="59"/>
      <c r="AS396" s="68"/>
      <c r="AT396" s="59"/>
      <c r="AU396" s="68"/>
    </row>
    <row r="397" spans="1:47" ht="45" customHeight="1">
      <c r="A397" s="3" t="s">
        <v>148</v>
      </c>
      <c r="B397" s="3" t="s">
        <v>539</v>
      </c>
      <c r="C397" s="6">
        <v>46283</v>
      </c>
      <c r="D397" s="3" t="s">
        <v>2202</v>
      </c>
      <c r="E397" s="3" t="s">
        <v>988</v>
      </c>
      <c r="F397" s="20">
        <f>LEN(G397)</f>
        <v>32</v>
      </c>
      <c r="G397" s="3" t="s">
        <v>2203</v>
      </c>
      <c r="H397" s="24" t="s">
        <v>940</v>
      </c>
      <c r="I397" s="24" t="s">
        <v>1987</v>
      </c>
      <c r="J397" s="3" t="s">
        <v>154</v>
      </c>
      <c r="K397" s="3" t="s">
        <v>154</v>
      </c>
      <c r="L397" s="3" t="s">
        <v>155</v>
      </c>
      <c r="M397" s="3" t="s">
        <v>2007</v>
      </c>
      <c r="N397" s="20">
        <v>109526</v>
      </c>
      <c r="O397" s="3" t="s">
        <v>2202</v>
      </c>
      <c r="P397" s="3" t="s">
        <v>157</v>
      </c>
      <c r="Q397" s="5"/>
      <c r="R397" s="3" t="s">
        <v>2204</v>
      </c>
      <c r="S397" s="6">
        <v>46293</v>
      </c>
      <c r="T397" s="24"/>
      <c r="U397" s="3" t="b">
        <v>1</v>
      </c>
      <c r="V397" s="5"/>
      <c r="W397" s="64"/>
      <c r="X397" s="64"/>
      <c r="Y397" s="64"/>
      <c r="Z397" s="64"/>
      <c r="AA397" s="59" t="s">
        <v>2205</v>
      </c>
      <c r="AB397" s="65"/>
      <c r="AC397" s="68"/>
      <c r="AD397" s="65"/>
      <c r="AE397" s="68"/>
      <c r="AF397" s="66"/>
      <c r="AG397" s="68"/>
      <c r="AH397" s="67"/>
      <c r="AI397" s="69"/>
      <c r="AJ397" s="69"/>
      <c r="AK397" s="69"/>
      <c r="AL397" s="86"/>
      <c r="AM397" s="88"/>
      <c r="AN397" s="88"/>
      <c r="AO397" s="88"/>
      <c r="AP397" s="59"/>
      <c r="AQ397" s="68"/>
      <c r="AR397" s="59"/>
      <c r="AS397" s="68"/>
      <c r="AT397" s="59"/>
      <c r="AU397" s="68"/>
    </row>
    <row r="398" spans="1:47" ht="45" customHeight="1">
      <c r="A398" s="3" t="s">
        <v>148</v>
      </c>
      <c r="B398" s="3" t="s">
        <v>539</v>
      </c>
      <c r="C398" s="6">
        <v>46283</v>
      </c>
      <c r="D398" s="3" t="s">
        <v>2206</v>
      </c>
      <c r="E398" s="3" t="s">
        <v>988</v>
      </c>
      <c r="F398" s="20">
        <f>LEN(G398)</f>
        <v>28</v>
      </c>
      <c r="G398" s="3" t="s">
        <v>2207</v>
      </c>
      <c r="H398" s="24" t="s">
        <v>940</v>
      </c>
      <c r="I398" s="24" t="s">
        <v>1987</v>
      </c>
      <c r="J398" s="3" t="s">
        <v>154</v>
      </c>
      <c r="K398" s="3" t="s">
        <v>154</v>
      </c>
      <c r="L398" s="3" t="s">
        <v>155</v>
      </c>
      <c r="M398" s="3" t="s">
        <v>2007</v>
      </c>
      <c r="N398" s="20">
        <v>109526</v>
      </c>
      <c r="O398" s="3" t="s">
        <v>2206</v>
      </c>
      <c r="P398" s="3" t="s">
        <v>157</v>
      </c>
      <c r="Q398" s="5"/>
      <c r="R398" s="3" t="s">
        <v>2208</v>
      </c>
      <c r="S398" s="6">
        <v>46293</v>
      </c>
      <c r="T398" s="24"/>
      <c r="U398" s="3" t="b">
        <v>1</v>
      </c>
      <c r="V398" s="5"/>
      <c r="W398" s="64"/>
      <c r="X398" s="64"/>
      <c r="Y398" s="64"/>
      <c r="Z398" s="64"/>
      <c r="AA398" s="59" t="s">
        <v>2209</v>
      </c>
      <c r="AB398" s="65"/>
      <c r="AC398" s="68"/>
      <c r="AD398" s="65"/>
      <c r="AE398" s="68"/>
      <c r="AF398" s="66"/>
      <c r="AG398" s="68"/>
      <c r="AH398" s="67"/>
      <c r="AI398" s="69"/>
      <c r="AJ398" s="69"/>
      <c r="AK398" s="69"/>
      <c r="AL398" s="86"/>
      <c r="AM398" s="88"/>
      <c r="AN398" s="88"/>
      <c r="AO398" s="88"/>
      <c r="AP398" s="59"/>
      <c r="AQ398" s="68"/>
      <c r="AR398" s="59"/>
      <c r="AS398" s="68"/>
      <c r="AT398" s="59"/>
      <c r="AU398" s="68"/>
    </row>
    <row r="399" spans="1:47" ht="45" customHeight="1">
      <c r="A399" s="3" t="s">
        <v>148</v>
      </c>
      <c r="B399" s="3" t="s">
        <v>539</v>
      </c>
      <c r="C399" s="6">
        <v>46283</v>
      </c>
      <c r="D399" s="3" t="s">
        <v>2210</v>
      </c>
      <c r="E399" s="3" t="s">
        <v>988</v>
      </c>
      <c r="F399" s="20">
        <f>LEN(G399)</f>
        <v>32</v>
      </c>
      <c r="G399" s="3" t="s">
        <v>2211</v>
      </c>
      <c r="H399" s="24" t="s">
        <v>940</v>
      </c>
      <c r="I399" s="24" t="s">
        <v>1987</v>
      </c>
      <c r="J399" s="3" t="s">
        <v>154</v>
      </c>
      <c r="K399" s="3" t="s">
        <v>154</v>
      </c>
      <c r="L399" s="3" t="s">
        <v>155</v>
      </c>
      <c r="M399" s="3" t="s">
        <v>2007</v>
      </c>
      <c r="N399" s="20">
        <v>109526</v>
      </c>
      <c r="O399" s="3" t="s">
        <v>2210</v>
      </c>
      <c r="P399" s="3" t="s">
        <v>157</v>
      </c>
      <c r="Q399" s="5"/>
      <c r="R399" s="3" t="s">
        <v>2212</v>
      </c>
      <c r="S399" s="6">
        <v>46293</v>
      </c>
      <c r="T399" s="24"/>
      <c r="U399" s="3" t="b">
        <v>1</v>
      </c>
      <c r="V399" s="5"/>
      <c r="W399" s="64"/>
      <c r="X399" s="64"/>
      <c r="Y399" s="64"/>
      <c r="Z399" s="64"/>
      <c r="AA399" s="59" t="s">
        <v>2213</v>
      </c>
      <c r="AB399" s="65"/>
      <c r="AC399" s="68"/>
      <c r="AD399" s="65"/>
      <c r="AE399" s="68"/>
      <c r="AF399" s="66"/>
      <c r="AG399" s="68"/>
      <c r="AH399" s="67"/>
      <c r="AI399" s="69"/>
      <c r="AJ399" s="69"/>
      <c r="AK399" s="69"/>
      <c r="AL399" s="86"/>
      <c r="AM399" s="88"/>
      <c r="AN399" s="88"/>
      <c r="AO399" s="88"/>
      <c r="AP399" s="59"/>
      <c r="AQ399" s="68"/>
      <c r="AR399" s="59"/>
      <c r="AS399" s="68"/>
      <c r="AT399" s="59"/>
      <c r="AU399" s="68"/>
    </row>
    <row r="400" spans="1:47" ht="45" customHeight="1">
      <c r="A400" s="3" t="s">
        <v>148</v>
      </c>
      <c r="B400" s="3" t="s">
        <v>539</v>
      </c>
      <c r="C400" s="6">
        <v>46283</v>
      </c>
      <c r="D400" s="3" t="s">
        <v>2214</v>
      </c>
      <c r="E400" s="3" t="s">
        <v>988</v>
      </c>
      <c r="F400" s="20">
        <f>LEN(G400)</f>
        <v>34</v>
      </c>
      <c r="G400" s="3" t="s">
        <v>2215</v>
      </c>
      <c r="H400" s="24" t="s">
        <v>940</v>
      </c>
      <c r="I400" s="24" t="s">
        <v>1987</v>
      </c>
      <c r="J400" s="3" t="s">
        <v>154</v>
      </c>
      <c r="K400" s="3" t="s">
        <v>154</v>
      </c>
      <c r="L400" s="3" t="s">
        <v>155</v>
      </c>
      <c r="M400" s="3" t="s">
        <v>2007</v>
      </c>
      <c r="N400" s="20">
        <v>109526</v>
      </c>
      <c r="O400" s="3" t="s">
        <v>2214</v>
      </c>
      <c r="P400" s="3" t="s">
        <v>157</v>
      </c>
      <c r="Q400" s="5"/>
      <c r="R400" s="3" t="s">
        <v>2216</v>
      </c>
      <c r="S400" s="6">
        <v>46293</v>
      </c>
      <c r="T400" s="24"/>
      <c r="U400" s="3" t="b">
        <v>1</v>
      </c>
      <c r="V400" s="5"/>
      <c r="W400" s="64"/>
      <c r="X400" s="64"/>
      <c r="Y400" s="64"/>
      <c r="Z400" s="64"/>
      <c r="AA400" s="59" t="s">
        <v>2217</v>
      </c>
      <c r="AB400" s="65"/>
      <c r="AC400" s="68"/>
      <c r="AD400" s="65"/>
      <c r="AE400" s="68"/>
      <c r="AF400" s="66"/>
      <c r="AG400" s="68"/>
      <c r="AH400" s="67"/>
      <c r="AI400" s="69"/>
      <c r="AJ400" s="69"/>
      <c r="AK400" s="69"/>
      <c r="AL400" s="86"/>
      <c r="AM400" s="88"/>
      <c r="AN400" s="88"/>
      <c r="AO400" s="88"/>
      <c r="AP400" s="59"/>
      <c r="AQ400" s="68"/>
      <c r="AR400" s="59"/>
      <c r="AS400" s="68"/>
      <c r="AT400" s="59"/>
      <c r="AU400" s="68"/>
    </row>
    <row r="401" spans="1:47" ht="45" customHeight="1">
      <c r="A401" s="3" t="s">
        <v>148</v>
      </c>
      <c r="B401" s="3" t="s">
        <v>539</v>
      </c>
      <c r="C401" s="6">
        <v>46283</v>
      </c>
      <c r="D401" s="3" t="s">
        <v>2218</v>
      </c>
      <c r="E401" s="3" t="s">
        <v>988</v>
      </c>
      <c r="F401" s="20">
        <f>LEN(G401)</f>
        <v>64</v>
      </c>
      <c r="G401" s="3" t="s">
        <v>2219</v>
      </c>
      <c r="H401" s="24" t="s">
        <v>940</v>
      </c>
      <c r="I401" s="24" t="s">
        <v>1987</v>
      </c>
      <c r="J401" s="3" t="s">
        <v>154</v>
      </c>
      <c r="K401" s="3" t="s">
        <v>154</v>
      </c>
      <c r="L401" s="3" t="s">
        <v>155</v>
      </c>
      <c r="M401" s="3" t="s">
        <v>2007</v>
      </c>
      <c r="N401" s="20">
        <v>109526</v>
      </c>
      <c r="O401" s="3" t="s">
        <v>2218</v>
      </c>
      <c r="P401" s="3" t="s">
        <v>157</v>
      </c>
      <c r="Q401" s="5"/>
      <c r="R401" s="3" t="s">
        <v>2220</v>
      </c>
      <c r="S401" s="6">
        <v>46293</v>
      </c>
      <c r="T401" s="24"/>
      <c r="U401" s="3" t="b">
        <v>1</v>
      </c>
      <c r="V401" s="5"/>
      <c r="W401" s="64"/>
      <c r="X401" s="64"/>
      <c r="Y401" s="64"/>
      <c r="Z401" s="64"/>
      <c r="AA401" s="59" t="s">
        <v>2221</v>
      </c>
      <c r="AB401" s="65"/>
      <c r="AC401" s="68"/>
      <c r="AD401" s="65"/>
      <c r="AE401" s="68"/>
      <c r="AF401" s="66"/>
      <c r="AG401" s="68"/>
      <c r="AH401" s="67"/>
      <c r="AI401" s="69"/>
      <c r="AJ401" s="69"/>
      <c r="AK401" s="69"/>
      <c r="AL401" s="86"/>
      <c r="AM401" s="88"/>
      <c r="AN401" s="88"/>
      <c r="AO401" s="88"/>
      <c r="AP401" s="59"/>
      <c r="AQ401" s="68"/>
      <c r="AR401" s="59"/>
      <c r="AS401" s="68"/>
      <c r="AT401" s="59"/>
      <c r="AU401" s="68"/>
    </row>
    <row r="402" spans="1:47" ht="45" customHeight="1">
      <c r="A402" s="3" t="s">
        <v>148</v>
      </c>
      <c r="B402" s="3" t="s">
        <v>539</v>
      </c>
      <c r="C402" s="6">
        <v>46283</v>
      </c>
      <c r="D402" s="3" t="s">
        <v>2222</v>
      </c>
      <c r="E402" s="3" t="s">
        <v>988</v>
      </c>
      <c r="F402" s="20">
        <f>LEN(G402)</f>
        <v>39</v>
      </c>
      <c r="G402" s="3" t="s">
        <v>2223</v>
      </c>
      <c r="H402" s="24" t="s">
        <v>940</v>
      </c>
      <c r="I402" s="24" t="s">
        <v>1987</v>
      </c>
      <c r="J402" s="3" t="s">
        <v>154</v>
      </c>
      <c r="K402" s="3" t="s">
        <v>154</v>
      </c>
      <c r="L402" s="3" t="s">
        <v>155</v>
      </c>
      <c r="M402" s="3" t="s">
        <v>2007</v>
      </c>
      <c r="N402" s="20">
        <v>109526</v>
      </c>
      <c r="O402" s="3" t="s">
        <v>2222</v>
      </c>
      <c r="P402" s="3" t="s">
        <v>157</v>
      </c>
      <c r="Q402" s="5"/>
      <c r="R402" s="3" t="s">
        <v>2224</v>
      </c>
      <c r="S402" s="6">
        <v>46293</v>
      </c>
      <c r="T402" s="24"/>
      <c r="U402" s="3" t="b">
        <v>1</v>
      </c>
      <c r="V402" s="5"/>
      <c r="W402" s="64"/>
      <c r="X402" s="64"/>
      <c r="Y402" s="64"/>
      <c r="Z402" s="64"/>
      <c r="AA402" s="59" t="s">
        <v>2225</v>
      </c>
      <c r="AB402" s="65"/>
      <c r="AC402" s="68"/>
      <c r="AD402" s="65"/>
      <c r="AE402" s="68"/>
      <c r="AF402" s="66"/>
      <c r="AG402" s="68"/>
      <c r="AH402" s="67"/>
      <c r="AI402" s="69"/>
      <c r="AJ402" s="69"/>
      <c r="AK402" s="69"/>
      <c r="AL402" s="86"/>
      <c r="AM402" s="88"/>
      <c r="AN402" s="88"/>
      <c r="AO402" s="88"/>
      <c r="AP402" s="59"/>
      <c r="AQ402" s="68"/>
      <c r="AR402" s="59"/>
      <c r="AS402" s="68"/>
      <c r="AT402" s="59"/>
      <c r="AU402" s="68"/>
    </row>
    <row r="403" spans="1:47" ht="45" customHeight="1">
      <c r="A403" s="3" t="s">
        <v>148</v>
      </c>
      <c r="B403" s="3" t="s">
        <v>539</v>
      </c>
      <c r="C403" s="6">
        <v>46283</v>
      </c>
      <c r="D403" s="3" t="s">
        <v>2226</v>
      </c>
      <c r="E403" s="3" t="s">
        <v>988</v>
      </c>
      <c r="F403" s="20">
        <f>LEN(G403)</f>
        <v>41</v>
      </c>
      <c r="G403" s="3" t="s">
        <v>2227</v>
      </c>
      <c r="H403" s="24" t="s">
        <v>940</v>
      </c>
      <c r="I403" s="24" t="s">
        <v>1987</v>
      </c>
      <c r="J403" s="3" t="s">
        <v>154</v>
      </c>
      <c r="K403" s="3" t="s">
        <v>154</v>
      </c>
      <c r="L403" s="3" t="s">
        <v>155</v>
      </c>
      <c r="M403" s="3" t="s">
        <v>2007</v>
      </c>
      <c r="N403" s="20">
        <v>109526</v>
      </c>
      <c r="O403" s="3" t="s">
        <v>2226</v>
      </c>
      <c r="P403" s="3" t="s">
        <v>157</v>
      </c>
      <c r="Q403" s="5"/>
      <c r="R403" s="3" t="s">
        <v>2228</v>
      </c>
      <c r="S403" s="6">
        <v>46293</v>
      </c>
      <c r="T403" s="24"/>
      <c r="U403" s="3" t="b">
        <v>1</v>
      </c>
      <c r="V403" s="5"/>
      <c r="W403" s="64"/>
      <c r="X403" s="64"/>
      <c r="Y403" s="64"/>
      <c r="Z403" s="64"/>
      <c r="AA403" s="59" t="s">
        <v>2229</v>
      </c>
      <c r="AB403" s="65"/>
      <c r="AC403" s="68"/>
      <c r="AD403" s="65"/>
      <c r="AE403" s="68"/>
      <c r="AF403" s="66"/>
      <c r="AG403" s="68"/>
      <c r="AH403" s="67"/>
      <c r="AI403" s="69"/>
      <c r="AJ403" s="69"/>
      <c r="AK403" s="69"/>
      <c r="AL403" s="86"/>
      <c r="AM403" s="88"/>
      <c r="AN403" s="88"/>
      <c r="AO403" s="88"/>
      <c r="AP403" s="59"/>
      <c r="AQ403" s="68"/>
      <c r="AR403" s="59"/>
      <c r="AS403" s="68"/>
      <c r="AT403" s="59"/>
      <c r="AU403" s="68"/>
    </row>
    <row r="404" spans="1:47" ht="45" customHeight="1">
      <c r="A404" s="3" t="s">
        <v>148</v>
      </c>
      <c r="B404" s="3" t="s">
        <v>539</v>
      </c>
      <c r="C404" s="6">
        <v>46283</v>
      </c>
      <c r="D404" s="3" t="s">
        <v>2230</v>
      </c>
      <c r="E404" s="3" t="s">
        <v>988</v>
      </c>
      <c r="F404" s="20">
        <f>LEN(G404)</f>
        <v>44</v>
      </c>
      <c r="G404" s="3" t="s">
        <v>2231</v>
      </c>
      <c r="H404" s="24" t="s">
        <v>940</v>
      </c>
      <c r="I404" s="24" t="s">
        <v>1987</v>
      </c>
      <c r="J404" s="3" t="s">
        <v>154</v>
      </c>
      <c r="K404" s="3" t="s">
        <v>154</v>
      </c>
      <c r="L404" s="3" t="s">
        <v>155</v>
      </c>
      <c r="M404" s="3" t="s">
        <v>2007</v>
      </c>
      <c r="N404" s="20">
        <v>109526</v>
      </c>
      <c r="O404" s="3" t="s">
        <v>2230</v>
      </c>
      <c r="P404" s="3" t="s">
        <v>157</v>
      </c>
      <c r="Q404" s="5"/>
      <c r="R404" s="3" t="s">
        <v>2232</v>
      </c>
      <c r="S404" s="6">
        <v>46293</v>
      </c>
      <c r="T404" s="24"/>
      <c r="U404" s="3" t="b">
        <v>1</v>
      </c>
      <c r="V404" s="5"/>
      <c r="W404" s="64"/>
      <c r="X404" s="64"/>
      <c r="Y404" s="64"/>
      <c r="Z404" s="64"/>
      <c r="AA404" s="59" t="s">
        <v>2233</v>
      </c>
      <c r="AB404" s="65"/>
      <c r="AC404" s="68"/>
      <c r="AD404" s="65"/>
      <c r="AE404" s="68"/>
      <c r="AF404" s="66"/>
      <c r="AG404" s="68"/>
      <c r="AH404" s="67"/>
      <c r="AI404" s="69"/>
      <c r="AJ404" s="69"/>
      <c r="AK404" s="69"/>
      <c r="AL404" s="86"/>
      <c r="AM404" s="88"/>
      <c r="AN404" s="88"/>
      <c r="AO404" s="88"/>
      <c r="AP404" s="59"/>
      <c r="AQ404" s="68"/>
      <c r="AR404" s="59"/>
      <c r="AS404" s="68"/>
      <c r="AT404" s="59"/>
      <c r="AU404" s="68"/>
    </row>
    <row r="405" spans="1:47" ht="45" customHeight="1">
      <c r="A405" s="3" t="s">
        <v>148</v>
      </c>
      <c r="B405" s="3" t="s">
        <v>539</v>
      </c>
      <c r="C405" s="6">
        <v>46283</v>
      </c>
      <c r="D405" s="3" t="s">
        <v>2234</v>
      </c>
      <c r="E405" s="3" t="s">
        <v>988</v>
      </c>
      <c r="F405" s="20">
        <f>LEN(G405)</f>
        <v>45</v>
      </c>
      <c r="G405" s="3" t="s">
        <v>2235</v>
      </c>
      <c r="H405" s="24" t="s">
        <v>940</v>
      </c>
      <c r="I405" s="3" t="s">
        <v>1987</v>
      </c>
      <c r="J405" s="3" t="s">
        <v>154</v>
      </c>
      <c r="K405" s="3" t="s">
        <v>154</v>
      </c>
      <c r="L405" s="3" t="s">
        <v>155</v>
      </c>
      <c r="M405" s="3" t="s">
        <v>2007</v>
      </c>
      <c r="N405" s="20">
        <v>109526</v>
      </c>
      <c r="O405" s="3" t="s">
        <v>2234</v>
      </c>
      <c r="P405" s="3" t="s">
        <v>157</v>
      </c>
      <c r="Q405" s="5"/>
      <c r="R405" s="3" t="s">
        <v>2236</v>
      </c>
      <c r="S405" s="5"/>
      <c r="T405" s="24" t="s">
        <v>2237</v>
      </c>
      <c r="U405" s="3" t="b">
        <v>0</v>
      </c>
      <c r="V405" s="5"/>
      <c r="W405" s="64"/>
      <c r="X405" s="64"/>
      <c r="Y405" s="64"/>
      <c r="Z405" s="64"/>
      <c r="AA405" s="59" t="s">
        <v>2238</v>
      </c>
      <c r="AB405" s="65"/>
      <c r="AC405" s="68"/>
      <c r="AD405" s="65"/>
      <c r="AE405" s="68"/>
      <c r="AF405" s="66"/>
      <c r="AG405" s="68"/>
      <c r="AH405" s="67"/>
      <c r="AI405" s="69"/>
      <c r="AJ405" s="69"/>
      <c r="AK405" s="69"/>
      <c r="AL405" s="86"/>
      <c r="AM405" s="88"/>
      <c r="AN405" s="88"/>
      <c r="AO405" s="88"/>
      <c r="AP405" s="59"/>
      <c r="AQ405" s="68"/>
      <c r="AR405" s="59"/>
      <c r="AS405" s="68"/>
      <c r="AT405" s="59"/>
      <c r="AU405" s="68"/>
    </row>
    <row r="406" spans="1:47" ht="45" customHeight="1">
      <c r="A406" s="3" t="s">
        <v>148</v>
      </c>
      <c r="B406" s="3" t="s">
        <v>539</v>
      </c>
      <c r="C406" s="6">
        <v>46283</v>
      </c>
      <c r="D406" s="3" t="s">
        <v>2239</v>
      </c>
      <c r="E406" s="3" t="s">
        <v>988</v>
      </c>
      <c r="F406" s="20">
        <f>LEN(G406)</f>
        <v>75</v>
      </c>
      <c r="G406" s="3" t="s">
        <v>2240</v>
      </c>
      <c r="H406" s="24" t="s">
        <v>940</v>
      </c>
      <c r="I406" s="24" t="s">
        <v>1987</v>
      </c>
      <c r="J406" s="3" t="s">
        <v>154</v>
      </c>
      <c r="K406" s="3" t="s">
        <v>154</v>
      </c>
      <c r="L406" s="3" t="s">
        <v>155</v>
      </c>
      <c r="M406" s="3" t="s">
        <v>2007</v>
      </c>
      <c r="N406" s="20">
        <v>109526</v>
      </c>
      <c r="O406" s="3" t="s">
        <v>2239</v>
      </c>
      <c r="P406" s="3" t="s">
        <v>157</v>
      </c>
      <c r="Q406" s="5"/>
      <c r="R406" s="3" t="s">
        <v>2241</v>
      </c>
      <c r="S406" s="6">
        <v>46294</v>
      </c>
      <c r="T406" s="24"/>
      <c r="U406" s="3" t="b">
        <v>1</v>
      </c>
      <c r="V406" s="5"/>
      <c r="W406" s="64"/>
      <c r="X406" s="64"/>
      <c r="Y406" s="64"/>
      <c r="Z406" s="64"/>
      <c r="AA406" s="59" t="s">
        <v>2242</v>
      </c>
      <c r="AB406" s="65"/>
      <c r="AC406" s="68"/>
      <c r="AD406" s="65"/>
      <c r="AE406" s="68"/>
      <c r="AF406" s="66"/>
      <c r="AG406" s="68"/>
      <c r="AH406" s="67"/>
      <c r="AI406" s="69"/>
      <c r="AJ406" s="69"/>
      <c r="AK406" s="69"/>
      <c r="AL406" s="86"/>
      <c r="AM406" s="88"/>
      <c r="AN406" s="88"/>
      <c r="AO406" s="88"/>
      <c r="AP406" s="59"/>
      <c r="AQ406" s="68"/>
      <c r="AR406" s="59"/>
      <c r="AS406" s="68"/>
      <c r="AT406" s="59"/>
      <c r="AU406" s="68"/>
    </row>
    <row r="407" spans="1:47" ht="45" customHeight="1">
      <c r="A407" s="3" t="s">
        <v>148</v>
      </c>
      <c r="B407" s="3" t="s">
        <v>539</v>
      </c>
      <c r="C407" s="6">
        <v>46283</v>
      </c>
      <c r="D407" s="3" t="s">
        <v>2243</v>
      </c>
      <c r="E407" s="3" t="s">
        <v>988</v>
      </c>
      <c r="F407" s="20">
        <f>LEN(G407)</f>
        <v>34</v>
      </c>
      <c r="G407" s="3" t="s">
        <v>2244</v>
      </c>
      <c r="H407" s="24" t="s">
        <v>940</v>
      </c>
      <c r="I407" s="24" t="s">
        <v>1987</v>
      </c>
      <c r="J407" s="3" t="s">
        <v>154</v>
      </c>
      <c r="K407" s="3" t="s">
        <v>154</v>
      </c>
      <c r="L407" s="3" t="s">
        <v>155</v>
      </c>
      <c r="M407" s="3" t="s">
        <v>2007</v>
      </c>
      <c r="N407" s="20">
        <v>109526</v>
      </c>
      <c r="O407" s="3" t="s">
        <v>2243</v>
      </c>
      <c r="P407" s="3" t="s">
        <v>157</v>
      </c>
      <c r="Q407" s="5"/>
      <c r="R407" s="3" t="s">
        <v>2245</v>
      </c>
      <c r="S407" s="6">
        <v>46294</v>
      </c>
      <c r="T407" s="24"/>
      <c r="U407" s="3" t="b">
        <v>1</v>
      </c>
      <c r="V407" s="5"/>
      <c r="W407" s="64"/>
      <c r="X407" s="64"/>
      <c r="Y407" s="64"/>
      <c r="Z407" s="64"/>
      <c r="AA407" s="59" t="s">
        <v>2246</v>
      </c>
      <c r="AB407" s="65"/>
      <c r="AC407" s="68"/>
      <c r="AD407" s="65"/>
      <c r="AE407" s="68"/>
      <c r="AF407" s="66"/>
      <c r="AG407" s="68"/>
      <c r="AH407" s="67"/>
      <c r="AI407" s="69"/>
      <c r="AJ407" s="69"/>
      <c r="AK407" s="69"/>
      <c r="AL407" s="86"/>
      <c r="AM407" s="88"/>
      <c r="AN407" s="88"/>
      <c r="AO407" s="88"/>
      <c r="AP407" s="59"/>
      <c r="AQ407" s="68"/>
      <c r="AR407" s="59"/>
      <c r="AS407" s="68"/>
      <c r="AT407" s="59"/>
      <c r="AU407" s="68"/>
    </row>
    <row r="408" spans="1:47" ht="45" customHeight="1">
      <c r="A408" s="3" t="s">
        <v>148</v>
      </c>
      <c r="B408" s="3" t="s">
        <v>539</v>
      </c>
      <c r="C408" s="6">
        <v>46283</v>
      </c>
      <c r="D408" s="3" t="s">
        <v>2247</v>
      </c>
      <c r="E408" s="3" t="s">
        <v>988</v>
      </c>
      <c r="F408" s="20">
        <f>LEN(G408)</f>
        <v>35</v>
      </c>
      <c r="G408" s="3" t="s">
        <v>2248</v>
      </c>
      <c r="H408" s="24" t="s">
        <v>940</v>
      </c>
      <c r="I408" s="3" t="s">
        <v>1987</v>
      </c>
      <c r="J408" s="3" t="s">
        <v>154</v>
      </c>
      <c r="K408" s="3" t="s">
        <v>154</v>
      </c>
      <c r="L408" s="3" t="s">
        <v>155</v>
      </c>
      <c r="M408" s="3" t="s">
        <v>2007</v>
      </c>
      <c r="N408" s="20">
        <v>109526</v>
      </c>
      <c r="O408" s="3" t="s">
        <v>2247</v>
      </c>
      <c r="P408" s="3" t="s">
        <v>157</v>
      </c>
      <c r="Q408" s="5"/>
      <c r="R408" s="3" t="s">
        <v>2249</v>
      </c>
      <c r="S408" s="3">
        <v>46300</v>
      </c>
      <c r="T408" s="24" t="s">
        <v>2037</v>
      </c>
      <c r="U408" s="3" t="b">
        <v>0</v>
      </c>
      <c r="V408" s="3" t="s">
        <v>2182</v>
      </c>
      <c r="W408" s="64"/>
      <c r="X408" s="64"/>
      <c r="Y408" s="64"/>
      <c r="Z408" s="64"/>
      <c r="AA408" s="59" t="s">
        <v>2250</v>
      </c>
      <c r="AB408" s="65"/>
      <c r="AC408" s="68"/>
      <c r="AD408" s="65"/>
      <c r="AE408" s="68"/>
      <c r="AF408" s="66"/>
      <c r="AG408" s="68"/>
      <c r="AH408" s="67"/>
      <c r="AI408" s="69"/>
      <c r="AJ408" s="69"/>
      <c r="AK408" s="69"/>
      <c r="AL408" s="86"/>
      <c r="AM408" s="88"/>
      <c r="AN408" s="88"/>
      <c r="AO408" s="88"/>
      <c r="AP408" s="59"/>
      <c r="AQ408" s="68"/>
      <c r="AR408" s="59"/>
      <c r="AS408" s="68"/>
      <c r="AT408" s="59"/>
      <c r="AU408" s="68"/>
    </row>
    <row r="409" spans="1:47" ht="45" customHeight="1">
      <c r="A409" s="3" t="s">
        <v>148</v>
      </c>
      <c r="B409" s="3" t="s">
        <v>539</v>
      </c>
      <c r="C409" s="6">
        <v>46283</v>
      </c>
      <c r="D409" s="3" t="s">
        <v>2251</v>
      </c>
      <c r="E409" s="3" t="s">
        <v>988</v>
      </c>
      <c r="F409" s="20">
        <f>LEN(G409)</f>
        <v>42</v>
      </c>
      <c r="G409" s="3" t="s">
        <v>2252</v>
      </c>
      <c r="H409" s="24" t="s">
        <v>940</v>
      </c>
      <c r="I409" s="24" t="s">
        <v>1987</v>
      </c>
      <c r="J409" s="3" t="s">
        <v>154</v>
      </c>
      <c r="K409" s="3" t="s">
        <v>154</v>
      </c>
      <c r="L409" s="3" t="s">
        <v>155</v>
      </c>
      <c r="M409" s="3" t="s">
        <v>2007</v>
      </c>
      <c r="N409" s="20">
        <v>109526</v>
      </c>
      <c r="O409" s="3" t="s">
        <v>2251</v>
      </c>
      <c r="P409" s="3" t="s">
        <v>157</v>
      </c>
      <c r="Q409" s="5"/>
      <c r="R409" s="3" t="s">
        <v>2253</v>
      </c>
      <c r="S409" s="6">
        <v>46294</v>
      </c>
      <c r="T409" s="24"/>
      <c r="U409" s="3" t="b">
        <v>1</v>
      </c>
      <c r="V409" s="5"/>
      <c r="W409" s="64"/>
      <c r="X409" s="64"/>
      <c r="Y409" s="64"/>
      <c r="Z409" s="64"/>
      <c r="AA409" s="59" t="s">
        <v>2254</v>
      </c>
      <c r="AB409" s="65"/>
      <c r="AC409" s="68"/>
      <c r="AD409" s="65"/>
      <c r="AE409" s="68"/>
      <c r="AF409" s="66"/>
      <c r="AG409" s="68"/>
      <c r="AH409" s="67"/>
      <c r="AI409" s="69"/>
      <c r="AJ409" s="69"/>
      <c r="AK409" s="69"/>
      <c r="AL409" s="86"/>
      <c r="AM409" s="88"/>
      <c r="AN409" s="88"/>
      <c r="AO409" s="88"/>
      <c r="AP409" s="59"/>
      <c r="AQ409" s="68"/>
      <c r="AR409" s="59"/>
      <c r="AS409" s="68"/>
      <c r="AT409" s="59"/>
      <c r="AU409" s="68"/>
    </row>
    <row r="410" spans="1:47" ht="45" customHeight="1">
      <c r="A410" s="3" t="s">
        <v>148</v>
      </c>
      <c r="B410" s="3" t="s">
        <v>539</v>
      </c>
      <c r="C410" s="6">
        <v>46283</v>
      </c>
      <c r="D410" s="3" t="s">
        <v>2255</v>
      </c>
      <c r="E410" s="3" t="s">
        <v>988</v>
      </c>
      <c r="F410" s="20">
        <f>LEN(G410)</f>
        <v>45</v>
      </c>
      <c r="G410" s="3" t="s">
        <v>2256</v>
      </c>
      <c r="H410" s="24" t="s">
        <v>940</v>
      </c>
      <c r="I410" s="24" t="s">
        <v>1987</v>
      </c>
      <c r="J410" s="3" t="s">
        <v>154</v>
      </c>
      <c r="K410" s="3" t="s">
        <v>154</v>
      </c>
      <c r="L410" s="3" t="s">
        <v>155</v>
      </c>
      <c r="M410" s="3" t="s">
        <v>2007</v>
      </c>
      <c r="N410" s="20">
        <v>109526</v>
      </c>
      <c r="O410" s="3" t="s">
        <v>2255</v>
      </c>
      <c r="P410" s="3" t="s">
        <v>157</v>
      </c>
      <c r="Q410" s="5"/>
      <c r="R410" s="3" t="s">
        <v>2257</v>
      </c>
      <c r="S410" s="6">
        <v>46294</v>
      </c>
      <c r="T410" s="24"/>
      <c r="U410" s="3" t="b">
        <v>1</v>
      </c>
      <c r="V410" s="5"/>
      <c r="W410" s="64"/>
      <c r="X410" s="64"/>
      <c r="Y410" s="64"/>
      <c r="Z410" s="64"/>
      <c r="AA410" s="59" t="s">
        <v>2258</v>
      </c>
      <c r="AB410" s="65"/>
      <c r="AC410" s="68"/>
      <c r="AD410" s="65"/>
      <c r="AE410" s="68"/>
      <c r="AF410" s="66"/>
      <c r="AG410" s="68"/>
      <c r="AH410" s="67"/>
      <c r="AI410" s="69"/>
      <c r="AJ410" s="69"/>
      <c r="AK410" s="69"/>
      <c r="AL410" s="86"/>
      <c r="AM410" s="88"/>
      <c r="AN410" s="88"/>
      <c r="AO410" s="88"/>
      <c r="AP410" s="59"/>
      <c r="AQ410" s="68"/>
      <c r="AR410" s="59"/>
      <c r="AS410" s="68"/>
      <c r="AT410" s="59"/>
      <c r="AU410" s="68"/>
    </row>
    <row r="411" spans="1:47" ht="45" customHeight="1">
      <c r="A411" s="3" t="s">
        <v>148</v>
      </c>
      <c r="B411" s="3" t="s">
        <v>539</v>
      </c>
      <c r="C411" s="6">
        <v>46283</v>
      </c>
      <c r="D411" s="3" t="s">
        <v>2259</v>
      </c>
      <c r="E411" s="3" t="s">
        <v>988</v>
      </c>
      <c r="F411" s="20">
        <f>LEN(G411)</f>
        <v>45</v>
      </c>
      <c r="G411" s="3" t="s">
        <v>2260</v>
      </c>
      <c r="H411" s="24" t="s">
        <v>940</v>
      </c>
      <c r="I411" s="24" t="s">
        <v>1987</v>
      </c>
      <c r="J411" s="3" t="s">
        <v>154</v>
      </c>
      <c r="K411" s="3" t="s">
        <v>154</v>
      </c>
      <c r="L411" s="3" t="s">
        <v>155</v>
      </c>
      <c r="M411" s="3" t="s">
        <v>2007</v>
      </c>
      <c r="N411" s="20">
        <v>109526</v>
      </c>
      <c r="O411" s="3" t="s">
        <v>2259</v>
      </c>
      <c r="P411" s="3" t="s">
        <v>157</v>
      </c>
      <c r="Q411" s="5"/>
      <c r="R411" s="3" t="s">
        <v>2261</v>
      </c>
      <c r="S411" s="6">
        <v>46294</v>
      </c>
      <c r="T411" s="24"/>
      <c r="U411" s="3" t="b">
        <v>1</v>
      </c>
      <c r="V411" s="5"/>
      <c r="W411" s="64"/>
      <c r="X411" s="64"/>
      <c r="Y411" s="64"/>
      <c r="Z411" s="64"/>
      <c r="AA411" s="59" t="s">
        <v>2262</v>
      </c>
      <c r="AB411" s="65"/>
      <c r="AC411" s="68"/>
      <c r="AD411" s="65"/>
      <c r="AE411" s="68"/>
      <c r="AF411" s="66"/>
      <c r="AG411" s="68"/>
      <c r="AH411" s="67"/>
      <c r="AI411" s="69"/>
      <c r="AJ411" s="69"/>
      <c r="AK411" s="69"/>
      <c r="AL411" s="86"/>
      <c r="AM411" s="88"/>
      <c r="AN411" s="88"/>
      <c r="AO411" s="88"/>
      <c r="AP411" s="59"/>
      <c r="AQ411" s="68"/>
      <c r="AR411" s="59"/>
      <c r="AS411" s="68"/>
      <c r="AT411" s="59"/>
      <c r="AU411" s="68"/>
    </row>
    <row r="412" spans="1:47" ht="45" customHeight="1">
      <c r="A412" s="3" t="s">
        <v>148</v>
      </c>
      <c r="B412" s="3" t="s">
        <v>539</v>
      </c>
      <c r="C412" s="6">
        <v>46283</v>
      </c>
      <c r="D412" s="3" t="s">
        <v>2263</v>
      </c>
      <c r="E412" s="3" t="s">
        <v>988</v>
      </c>
      <c r="F412" s="20">
        <f>LEN(G412)</f>
        <v>45</v>
      </c>
      <c r="G412" s="3" t="s">
        <v>2264</v>
      </c>
      <c r="H412" s="24" t="s">
        <v>940</v>
      </c>
      <c r="I412" s="24" t="s">
        <v>1987</v>
      </c>
      <c r="J412" s="3" t="s">
        <v>154</v>
      </c>
      <c r="K412" s="3" t="s">
        <v>154</v>
      </c>
      <c r="L412" s="3" t="s">
        <v>155</v>
      </c>
      <c r="M412" s="3" t="s">
        <v>2007</v>
      </c>
      <c r="N412" s="20">
        <v>109526</v>
      </c>
      <c r="O412" s="3" t="s">
        <v>2263</v>
      </c>
      <c r="P412" s="3" t="s">
        <v>157</v>
      </c>
      <c r="Q412" s="5"/>
      <c r="R412" s="3" t="s">
        <v>2265</v>
      </c>
      <c r="S412" s="6">
        <v>46294</v>
      </c>
      <c r="T412" s="24"/>
      <c r="U412" s="3" t="b">
        <v>1</v>
      </c>
      <c r="V412" s="5"/>
      <c r="W412" s="64"/>
      <c r="X412" s="64"/>
      <c r="Y412" s="64"/>
      <c r="Z412" s="64"/>
      <c r="AA412" s="59" t="s">
        <v>2266</v>
      </c>
      <c r="AB412" s="65"/>
      <c r="AC412" s="68"/>
      <c r="AD412" s="65"/>
      <c r="AE412" s="68"/>
      <c r="AF412" s="66"/>
      <c r="AG412" s="68"/>
      <c r="AH412" s="67"/>
      <c r="AI412" s="69"/>
      <c r="AJ412" s="69"/>
      <c r="AK412" s="69"/>
      <c r="AL412" s="86"/>
      <c r="AM412" s="88"/>
      <c r="AN412" s="88"/>
      <c r="AO412" s="88"/>
      <c r="AP412" s="59"/>
      <c r="AQ412" s="68"/>
      <c r="AR412" s="59"/>
      <c r="AS412" s="68"/>
      <c r="AT412" s="59"/>
      <c r="AU412" s="68"/>
    </row>
    <row r="413" spans="1:47" ht="45" customHeight="1">
      <c r="A413" s="3" t="s">
        <v>148</v>
      </c>
      <c r="B413" s="3" t="s">
        <v>539</v>
      </c>
      <c r="C413" s="6">
        <v>46283</v>
      </c>
      <c r="D413" s="3" t="s">
        <v>2267</v>
      </c>
      <c r="E413" s="3" t="s">
        <v>988</v>
      </c>
      <c r="F413" s="20">
        <f>LEN(G413)</f>
        <v>45</v>
      </c>
      <c r="G413" s="3" t="s">
        <v>2268</v>
      </c>
      <c r="H413" s="24" t="s">
        <v>940</v>
      </c>
      <c r="I413" s="24" t="s">
        <v>1987</v>
      </c>
      <c r="J413" s="3" t="s">
        <v>154</v>
      </c>
      <c r="K413" s="3" t="s">
        <v>154</v>
      </c>
      <c r="L413" s="3" t="s">
        <v>155</v>
      </c>
      <c r="M413" s="3" t="s">
        <v>2007</v>
      </c>
      <c r="N413" s="20">
        <v>109526</v>
      </c>
      <c r="O413" s="3" t="s">
        <v>2267</v>
      </c>
      <c r="P413" s="3" t="s">
        <v>157</v>
      </c>
      <c r="Q413" s="5"/>
      <c r="R413" s="3" t="s">
        <v>2269</v>
      </c>
      <c r="S413" s="6">
        <v>46294</v>
      </c>
      <c r="T413" s="24"/>
      <c r="U413" s="3" t="b">
        <v>1</v>
      </c>
      <c r="V413" s="5"/>
      <c r="W413" s="64"/>
      <c r="X413" s="64"/>
      <c r="Y413" s="64"/>
      <c r="Z413" s="64"/>
      <c r="AA413" s="59" t="s">
        <v>2270</v>
      </c>
      <c r="AB413" s="65"/>
      <c r="AC413" s="68"/>
      <c r="AD413" s="65"/>
      <c r="AE413" s="68"/>
      <c r="AF413" s="66"/>
      <c r="AG413" s="68"/>
      <c r="AH413" s="67"/>
      <c r="AI413" s="69"/>
      <c r="AJ413" s="69"/>
      <c r="AK413" s="69"/>
      <c r="AL413" s="86"/>
      <c r="AM413" s="88"/>
      <c r="AN413" s="88"/>
      <c r="AO413" s="88"/>
      <c r="AP413" s="59"/>
      <c r="AQ413" s="68"/>
      <c r="AR413" s="59"/>
      <c r="AS413" s="68"/>
      <c r="AT413" s="59"/>
      <c r="AU413" s="68"/>
    </row>
    <row r="414" spans="1:47" ht="45" customHeight="1">
      <c r="A414" s="3" t="s">
        <v>148</v>
      </c>
      <c r="B414" s="3" t="s">
        <v>539</v>
      </c>
      <c r="C414" s="6">
        <v>46283</v>
      </c>
      <c r="D414" s="3" t="s">
        <v>2271</v>
      </c>
      <c r="E414" s="3" t="s">
        <v>988</v>
      </c>
      <c r="F414" s="20">
        <f>LEN(G414)</f>
        <v>45</v>
      </c>
      <c r="G414" s="3" t="s">
        <v>2272</v>
      </c>
      <c r="H414" s="24" t="s">
        <v>940</v>
      </c>
      <c r="I414" s="24" t="s">
        <v>1987</v>
      </c>
      <c r="J414" s="3" t="s">
        <v>154</v>
      </c>
      <c r="K414" s="3" t="s">
        <v>154</v>
      </c>
      <c r="L414" s="3" t="s">
        <v>155</v>
      </c>
      <c r="M414" s="3" t="s">
        <v>2007</v>
      </c>
      <c r="N414" s="20">
        <v>109526</v>
      </c>
      <c r="O414" s="3" t="s">
        <v>2271</v>
      </c>
      <c r="P414" s="3" t="s">
        <v>157</v>
      </c>
      <c r="Q414" s="5"/>
      <c r="R414" s="3" t="s">
        <v>2273</v>
      </c>
      <c r="S414" s="6">
        <v>46294</v>
      </c>
      <c r="T414" s="24"/>
      <c r="U414" s="3" t="b">
        <v>1</v>
      </c>
      <c r="V414" s="5"/>
      <c r="W414" s="64"/>
      <c r="X414" s="64"/>
      <c r="Y414" s="64"/>
      <c r="Z414" s="64"/>
      <c r="AA414" s="59" t="s">
        <v>2274</v>
      </c>
      <c r="AB414" s="65"/>
      <c r="AC414" s="68"/>
      <c r="AD414" s="65"/>
      <c r="AE414" s="68"/>
      <c r="AF414" s="66"/>
      <c r="AG414" s="68"/>
      <c r="AH414" s="67"/>
      <c r="AI414" s="69"/>
      <c r="AJ414" s="69"/>
      <c r="AK414" s="69"/>
      <c r="AL414" s="86"/>
      <c r="AM414" s="88"/>
      <c r="AN414" s="88"/>
      <c r="AO414" s="88"/>
      <c r="AP414" s="59"/>
      <c r="AQ414" s="68"/>
      <c r="AR414" s="59"/>
      <c r="AS414" s="68"/>
      <c r="AT414" s="59"/>
      <c r="AU414" s="68"/>
    </row>
    <row r="415" spans="1:47" ht="45" customHeight="1">
      <c r="A415" s="3" t="s">
        <v>148</v>
      </c>
      <c r="B415" s="3" t="s">
        <v>539</v>
      </c>
      <c r="C415" s="6">
        <v>46283</v>
      </c>
      <c r="D415" s="3" t="s">
        <v>2275</v>
      </c>
      <c r="E415" s="3" t="s">
        <v>988</v>
      </c>
      <c r="F415" s="20">
        <f>LEN(G415)</f>
        <v>45</v>
      </c>
      <c r="G415" s="3" t="s">
        <v>2276</v>
      </c>
      <c r="H415" s="24" t="s">
        <v>940</v>
      </c>
      <c r="I415" s="24" t="s">
        <v>1987</v>
      </c>
      <c r="J415" s="3" t="s">
        <v>154</v>
      </c>
      <c r="K415" s="3" t="s">
        <v>154</v>
      </c>
      <c r="L415" s="3" t="s">
        <v>155</v>
      </c>
      <c r="M415" s="3" t="s">
        <v>2007</v>
      </c>
      <c r="N415" s="20">
        <v>109526</v>
      </c>
      <c r="O415" s="3" t="s">
        <v>2275</v>
      </c>
      <c r="P415" s="3" t="s">
        <v>157</v>
      </c>
      <c r="Q415" s="5"/>
      <c r="R415" s="3" t="s">
        <v>2277</v>
      </c>
      <c r="S415" s="6">
        <v>46294</v>
      </c>
      <c r="T415" s="24"/>
      <c r="U415" s="3" t="b">
        <v>1</v>
      </c>
      <c r="V415" s="5"/>
      <c r="W415" s="64"/>
      <c r="X415" s="64"/>
      <c r="Y415" s="64"/>
      <c r="Z415" s="64"/>
      <c r="AA415" s="59" t="s">
        <v>2278</v>
      </c>
      <c r="AB415" s="65"/>
      <c r="AC415" s="68"/>
      <c r="AD415" s="65"/>
      <c r="AE415" s="68"/>
      <c r="AF415" s="66"/>
      <c r="AG415" s="68"/>
      <c r="AH415" s="67"/>
      <c r="AI415" s="69"/>
      <c r="AJ415" s="69"/>
      <c r="AK415" s="69"/>
      <c r="AL415" s="86"/>
      <c r="AM415" s="88"/>
      <c r="AN415" s="88"/>
      <c r="AO415" s="88"/>
      <c r="AP415" s="59"/>
      <c r="AQ415" s="68"/>
      <c r="AR415" s="59"/>
      <c r="AS415" s="68"/>
      <c r="AT415" s="59"/>
      <c r="AU415" s="68"/>
    </row>
    <row r="416" spans="1:47" ht="45" customHeight="1">
      <c r="A416" s="3" t="s">
        <v>148</v>
      </c>
      <c r="B416" s="3" t="s">
        <v>539</v>
      </c>
      <c r="C416" s="6">
        <v>46283</v>
      </c>
      <c r="D416" s="3" t="s">
        <v>2279</v>
      </c>
      <c r="E416" s="3" t="s">
        <v>988</v>
      </c>
      <c r="F416" s="20">
        <f>LEN(G416)</f>
        <v>45</v>
      </c>
      <c r="G416" s="3" t="s">
        <v>2280</v>
      </c>
      <c r="H416" s="24" t="s">
        <v>940</v>
      </c>
      <c r="I416" s="24" t="s">
        <v>1987</v>
      </c>
      <c r="J416" s="3" t="s">
        <v>154</v>
      </c>
      <c r="K416" s="3" t="s">
        <v>154</v>
      </c>
      <c r="L416" s="3" t="s">
        <v>155</v>
      </c>
      <c r="M416" s="3" t="s">
        <v>2007</v>
      </c>
      <c r="N416" s="20">
        <v>109526</v>
      </c>
      <c r="O416" s="3" t="s">
        <v>2279</v>
      </c>
      <c r="P416" s="3" t="s">
        <v>157</v>
      </c>
      <c r="Q416" s="5"/>
      <c r="R416" s="3" t="s">
        <v>2281</v>
      </c>
      <c r="S416" s="6">
        <v>46294</v>
      </c>
      <c r="T416" s="24"/>
      <c r="U416" s="3" t="b">
        <v>1</v>
      </c>
      <c r="V416" s="5"/>
      <c r="W416" s="64"/>
      <c r="X416" s="64"/>
      <c r="Y416" s="64"/>
      <c r="Z416" s="64"/>
      <c r="AA416" s="59" t="s">
        <v>2282</v>
      </c>
      <c r="AB416" s="65"/>
      <c r="AC416" s="68"/>
      <c r="AD416" s="65"/>
      <c r="AE416" s="68"/>
      <c r="AF416" s="66"/>
      <c r="AG416" s="68"/>
      <c r="AH416" s="67"/>
      <c r="AI416" s="69"/>
      <c r="AJ416" s="69"/>
      <c r="AK416" s="69"/>
      <c r="AL416" s="86"/>
      <c r="AM416" s="88"/>
      <c r="AN416" s="88"/>
      <c r="AO416" s="88"/>
      <c r="AP416" s="59"/>
      <c r="AQ416" s="68"/>
      <c r="AR416" s="59"/>
      <c r="AS416" s="68"/>
      <c r="AT416" s="59"/>
      <c r="AU416" s="68"/>
    </row>
    <row r="417" spans="1:47" ht="45" customHeight="1">
      <c r="A417" s="3" t="s">
        <v>148</v>
      </c>
      <c r="B417" s="3" t="s">
        <v>539</v>
      </c>
      <c r="C417" s="6">
        <v>46283</v>
      </c>
      <c r="D417" s="3" t="s">
        <v>2283</v>
      </c>
      <c r="E417" s="3" t="s">
        <v>988</v>
      </c>
      <c r="F417" s="20">
        <f>LEN(G417)</f>
        <v>45</v>
      </c>
      <c r="G417" s="3" t="s">
        <v>2284</v>
      </c>
      <c r="H417" s="24" t="s">
        <v>940</v>
      </c>
      <c r="I417" s="24" t="s">
        <v>1987</v>
      </c>
      <c r="J417" s="3" t="s">
        <v>154</v>
      </c>
      <c r="K417" s="3" t="s">
        <v>154</v>
      </c>
      <c r="L417" s="3" t="s">
        <v>155</v>
      </c>
      <c r="M417" s="3" t="s">
        <v>2007</v>
      </c>
      <c r="N417" s="20">
        <v>109526</v>
      </c>
      <c r="O417" s="3" t="s">
        <v>2283</v>
      </c>
      <c r="P417" s="3" t="s">
        <v>157</v>
      </c>
      <c r="Q417" s="5"/>
      <c r="R417" s="3" t="s">
        <v>2285</v>
      </c>
      <c r="S417" s="6">
        <v>46294</v>
      </c>
      <c r="T417" s="24"/>
      <c r="U417" s="3" t="b">
        <v>1</v>
      </c>
      <c r="V417" s="5"/>
      <c r="W417" s="64"/>
      <c r="X417" s="64"/>
      <c r="Y417" s="64"/>
      <c r="Z417" s="64"/>
      <c r="AA417" s="59" t="s">
        <v>2286</v>
      </c>
      <c r="AB417" s="65"/>
      <c r="AC417" s="68"/>
      <c r="AD417" s="65"/>
      <c r="AE417" s="68"/>
      <c r="AF417" s="66"/>
      <c r="AG417" s="68"/>
      <c r="AH417" s="67"/>
      <c r="AI417" s="69"/>
      <c r="AJ417" s="69"/>
      <c r="AK417" s="69"/>
      <c r="AL417" s="86"/>
      <c r="AM417" s="88"/>
      <c r="AN417" s="88"/>
      <c r="AO417" s="88"/>
      <c r="AP417" s="59"/>
      <c r="AQ417" s="68"/>
      <c r="AR417" s="59"/>
      <c r="AS417" s="68"/>
      <c r="AT417" s="59"/>
      <c r="AU417" s="68"/>
    </row>
    <row r="418" spans="1:47" ht="45" customHeight="1">
      <c r="A418" s="3" t="s">
        <v>148</v>
      </c>
      <c r="B418" s="3" t="s">
        <v>539</v>
      </c>
      <c r="C418" s="6">
        <v>46283</v>
      </c>
      <c r="D418" s="3" t="s">
        <v>2287</v>
      </c>
      <c r="E418" s="3" t="s">
        <v>988</v>
      </c>
      <c r="F418" s="20">
        <f>LEN(G418)</f>
        <v>36</v>
      </c>
      <c r="G418" s="3" t="s">
        <v>2288</v>
      </c>
      <c r="H418" s="24" t="s">
        <v>940</v>
      </c>
      <c r="I418" s="24" t="s">
        <v>1987</v>
      </c>
      <c r="J418" s="3" t="s">
        <v>154</v>
      </c>
      <c r="K418" s="3" t="s">
        <v>154</v>
      </c>
      <c r="L418" s="3" t="s">
        <v>155</v>
      </c>
      <c r="M418" s="3" t="s">
        <v>2007</v>
      </c>
      <c r="N418" s="20">
        <v>109526</v>
      </c>
      <c r="O418" s="3" t="s">
        <v>2287</v>
      </c>
      <c r="P418" s="3" t="s">
        <v>157</v>
      </c>
      <c r="Q418" s="5"/>
      <c r="R418" s="3" t="s">
        <v>2289</v>
      </c>
      <c r="S418" s="6">
        <v>46294</v>
      </c>
      <c r="T418" s="24"/>
      <c r="U418" s="3" t="b">
        <v>1</v>
      </c>
      <c r="V418" s="5"/>
      <c r="W418" s="64"/>
      <c r="X418" s="64"/>
      <c r="Y418" s="64"/>
      <c r="Z418" s="64"/>
      <c r="AA418" s="59" t="s">
        <v>2290</v>
      </c>
      <c r="AB418" s="65"/>
      <c r="AC418" s="68"/>
      <c r="AD418" s="65"/>
      <c r="AE418" s="68"/>
      <c r="AF418" s="66"/>
      <c r="AG418" s="68"/>
      <c r="AH418" s="67"/>
      <c r="AI418" s="69"/>
      <c r="AJ418" s="69"/>
      <c r="AK418" s="69"/>
      <c r="AL418" s="86"/>
      <c r="AM418" s="88"/>
      <c r="AN418" s="88"/>
      <c r="AO418" s="88"/>
      <c r="AP418" s="59"/>
      <c r="AQ418" s="68"/>
      <c r="AR418" s="59"/>
      <c r="AS418" s="68"/>
      <c r="AT418" s="59"/>
      <c r="AU418" s="68"/>
    </row>
    <row r="419" spans="1:47" ht="45" customHeight="1">
      <c r="A419" s="3" t="s">
        <v>148</v>
      </c>
      <c r="B419" s="3" t="s">
        <v>539</v>
      </c>
      <c r="C419" s="6">
        <v>46283</v>
      </c>
      <c r="D419" s="3" t="s">
        <v>2291</v>
      </c>
      <c r="E419" s="3" t="s">
        <v>988</v>
      </c>
      <c r="F419" s="20">
        <f>LEN(G419)</f>
        <v>35</v>
      </c>
      <c r="G419" s="3" t="s">
        <v>2292</v>
      </c>
      <c r="H419" s="24" t="s">
        <v>940</v>
      </c>
      <c r="I419" s="24" t="s">
        <v>1987</v>
      </c>
      <c r="J419" s="3" t="s">
        <v>154</v>
      </c>
      <c r="K419" s="3" t="s">
        <v>154</v>
      </c>
      <c r="L419" s="3" t="s">
        <v>155</v>
      </c>
      <c r="M419" s="3" t="s">
        <v>2007</v>
      </c>
      <c r="N419" s="20">
        <v>109526</v>
      </c>
      <c r="O419" s="3" t="s">
        <v>2291</v>
      </c>
      <c r="P419" s="3" t="s">
        <v>157</v>
      </c>
      <c r="Q419" s="5"/>
      <c r="R419" s="3" t="s">
        <v>2293</v>
      </c>
      <c r="S419" s="6">
        <v>46294</v>
      </c>
      <c r="T419" s="24"/>
      <c r="U419" s="3" t="b">
        <v>1</v>
      </c>
      <c r="V419" s="5"/>
      <c r="W419" s="64"/>
      <c r="X419" s="64"/>
      <c r="Y419" s="64"/>
      <c r="Z419" s="64"/>
      <c r="AA419" s="59" t="s">
        <v>2294</v>
      </c>
      <c r="AB419" s="65"/>
      <c r="AC419" s="68"/>
      <c r="AD419" s="65"/>
      <c r="AE419" s="68"/>
      <c r="AF419" s="66"/>
      <c r="AG419" s="68"/>
      <c r="AH419" s="67"/>
      <c r="AI419" s="69"/>
      <c r="AJ419" s="69"/>
      <c r="AK419" s="69"/>
      <c r="AL419" s="86"/>
      <c r="AM419" s="88"/>
      <c r="AN419" s="88"/>
      <c r="AO419" s="88"/>
      <c r="AP419" s="59"/>
      <c r="AQ419" s="68"/>
      <c r="AR419" s="59"/>
      <c r="AS419" s="68"/>
      <c r="AT419" s="59"/>
      <c r="AU419" s="68"/>
    </row>
    <row r="420" spans="1:47" ht="45" customHeight="1">
      <c r="A420" s="3" t="s">
        <v>148</v>
      </c>
      <c r="B420" s="3" t="s">
        <v>539</v>
      </c>
      <c r="C420" s="6">
        <v>46283</v>
      </c>
      <c r="D420" s="3" t="s">
        <v>2295</v>
      </c>
      <c r="E420" s="3" t="s">
        <v>988</v>
      </c>
      <c r="F420" s="20">
        <f>LEN(G420)</f>
        <v>34</v>
      </c>
      <c r="G420" s="3" t="s">
        <v>2296</v>
      </c>
      <c r="H420" s="24" t="s">
        <v>940</v>
      </c>
      <c r="I420" s="24" t="s">
        <v>1987</v>
      </c>
      <c r="J420" s="3" t="s">
        <v>154</v>
      </c>
      <c r="K420" s="3" t="s">
        <v>154</v>
      </c>
      <c r="L420" s="3" t="s">
        <v>155</v>
      </c>
      <c r="M420" s="3" t="s">
        <v>2007</v>
      </c>
      <c r="N420" s="20">
        <v>109526</v>
      </c>
      <c r="O420" s="3" t="s">
        <v>2295</v>
      </c>
      <c r="P420" s="3" t="s">
        <v>157</v>
      </c>
      <c r="Q420" s="5"/>
      <c r="R420" s="3" t="s">
        <v>2297</v>
      </c>
      <c r="S420" s="6">
        <v>46294</v>
      </c>
      <c r="T420" s="24"/>
      <c r="U420" s="3" t="b">
        <v>1</v>
      </c>
      <c r="V420" s="5"/>
      <c r="W420" s="64"/>
      <c r="X420" s="64"/>
      <c r="Y420" s="64"/>
      <c r="Z420" s="64"/>
      <c r="AA420" s="59" t="s">
        <v>2298</v>
      </c>
      <c r="AB420" s="65"/>
      <c r="AC420" s="68"/>
      <c r="AD420" s="65"/>
      <c r="AE420" s="68"/>
      <c r="AF420" s="66"/>
      <c r="AG420" s="68"/>
      <c r="AH420" s="67"/>
      <c r="AI420" s="69"/>
      <c r="AJ420" s="69"/>
      <c r="AK420" s="69"/>
      <c r="AL420" s="86"/>
      <c r="AM420" s="88"/>
      <c r="AN420" s="88"/>
      <c r="AO420" s="88"/>
      <c r="AP420" s="59"/>
      <c r="AQ420" s="68"/>
      <c r="AR420" s="59"/>
      <c r="AS420" s="68"/>
      <c r="AT420" s="59"/>
      <c r="AU420" s="68"/>
    </row>
    <row r="421" spans="1:47" ht="45" customHeight="1">
      <c r="A421" s="3" t="s">
        <v>148</v>
      </c>
      <c r="B421" s="3" t="s">
        <v>539</v>
      </c>
      <c r="C421" s="6">
        <v>46283</v>
      </c>
      <c r="D421" s="3" t="s">
        <v>2299</v>
      </c>
      <c r="E421" s="3" t="s">
        <v>988</v>
      </c>
      <c r="F421" s="20">
        <f>LEN(G421)</f>
        <v>58</v>
      </c>
      <c r="G421" s="3" t="s">
        <v>2300</v>
      </c>
      <c r="H421" s="24" t="s">
        <v>940</v>
      </c>
      <c r="I421" s="24" t="s">
        <v>1987</v>
      </c>
      <c r="J421" s="3" t="s">
        <v>154</v>
      </c>
      <c r="K421" s="3" t="s">
        <v>154</v>
      </c>
      <c r="L421" s="3" t="s">
        <v>155</v>
      </c>
      <c r="M421" s="3" t="s">
        <v>2007</v>
      </c>
      <c r="N421" s="20">
        <v>109526</v>
      </c>
      <c r="O421" s="3" t="s">
        <v>2299</v>
      </c>
      <c r="P421" s="3" t="s">
        <v>157</v>
      </c>
      <c r="Q421" s="5"/>
      <c r="R421" s="3" t="s">
        <v>2301</v>
      </c>
      <c r="S421" s="6">
        <v>46294</v>
      </c>
      <c r="T421" s="24"/>
      <c r="U421" s="3" t="b">
        <v>1</v>
      </c>
      <c r="V421" s="5"/>
      <c r="W421" s="64"/>
      <c r="X421" s="64"/>
      <c r="Y421" s="64"/>
      <c r="Z421" s="64"/>
      <c r="AA421" s="59" t="s">
        <v>2302</v>
      </c>
      <c r="AB421" s="65"/>
      <c r="AC421" s="68"/>
      <c r="AD421" s="65"/>
      <c r="AE421" s="68"/>
      <c r="AF421" s="66"/>
      <c r="AG421" s="68"/>
      <c r="AH421" s="67"/>
      <c r="AI421" s="69"/>
      <c r="AJ421" s="69"/>
      <c r="AK421" s="69"/>
      <c r="AL421" s="86"/>
      <c r="AM421" s="88"/>
      <c r="AN421" s="88"/>
      <c r="AO421" s="88"/>
      <c r="AP421" s="59"/>
      <c r="AQ421" s="68"/>
      <c r="AR421" s="59"/>
      <c r="AS421" s="68"/>
      <c r="AT421" s="59"/>
      <c r="AU421" s="68"/>
    </row>
    <row r="422" spans="1:47" ht="45" customHeight="1">
      <c r="A422" s="3" t="s">
        <v>148</v>
      </c>
      <c r="B422" s="3" t="s">
        <v>539</v>
      </c>
      <c r="C422" s="6">
        <v>46283</v>
      </c>
      <c r="D422" s="3" t="s">
        <v>2303</v>
      </c>
      <c r="E422" s="3" t="s">
        <v>988</v>
      </c>
      <c r="F422" s="20">
        <f>LEN(G422)</f>
        <v>47</v>
      </c>
      <c r="G422" s="3" t="s">
        <v>2304</v>
      </c>
      <c r="H422" s="24" t="s">
        <v>940</v>
      </c>
      <c r="I422" s="24" t="s">
        <v>1987</v>
      </c>
      <c r="J422" s="3" t="s">
        <v>154</v>
      </c>
      <c r="K422" s="3" t="s">
        <v>154</v>
      </c>
      <c r="L422" s="3" t="s">
        <v>155</v>
      </c>
      <c r="M422" s="3" t="s">
        <v>2007</v>
      </c>
      <c r="N422" s="20">
        <v>109526</v>
      </c>
      <c r="O422" s="3" t="s">
        <v>2303</v>
      </c>
      <c r="P422" s="3" t="s">
        <v>157</v>
      </c>
      <c r="Q422" s="5"/>
      <c r="R422" s="3" t="s">
        <v>2305</v>
      </c>
      <c r="S422" s="6">
        <v>46294</v>
      </c>
      <c r="T422" s="24"/>
      <c r="U422" s="3" t="b">
        <v>1</v>
      </c>
      <c r="V422" s="5"/>
      <c r="W422" s="64"/>
      <c r="X422" s="64"/>
      <c r="Y422" s="64"/>
      <c r="Z422" s="64"/>
      <c r="AA422" s="59" t="s">
        <v>2306</v>
      </c>
      <c r="AB422" s="65"/>
      <c r="AC422" s="68"/>
      <c r="AD422" s="65"/>
      <c r="AE422" s="68"/>
      <c r="AF422" s="66"/>
      <c r="AG422" s="68"/>
      <c r="AH422" s="67"/>
      <c r="AI422" s="69"/>
      <c r="AJ422" s="69"/>
      <c r="AK422" s="69"/>
      <c r="AL422" s="86"/>
      <c r="AM422" s="88"/>
      <c r="AN422" s="88"/>
      <c r="AO422" s="88"/>
      <c r="AP422" s="59"/>
      <c r="AQ422" s="68"/>
      <c r="AR422" s="59"/>
      <c r="AS422" s="68"/>
      <c r="AT422" s="59"/>
      <c r="AU422" s="68"/>
    </row>
    <row r="423" spans="1:47" ht="45" customHeight="1">
      <c r="A423" s="3" t="s">
        <v>148</v>
      </c>
      <c r="B423" s="3" t="s">
        <v>539</v>
      </c>
      <c r="C423" s="6">
        <v>46283</v>
      </c>
      <c r="D423" s="3" t="s">
        <v>2307</v>
      </c>
      <c r="E423" s="3" t="s">
        <v>988</v>
      </c>
      <c r="F423" s="20">
        <f>LEN(G423)</f>
        <v>32</v>
      </c>
      <c r="G423" s="3" t="s">
        <v>2308</v>
      </c>
      <c r="H423" s="24" t="s">
        <v>940</v>
      </c>
      <c r="I423" s="24" t="s">
        <v>1987</v>
      </c>
      <c r="J423" s="3" t="s">
        <v>154</v>
      </c>
      <c r="K423" s="3" t="s">
        <v>154</v>
      </c>
      <c r="L423" s="3" t="s">
        <v>155</v>
      </c>
      <c r="M423" s="3" t="s">
        <v>2007</v>
      </c>
      <c r="N423" s="20">
        <v>109526</v>
      </c>
      <c r="O423" s="3" t="s">
        <v>2307</v>
      </c>
      <c r="P423" s="3" t="s">
        <v>157</v>
      </c>
      <c r="Q423" s="5"/>
      <c r="R423" s="3" t="s">
        <v>2309</v>
      </c>
      <c r="S423" s="6">
        <v>46294</v>
      </c>
      <c r="T423" s="24"/>
      <c r="U423" s="3" t="b">
        <v>1</v>
      </c>
      <c r="V423" s="5"/>
      <c r="W423" s="64"/>
      <c r="X423" s="64"/>
      <c r="Y423" s="64"/>
      <c r="Z423" s="64"/>
      <c r="AA423" s="59" t="s">
        <v>2310</v>
      </c>
      <c r="AB423" s="65"/>
      <c r="AC423" s="68"/>
      <c r="AD423" s="65"/>
      <c r="AE423" s="68"/>
      <c r="AF423" s="66"/>
      <c r="AG423" s="68"/>
      <c r="AH423" s="67"/>
      <c r="AI423" s="69"/>
      <c r="AJ423" s="69"/>
      <c r="AK423" s="69"/>
      <c r="AL423" s="86"/>
      <c r="AM423" s="88"/>
      <c r="AN423" s="88"/>
      <c r="AO423" s="88"/>
      <c r="AP423" s="59"/>
      <c r="AQ423" s="68"/>
      <c r="AR423" s="59"/>
      <c r="AS423" s="68"/>
      <c r="AT423" s="59"/>
      <c r="AU423" s="68"/>
    </row>
    <row r="424" spans="1:47" ht="87" customHeight="1">
      <c r="A424" s="3" t="s">
        <v>148</v>
      </c>
      <c r="B424" s="3" t="s">
        <v>539</v>
      </c>
      <c r="C424" s="6">
        <v>46283</v>
      </c>
      <c r="D424" s="3" t="s">
        <v>2311</v>
      </c>
      <c r="E424" s="3" t="s">
        <v>988</v>
      </c>
      <c r="F424" s="20">
        <f>LEN(G424)</f>
        <v>47</v>
      </c>
      <c r="G424" s="3" t="s">
        <v>2312</v>
      </c>
      <c r="H424" s="24" t="s">
        <v>940</v>
      </c>
      <c r="I424" s="3" t="s">
        <v>1987</v>
      </c>
      <c r="J424" s="3" t="s">
        <v>154</v>
      </c>
      <c r="K424" s="3" t="s">
        <v>154</v>
      </c>
      <c r="L424" s="3" t="s">
        <v>155</v>
      </c>
      <c r="M424" s="3" t="s">
        <v>2007</v>
      </c>
      <c r="N424" s="20">
        <v>109526</v>
      </c>
      <c r="O424" s="3" t="s">
        <v>2311</v>
      </c>
      <c r="P424" s="3" t="s">
        <v>157</v>
      </c>
      <c r="Q424" s="5"/>
      <c r="R424" s="5"/>
      <c r="S424" s="5"/>
      <c r="T424" s="24" t="s">
        <v>2313</v>
      </c>
      <c r="U424" s="3" t="b">
        <v>0</v>
      </c>
      <c r="V424" s="5"/>
      <c r="W424" s="64"/>
      <c r="X424" s="64"/>
      <c r="Y424" s="64" t="s">
        <v>2314</v>
      </c>
      <c r="Z424" s="64"/>
      <c r="AA424" s="59" t="s">
        <v>1072</v>
      </c>
      <c r="AB424" s="65"/>
      <c r="AC424" s="68" t="s">
        <v>213</v>
      </c>
      <c r="AD424" s="65" t="s">
        <v>2315</v>
      </c>
      <c r="AE424" s="68" t="s">
        <v>786</v>
      </c>
      <c r="AF424" s="66" t="s">
        <v>2316</v>
      </c>
      <c r="AG424" s="68" t="s">
        <v>2317</v>
      </c>
      <c r="AH424" s="67"/>
      <c r="AI424" s="69"/>
      <c r="AJ424" s="69"/>
      <c r="AK424" s="69"/>
      <c r="AL424" s="86" t="s">
        <v>218</v>
      </c>
      <c r="AM424" s="88"/>
      <c r="AN424" s="88"/>
      <c r="AO424" s="88"/>
      <c r="AP424" s="59" t="s">
        <v>74</v>
      </c>
      <c r="AQ424" s="68" t="s">
        <v>2318</v>
      </c>
      <c r="AR424" s="59"/>
      <c r="AS424" s="68" t="s">
        <v>788</v>
      </c>
      <c r="AT424" s="59" t="s">
        <v>2004</v>
      </c>
      <c r="AU424" s="68" t="s">
        <v>223</v>
      </c>
    </row>
    <row r="425" spans="1:47" ht="45" customHeight="1">
      <c r="A425" s="3" t="s">
        <v>148</v>
      </c>
      <c r="B425" s="3" t="s">
        <v>539</v>
      </c>
      <c r="C425" s="6">
        <v>46283</v>
      </c>
      <c r="D425" s="3" t="s">
        <v>2319</v>
      </c>
      <c r="E425" s="3" t="s">
        <v>988</v>
      </c>
      <c r="F425" s="20">
        <f>LEN(G425)</f>
        <v>32</v>
      </c>
      <c r="G425" s="3" t="s">
        <v>2320</v>
      </c>
      <c r="H425" s="24" t="s">
        <v>940</v>
      </c>
      <c r="I425" s="24" t="s">
        <v>1987</v>
      </c>
      <c r="J425" s="3" t="s">
        <v>154</v>
      </c>
      <c r="K425" s="3" t="s">
        <v>154</v>
      </c>
      <c r="L425" s="3" t="s">
        <v>155</v>
      </c>
      <c r="M425" s="3" t="s">
        <v>2007</v>
      </c>
      <c r="N425" s="20">
        <v>109526</v>
      </c>
      <c r="O425" s="3" t="s">
        <v>2319</v>
      </c>
      <c r="P425" s="3" t="s">
        <v>157</v>
      </c>
      <c r="Q425" s="5"/>
      <c r="R425" s="3" t="s">
        <v>2321</v>
      </c>
      <c r="S425" s="6">
        <v>46294</v>
      </c>
      <c r="T425" s="24"/>
      <c r="U425" s="3" t="b">
        <v>1</v>
      </c>
      <c r="V425" s="5"/>
      <c r="W425" s="64"/>
      <c r="X425" s="64"/>
      <c r="Y425" s="64"/>
      <c r="Z425" s="64"/>
      <c r="AA425" s="59" t="s">
        <v>2322</v>
      </c>
      <c r="AB425" s="65"/>
      <c r="AC425" s="68"/>
      <c r="AD425" s="65"/>
      <c r="AE425" s="68"/>
      <c r="AF425" s="66"/>
      <c r="AG425" s="68"/>
      <c r="AH425" s="67"/>
      <c r="AI425" s="69"/>
      <c r="AJ425" s="69"/>
      <c r="AK425" s="69"/>
      <c r="AL425" s="86"/>
      <c r="AM425" s="88"/>
      <c r="AN425" s="88"/>
      <c r="AO425" s="88"/>
      <c r="AP425" s="59"/>
      <c r="AQ425" s="68"/>
      <c r="AR425" s="59"/>
      <c r="AS425" s="68"/>
      <c r="AT425" s="59"/>
      <c r="AU425" s="68"/>
    </row>
    <row r="426" spans="1:47" ht="45" customHeight="1">
      <c r="A426" s="3" t="s">
        <v>148</v>
      </c>
      <c r="B426" s="3" t="s">
        <v>539</v>
      </c>
      <c r="C426" s="6">
        <v>46283</v>
      </c>
      <c r="D426" s="3" t="s">
        <v>2323</v>
      </c>
      <c r="E426" s="3" t="s">
        <v>988</v>
      </c>
      <c r="F426" s="20">
        <f>LEN(G426)</f>
        <v>52</v>
      </c>
      <c r="G426" s="3" t="s">
        <v>2324</v>
      </c>
      <c r="H426" s="24" t="s">
        <v>940</v>
      </c>
      <c r="I426" s="24" t="s">
        <v>1987</v>
      </c>
      <c r="J426" s="3" t="s">
        <v>154</v>
      </c>
      <c r="K426" s="3" t="s">
        <v>154</v>
      </c>
      <c r="L426" s="3" t="s">
        <v>155</v>
      </c>
      <c r="M426" s="3" t="s">
        <v>2007</v>
      </c>
      <c r="N426" s="20">
        <v>109526</v>
      </c>
      <c r="O426" s="3" t="s">
        <v>2323</v>
      </c>
      <c r="P426" s="3" t="s">
        <v>157</v>
      </c>
      <c r="Q426" s="5"/>
      <c r="R426" s="3" t="s">
        <v>2325</v>
      </c>
      <c r="S426" s="6">
        <v>46294</v>
      </c>
      <c r="T426" s="24"/>
      <c r="U426" s="3" t="b">
        <v>1</v>
      </c>
      <c r="V426" s="5"/>
      <c r="W426" s="64"/>
      <c r="X426" s="64"/>
      <c r="Y426" s="64"/>
      <c r="Z426" s="64"/>
      <c r="AA426" s="59" t="s">
        <v>2326</v>
      </c>
      <c r="AB426" s="65"/>
      <c r="AC426" s="68"/>
      <c r="AD426" s="65"/>
      <c r="AE426" s="68"/>
      <c r="AF426" s="66"/>
      <c r="AG426" s="68"/>
      <c r="AH426" s="67"/>
      <c r="AI426" s="69"/>
      <c r="AJ426" s="69"/>
      <c r="AK426" s="69"/>
      <c r="AL426" s="86"/>
      <c r="AM426" s="88"/>
      <c r="AN426" s="88"/>
      <c r="AO426" s="88"/>
      <c r="AP426" s="59"/>
      <c r="AQ426" s="68"/>
      <c r="AR426" s="59"/>
      <c r="AS426" s="68"/>
      <c r="AT426" s="59"/>
      <c r="AU426" s="68"/>
    </row>
    <row r="427" spans="1:47" ht="45" customHeight="1">
      <c r="A427" s="3" t="s">
        <v>148</v>
      </c>
      <c r="B427" s="3" t="s">
        <v>539</v>
      </c>
      <c r="C427" s="6">
        <v>46283</v>
      </c>
      <c r="D427" s="3" t="s">
        <v>2327</v>
      </c>
      <c r="E427" s="3" t="s">
        <v>988</v>
      </c>
      <c r="F427" s="20">
        <f>LEN(G427)</f>
        <v>41</v>
      </c>
      <c r="G427" s="3" t="s">
        <v>2328</v>
      </c>
      <c r="H427" s="24" t="s">
        <v>940</v>
      </c>
      <c r="I427" s="24" t="s">
        <v>1987</v>
      </c>
      <c r="J427" s="3" t="s">
        <v>154</v>
      </c>
      <c r="K427" s="3" t="s">
        <v>154</v>
      </c>
      <c r="L427" s="3" t="s">
        <v>155</v>
      </c>
      <c r="M427" s="3" t="s">
        <v>2007</v>
      </c>
      <c r="N427" s="20">
        <v>109526</v>
      </c>
      <c r="O427" s="3" t="s">
        <v>2327</v>
      </c>
      <c r="P427" s="3" t="s">
        <v>157</v>
      </c>
      <c r="Q427" s="5"/>
      <c r="R427" s="3" t="s">
        <v>2329</v>
      </c>
      <c r="S427" s="6">
        <v>46294</v>
      </c>
      <c r="T427" s="24"/>
      <c r="U427" s="3" t="b">
        <v>1</v>
      </c>
      <c r="V427" s="5"/>
      <c r="W427" s="64"/>
      <c r="X427" s="64"/>
      <c r="Y427" s="64"/>
      <c r="Z427" s="64"/>
      <c r="AA427" s="59" t="s">
        <v>2330</v>
      </c>
      <c r="AB427" s="65"/>
      <c r="AC427" s="68"/>
      <c r="AD427" s="65"/>
      <c r="AE427" s="68"/>
      <c r="AF427" s="66"/>
      <c r="AG427" s="68"/>
      <c r="AH427" s="67"/>
      <c r="AI427" s="69"/>
      <c r="AJ427" s="69"/>
      <c r="AK427" s="69"/>
      <c r="AL427" s="86"/>
      <c r="AM427" s="88"/>
      <c r="AN427" s="88"/>
      <c r="AO427" s="88"/>
      <c r="AP427" s="59"/>
      <c r="AQ427" s="68"/>
      <c r="AR427" s="59"/>
      <c r="AS427" s="68"/>
      <c r="AT427" s="59"/>
      <c r="AU427" s="68"/>
    </row>
    <row r="428" spans="1:47" ht="45" customHeight="1">
      <c r="A428" s="3" t="s">
        <v>148</v>
      </c>
      <c r="B428" s="3" t="s">
        <v>539</v>
      </c>
      <c r="C428" s="6">
        <v>46283</v>
      </c>
      <c r="D428" s="3" t="s">
        <v>2331</v>
      </c>
      <c r="E428" s="3" t="s">
        <v>988</v>
      </c>
      <c r="F428" s="20">
        <f>LEN(G428)</f>
        <v>34</v>
      </c>
      <c r="G428" s="3" t="s">
        <v>2332</v>
      </c>
      <c r="H428" s="24" t="s">
        <v>940</v>
      </c>
      <c r="I428" s="24" t="s">
        <v>1987</v>
      </c>
      <c r="J428" s="3" t="s">
        <v>154</v>
      </c>
      <c r="K428" s="3" t="s">
        <v>154</v>
      </c>
      <c r="L428" s="3" t="s">
        <v>155</v>
      </c>
      <c r="M428" s="3" t="s">
        <v>2007</v>
      </c>
      <c r="N428" s="20">
        <v>109526</v>
      </c>
      <c r="O428" s="3" t="s">
        <v>2331</v>
      </c>
      <c r="P428" s="3" t="s">
        <v>157</v>
      </c>
      <c r="Q428" s="5"/>
      <c r="R428" s="3" t="s">
        <v>2333</v>
      </c>
      <c r="S428" s="6">
        <v>46294</v>
      </c>
      <c r="T428" s="24"/>
      <c r="U428" s="3" t="b">
        <v>1</v>
      </c>
      <c r="V428" s="5"/>
      <c r="W428" s="64"/>
      <c r="X428" s="64"/>
      <c r="Y428" s="64"/>
      <c r="Z428" s="64"/>
      <c r="AA428" s="59" t="s">
        <v>2334</v>
      </c>
      <c r="AB428" s="65"/>
      <c r="AC428" s="68"/>
      <c r="AD428" s="65"/>
      <c r="AE428" s="68"/>
      <c r="AF428" s="66"/>
      <c r="AG428" s="68"/>
      <c r="AH428" s="67"/>
      <c r="AI428" s="69"/>
      <c r="AJ428" s="69"/>
      <c r="AK428" s="69"/>
      <c r="AL428" s="86"/>
      <c r="AM428" s="88"/>
      <c r="AN428" s="88"/>
      <c r="AO428" s="88"/>
      <c r="AP428" s="59"/>
      <c r="AQ428" s="68"/>
      <c r="AR428" s="59"/>
      <c r="AS428" s="68"/>
      <c r="AT428" s="59"/>
      <c r="AU428" s="68"/>
    </row>
    <row r="429" spans="1:47" ht="45" customHeight="1">
      <c r="A429" s="3" t="s">
        <v>148</v>
      </c>
      <c r="B429" s="3" t="s">
        <v>539</v>
      </c>
      <c r="C429" s="6">
        <v>46283</v>
      </c>
      <c r="D429" s="3" t="s">
        <v>2335</v>
      </c>
      <c r="E429" s="3" t="s">
        <v>988</v>
      </c>
      <c r="F429" s="20">
        <f>LEN(G429)</f>
        <v>33</v>
      </c>
      <c r="G429" s="3" t="s">
        <v>2336</v>
      </c>
      <c r="H429" s="24" t="s">
        <v>940</v>
      </c>
      <c r="I429" s="24" t="s">
        <v>1987</v>
      </c>
      <c r="J429" s="3" t="s">
        <v>154</v>
      </c>
      <c r="K429" s="3" t="s">
        <v>154</v>
      </c>
      <c r="L429" s="3" t="s">
        <v>155</v>
      </c>
      <c r="M429" s="3" t="s">
        <v>2007</v>
      </c>
      <c r="N429" s="20">
        <v>109526</v>
      </c>
      <c r="O429" s="3" t="s">
        <v>2335</v>
      </c>
      <c r="P429" s="3" t="s">
        <v>157</v>
      </c>
      <c r="Q429" s="5"/>
      <c r="R429" s="3" t="s">
        <v>2337</v>
      </c>
      <c r="S429" s="6">
        <v>46294</v>
      </c>
      <c r="T429" s="24"/>
      <c r="U429" s="3" t="b">
        <v>1</v>
      </c>
      <c r="V429" s="5"/>
      <c r="W429" s="64"/>
      <c r="X429" s="64"/>
      <c r="Y429" s="64"/>
      <c r="Z429" s="64"/>
      <c r="AA429" s="59" t="s">
        <v>2338</v>
      </c>
      <c r="AB429" s="65"/>
      <c r="AC429" s="68"/>
      <c r="AD429" s="65"/>
      <c r="AE429" s="68"/>
      <c r="AF429" s="66"/>
      <c r="AG429" s="68"/>
      <c r="AH429" s="67"/>
      <c r="AI429" s="69"/>
      <c r="AJ429" s="69"/>
      <c r="AK429" s="69"/>
      <c r="AL429" s="86"/>
      <c r="AM429" s="88"/>
      <c r="AN429" s="88"/>
      <c r="AO429" s="88"/>
      <c r="AP429" s="59"/>
      <c r="AQ429" s="68"/>
      <c r="AR429" s="59"/>
      <c r="AS429" s="68"/>
      <c r="AT429" s="59"/>
      <c r="AU429" s="68"/>
    </row>
    <row r="430" spans="1:47" ht="45" customHeight="1">
      <c r="A430" s="3" t="s">
        <v>148</v>
      </c>
      <c r="B430" s="3" t="s">
        <v>539</v>
      </c>
      <c r="C430" s="6">
        <v>46283</v>
      </c>
      <c r="D430" s="3" t="s">
        <v>2339</v>
      </c>
      <c r="E430" s="3" t="s">
        <v>988</v>
      </c>
      <c r="F430" s="20">
        <f>LEN(G430)</f>
        <v>47</v>
      </c>
      <c r="G430" s="3" t="s">
        <v>2340</v>
      </c>
      <c r="H430" s="24" t="s">
        <v>940</v>
      </c>
      <c r="I430" s="24" t="s">
        <v>1987</v>
      </c>
      <c r="J430" s="3" t="s">
        <v>154</v>
      </c>
      <c r="K430" s="3" t="s">
        <v>154</v>
      </c>
      <c r="L430" s="3" t="s">
        <v>155</v>
      </c>
      <c r="M430" s="3" t="s">
        <v>2007</v>
      </c>
      <c r="N430" s="20">
        <v>109526</v>
      </c>
      <c r="O430" s="3" t="s">
        <v>2339</v>
      </c>
      <c r="P430" s="3" t="s">
        <v>157</v>
      </c>
      <c r="Q430" s="5"/>
      <c r="R430" s="3" t="s">
        <v>2341</v>
      </c>
      <c r="S430" s="6">
        <v>46294</v>
      </c>
      <c r="T430" s="24"/>
      <c r="U430" s="3" t="b">
        <v>1</v>
      </c>
      <c r="V430" s="5"/>
      <c r="W430" s="64"/>
      <c r="X430" s="64"/>
      <c r="Y430" s="64"/>
      <c r="Z430" s="64"/>
      <c r="AA430" s="59" t="s">
        <v>2342</v>
      </c>
      <c r="AB430" s="65"/>
      <c r="AC430" s="68"/>
      <c r="AD430" s="65"/>
      <c r="AE430" s="68"/>
      <c r="AF430" s="66"/>
      <c r="AG430" s="68"/>
      <c r="AH430" s="67"/>
      <c r="AI430" s="69"/>
      <c r="AJ430" s="69"/>
      <c r="AK430" s="69"/>
      <c r="AL430" s="86"/>
      <c r="AM430" s="88"/>
      <c r="AN430" s="88"/>
      <c r="AO430" s="88"/>
      <c r="AP430" s="59"/>
      <c r="AQ430" s="68"/>
      <c r="AR430" s="59"/>
      <c r="AS430" s="68"/>
      <c r="AT430" s="59"/>
      <c r="AU430" s="68"/>
    </row>
    <row r="431" spans="1:47" ht="45" customHeight="1">
      <c r="A431" s="3" t="s">
        <v>148</v>
      </c>
      <c r="B431" s="3" t="s">
        <v>539</v>
      </c>
      <c r="C431" s="6">
        <v>46283</v>
      </c>
      <c r="D431" s="3" t="s">
        <v>2335</v>
      </c>
      <c r="E431" s="3" t="s">
        <v>988</v>
      </c>
      <c r="F431" s="20">
        <f>LEN(G431)</f>
        <v>41</v>
      </c>
      <c r="G431" s="3" t="s">
        <v>2343</v>
      </c>
      <c r="H431" s="24" t="s">
        <v>940</v>
      </c>
      <c r="I431" s="3" t="s">
        <v>1987</v>
      </c>
      <c r="J431" s="3" t="s">
        <v>154</v>
      </c>
      <c r="K431" s="3" t="s">
        <v>154</v>
      </c>
      <c r="L431" s="3" t="s">
        <v>155</v>
      </c>
      <c r="M431" s="3" t="s">
        <v>2007</v>
      </c>
      <c r="N431" s="20">
        <v>109526</v>
      </c>
      <c r="O431" s="3" t="s">
        <v>2335</v>
      </c>
      <c r="P431" s="3" t="s">
        <v>157</v>
      </c>
      <c r="Q431" s="5"/>
      <c r="R431" s="3" t="s">
        <v>2337</v>
      </c>
      <c r="S431" s="5"/>
      <c r="T431" s="24" t="s">
        <v>2344</v>
      </c>
      <c r="U431" s="3" t="b">
        <v>0</v>
      </c>
      <c r="V431" s="5"/>
      <c r="W431" s="64"/>
      <c r="X431" s="64"/>
      <c r="Y431" s="64"/>
      <c r="Z431" s="64"/>
      <c r="AA431" s="59" t="s">
        <v>2338</v>
      </c>
      <c r="AB431" s="65"/>
      <c r="AC431" s="68"/>
      <c r="AD431" s="65"/>
      <c r="AE431" s="68"/>
      <c r="AF431" s="66"/>
      <c r="AG431" s="68"/>
      <c r="AH431" s="67"/>
      <c r="AI431" s="69"/>
      <c r="AJ431" s="69"/>
      <c r="AK431" s="69"/>
      <c r="AL431" s="86"/>
      <c r="AM431" s="88"/>
      <c r="AN431" s="88"/>
      <c r="AO431" s="88"/>
      <c r="AP431" s="59"/>
      <c r="AQ431" s="68"/>
      <c r="AR431" s="59"/>
      <c r="AS431" s="68"/>
      <c r="AT431" s="59"/>
      <c r="AU431" s="68"/>
    </row>
    <row r="432" spans="1:47" ht="45" customHeight="1">
      <c r="A432" s="3" t="s">
        <v>148</v>
      </c>
      <c r="B432" s="3" t="s">
        <v>539</v>
      </c>
      <c r="C432" s="6">
        <v>46283</v>
      </c>
      <c r="D432" s="3" t="s">
        <v>2345</v>
      </c>
      <c r="E432" s="3" t="s">
        <v>2346</v>
      </c>
      <c r="F432" s="20">
        <f>LEN(G432)</f>
        <v>26</v>
      </c>
      <c r="G432" s="3" t="s">
        <v>2347</v>
      </c>
      <c r="H432" s="24" t="s">
        <v>2348</v>
      </c>
      <c r="I432" s="5"/>
      <c r="J432" s="3" t="s">
        <v>154</v>
      </c>
      <c r="K432" s="3" t="s">
        <v>154</v>
      </c>
      <c r="L432" s="3" t="s">
        <v>155</v>
      </c>
      <c r="M432" s="3" t="s">
        <v>2349</v>
      </c>
      <c r="N432" s="20">
        <v>8867</v>
      </c>
      <c r="O432" s="3" t="s">
        <v>2345</v>
      </c>
      <c r="P432" s="3" t="s">
        <v>157</v>
      </c>
      <c r="Q432" s="5"/>
      <c r="R432" s="3" t="s">
        <v>2350</v>
      </c>
      <c r="S432" s="5"/>
      <c r="T432" s="24" t="s">
        <v>2351</v>
      </c>
      <c r="U432" s="3" t="b">
        <v>0</v>
      </c>
      <c r="V432" s="5"/>
      <c r="W432" s="64"/>
      <c r="X432" s="64"/>
      <c r="Y432" s="64"/>
      <c r="Z432" s="64"/>
      <c r="AA432" s="59" t="s">
        <v>2352</v>
      </c>
      <c r="AB432" s="65"/>
      <c r="AC432" s="68"/>
      <c r="AD432" s="65"/>
      <c r="AE432" s="68"/>
      <c r="AF432" s="66"/>
      <c r="AG432" s="68"/>
      <c r="AH432" s="67"/>
      <c r="AI432" s="69"/>
      <c r="AJ432" s="69"/>
      <c r="AK432" s="69"/>
      <c r="AL432" s="86"/>
      <c r="AM432" s="88"/>
      <c r="AN432" s="88"/>
      <c r="AO432" s="88"/>
      <c r="AP432" s="59"/>
      <c r="AQ432" s="68"/>
      <c r="AR432" s="59"/>
      <c r="AS432" s="68"/>
      <c r="AT432" s="59"/>
      <c r="AU432" s="68"/>
    </row>
    <row r="433" spans="1:47" ht="45" customHeight="1">
      <c r="A433" s="3" t="s">
        <v>148</v>
      </c>
      <c r="B433" s="3" t="s">
        <v>539</v>
      </c>
      <c r="C433" s="6">
        <v>46283</v>
      </c>
      <c r="D433" s="3" t="s">
        <v>2353</v>
      </c>
      <c r="E433" s="3" t="s">
        <v>2354</v>
      </c>
      <c r="F433" s="20">
        <f>LEN(G433)</f>
        <v>71</v>
      </c>
      <c r="G433" s="3" t="s">
        <v>2355</v>
      </c>
      <c r="H433" s="24" t="s">
        <v>1003</v>
      </c>
      <c r="I433" s="5"/>
      <c r="J433" s="3" t="s">
        <v>154</v>
      </c>
      <c r="K433" s="3" t="s">
        <v>154</v>
      </c>
      <c r="L433" s="3" t="s">
        <v>155</v>
      </c>
      <c r="M433" s="3" t="s">
        <v>2356</v>
      </c>
      <c r="N433" s="20" t="s">
        <v>2357</v>
      </c>
      <c r="O433" s="3" t="s">
        <v>2353</v>
      </c>
      <c r="P433" s="3" t="s">
        <v>157</v>
      </c>
      <c r="Q433" s="5"/>
      <c r="R433" s="3" t="s">
        <v>2358</v>
      </c>
      <c r="S433" s="6">
        <v>46300</v>
      </c>
      <c r="T433" s="24" t="s">
        <v>2359</v>
      </c>
      <c r="U433" s="3" t="b">
        <v>0</v>
      </c>
      <c r="V433" s="3" t="s">
        <v>1993</v>
      </c>
      <c r="W433" s="64"/>
      <c r="X433" s="64"/>
      <c r="Y433" s="64"/>
      <c r="Z433" s="64"/>
      <c r="AA433" s="59" t="s">
        <v>2360</v>
      </c>
      <c r="AB433" s="65"/>
      <c r="AC433" s="68"/>
      <c r="AD433" s="65"/>
      <c r="AE433" s="68"/>
      <c r="AF433" s="66"/>
      <c r="AG433" s="68"/>
      <c r="AH433" s="67"/>
      <c r="AI433" s="69"/>
      <c r="AJ433" s="69"/>
      <c r="AK433" s="69"/>
      <c r="AL433" s="86"/>
      <c r="AM433" s="88"/>
      <c r="AN433" s="88"/>
      <c r="AO433" s="88"/>
      <c r="AP433" s="59"/>
      <c r="AQ433" s="68"/>
      <c r="AR433" s="59"/>
      <c r="AS433" s="68"/>
      <c r="AT433" s="59"/>
      <c r="AU433" s="68"/>
    </row>
    <row r="434" spans="1:47" ht="45" customHeight="1">
      <c r="A434" s="3" t="s">
        <v>148</v>
      </c>
      <c r="B434" s="3" t="s">
        <v>539</v>
      </c>
      <c r="C434" s="6">
        <v>46283</v>
      </c>
      <c r="D434" s="3" t="s">
        <v>2361</v>
      </c>
      <c r="E434" s="3" t="s">
        <v>2354</v>
      </c>
      <c r="F434" s="20">
        <f>LEN(G434)</f>
        <v>58</v>
      </c>
      <c r="G434" s="3" t="s">
        <v>2362</v>
      </c>
      <c r="H434" s="24" t="s">
        <v>1003</v>
      </c>
      <c r="I434" s="5"/>
      <c r="J434" s="3" t="s">
        <v>154</v>
      </c>
      <c r="K434" s="3" t="s">
        <v>154</v>
      </c>
      <c r="L434" s="3" t="s">
        <v>155</v>
      </c>
      <c r="M434" s="3" t="s">
        <v>2356</v>
      </c>
      <c r="N434" s="20" t="s">
        <v>2357</v>
      </c>
      <c r="O434" s="3" t="s">
        <v>2361</v>
      </c>
      <c r="P434" s="3" t="s">
        <v>157</v>
      </c>
      <c r="Q434" s="5"/>
      <c r="R434" s="3" t="s">
        <v>2363</v>
      </c>
      <c r="S434" s="6">
        <v>46286</v>
      </c>
      <c r="T434" s="24" t="s">
        <v>2364</v>
      </c>
      <c r="U434" s="3" t="b">
        <v>0</v>
      </c>
      <c r="V434" s="5"/>
      <c r="W434" s="64"/>
      <c r="X434" s="64"/>
      <c r="Y434" s="64"/>
      <c r="Z434" s="64"/>
      <c r="AA434" s="59" t="s">
        <v>2365</v>
      </c>
      <c r="AB434" s="65"/>
      <c r="AC434" s="68"/>
      <c r="AD434" s="65"/>
      <c r="AE434" s="68"/>
      <c r="AF434" s="66"/>
      <c r="AG434" s="68"/>
      <c r="AH434" s="67"/>
      <c r="AI434" s="69"/>
      <c r="AJ434" s="69"/>
      <c r="AK434" s="69"/>
      <c r="AL434" s="86"/>
      <c r="AM434" s="88"/>
      <c r="AN434" s="88"/>
      <c r="AO434" s="88"/>
      <c r="AP434" s="59"/>
      <c r="AQ434" s="68"/>
      <c r="AR434" s="59"/>
      <c r="AS434" s="68"/>
      <c r="AT434" s="59"/>
      <c r="AU434" s="68"/>
    </row>
    <row r="435" spans="1:47" ht="45" customHeight="1">
      <c r="A435" s="3" t="s">
        <v>148</v>
      </c>
      <c r="B435" s="3" t="s">
        <v>539</v>
      </c>
      <c r="C435" s="6">
        <v>46283</v>
      </c>
      <c r="D435" s="3" t="s">
        <v>2366</v>
      </c>
      <c r="E435" s="3" t="s">
        <v>669</v>
      </c>
      <c r="F435" s="20">
        <f>LEN(G435)</f>
        <v>35</v>
      </c>
      <c r="G435" s="3" t="s">
        <v>2367</v>
      </c>
      <c r="H435" s="24" t="s">
        <v>336</v>
      </c>
      <c r="I435" s="5"/>
      <c r="J435" s="3" t="s">
        <v>154</v>
      </c>
      <c r="K435" s="3" t="s">
        <v>154</v>
      </c>
      <c r="L435" s="3" t="s">
        <v>155</v>
      </c>
      <c r="M435" s="3" t="s">
        <v>1821</v>
      </c>
      <c r="N435" s="20">
        <v>14436</v>
      </c>
      <c r="O435" s="3" t="s">
        <v>2366</v>
      </c>
      <c r="P435" s="3" t="s">
        <v>157</v>
      </c>
      <c r="Q435" s="5"/>
      <c r="R435" s="3" t="s">
        <v>2368</v>
      </c>
      <c r="S435" s="6"/>
      <c r="T435" s="24" t="s">
        <v>2369</v>
      </c>
      <c r="U435" s="3" t="b">
        <v>0</v>
      </c>
      <c r="V435" s="5"/>
      <c r="W435" s="64"/>
      <c r="X435" s="64"/>
      <c r="Y435" s="64"/>
      <c r="Z435" s="64"/>
      <c r="AA435" s="59" t="s">
        <v>2370</v>
      </c>
      <c r="AB435" s="65"/>
      <c r="AC435" s="68"/>
      <c r="AD435" s="65"/>
      <c r="AE435" s="68"/>
      <c r="AF435" s="66"/>
      <c r="AG435" s="68"/>
      <c r="AH435" s="67"/>
      <c r="AI435" s="69"/>
      <c r="AJ435" s="69"/>
      <c r="AK435" s="69"/>
      <c r="AL435" s="86"/>
      <c r="AM435" s="88"/>
      <c r="AN435" s="88"/>
      <c r="AO435" s="88"/>
      <c r="AP435" s="59"/>
      <c r="AQ435" s="68"/>
      <c r="AR435" s="59"/>
      <c r="AS435" s="68"/>
      <c r="AT435" s="59"/>
      <c r="AU435" s="68"/>
    </row>
    <row r="436" spans="1:47" ht="45" customHeight="1">
      <c r="A436" s="3" t="s">
        <v>148</v>
      </c>
      <c r="B436" s="3" t="s">
        <v>539</v>
      </c>
      <c r="C436" s="6">
        <v>46283</v>
      </c>
      <c r="D436" s="3" t="s">
        <v>2371</v>
      </c>
      <c r="E436" s="3" t="s">
        <v>669</v>
      </c>
      <c r="F436" s="20">
        <f>LEN(G436)</f>
        <v>23</v>
      </c>
      <c r="G436" s="3" t="s">
        <v>2372</v>
      </c>
      <c r="H436" s="24" t="s">
        <v>660</v>
      </c>
      <c r="I436" s="24"/>
      <c r="J436" s="3" t="s">
        <v>154</v>
      </c>
      <c r="K436" s="3" t="s">
        <v>154</v>
      </c>
      <c r="L436" s="3" t="s">
        <v>155</v>
      </c>
      <c r="M436" s="3" t="s">
        <v>1821</v>
      </c>
      <c r="N436" s="20">
        <v>14436</v>
      </c>
      <c r="O436" s="3" t="s">
        <v>2371</v>
      </c>
      <c r="P436" s="3" t="s">
        <v>157</v>
      </c>
      <c r="Q436" s="5"/>
      <c r="R436" s="3" t="s">
        <v>2373</v>
      </c>
      <c r="S436" s="6">
        <v>46294</v>
      </c>
      <c r="T436" s="24"/>
      <c r="U436" s="3" t="b">
        <v>1</v>
      </c>
      <c r="V436" s="5"/>
      <c r="W436" s="64"/>
      <c r="X436" s="64"/>
      <c r="Y436" s="64"/>
      <c r="Z436" s="64"/>
      <c r="AA436" s="59" t="s">
        <v>2374</v>
      </c>
      <c r="AB436" s="65"/>
      <c r="AC436" s="68"/>
      <c r="AD436" s="65"/>
      <c r="AE436" s="68"/>
      <c r="AF436" s="66"/>
      <c r="AG436" s="68"/>
      <c r="AH436" s="67"/>
      <c r="AI436" s="69"/>
      <c r="AJ436" s="69"/>
      <c r="AK436" s="69"/>
      <c r="AL436" s="86"/>
      <c r="AM436" s="88"/>
      <c r="AN436" s="88"/>
      <c r="AO436" s="88"/>
      <c r="AP436" s="59"/>
      <c r="AQ436" s="68"/>
      <c r="AR436" s="59"/>
      <c r="AS436" s="68"/>
      <c r="AT436" s="59"/>
      <c r="AU436" s="68"/>
    </row>
    <row r="437" spans="1:47" ht="45" customHeight="1">
      <c r="A437" s="3" t="s">
        <v>148</v>
      </c>
      <c r="B437" s="3" t="s">
        <v>160</v>
      </c>
      <c r="C437" s="6">
        <v>46286</v>
      </c>
      <c r="D437" s="3" t="s">
        <v>2375</v>
      </c>
      <c r="E437" s="3" t="s">
        <v>855</v>
      </c>
      <c r="F437" s="20">
        <f>LEN(G437)</f>
        <v>47</v>
      </c>
      <c r="G437" s="3" t="s">
        <v>2376</v>
      </c>
      <c r="H437" s="24" t="s">
        <v>313</v>
      </c>
      <c r="I437" s="24"/>
      <c r="J437" s="3" t="s">
        <v>154</v>
      </c>
      <c r="K437" s="3" t="s">
        <v>154</v>
      </c>
      <c r="L437" s="3" t="s">
        <v>155</v>
      </c>
      <c r="M437" s="3" t="s">
        <v>858</v>
      </c>
      <c r="N437" s="20">
        <v>5977</v>
      </c>
      <c r="O437" s="3" t="s">
        <v>2375</v>
      </c>
      <c r="P437" s="3" t="s">
        <v>157</v>
      </c>
      <c r="Q437" s="5"/>
      <c r="R437" s="3" t="s">
        <v>2377</v>
      </c>
      <c r="S437" s="6">
        <v>46289</v>
      </c>
      <c r="T437" s="24"/>
      <c r="U437" s="3" t="b">
        <v>1</v>
      </c>
      <c r="V437" s="5"/>
      <c r="W437" s="64"/>
      <c r="X437" s="64"/>
      <c r="Y437" s="64"/>
      <c r="Z437" s="64"/>
      <c r="AA437" s="59" t="s">
        <v>2378</v>
      </c>
      <c r="AB437" s="65"/>
      <c r="AC437" s="68"/>
      <c r="AD437" s="65"/>
      <c r="AE437" s="68"/>
      <c r="AF437" s="66"/>
      <c r="AG437" s="68"/>
      <c r="AH437" s="67"/>
      <c r="AI437" s="69"/>
      <c r="AJ437" s="69"/>
      <c r="AK437" s="69"/>
      <c r="AL437" s="86"/>
      <c r="AM437" s="88"/>
      <c r="AN437" s="88"/>
      <c r="AO437" s="88"/>
      <c r="AP437" s="59"/>
      <c r="AQ437" s="68"/>
      <c r="AR437" s="59"/>
      <c r="AS437" s="68"/>
      <c r="AT437" s="59"/>
      <c r="AU437" s="68"/>
    </row>
    <row r="438" spans="1:47" ht="45" customHeight="1">
      <c r="A438" s="3" t="s">
        <v>148</v>
      </c>
      <c r="B438" s="3" t="s">
        <v>160</v>
      </c>
      <c r="C438" s="6">
        <v>46286</v>
      </c>
      <c r="D438" s="3" t="s">
        <v>2379</v>
      </c>
      <c r="E438" s="3" t="s">
        <v>855</v>
      </c>
      <c r="F438" s="20">
        <f>LEN(G438)</f>
        <v>47</v>
      </c>
      <c r="G438" s="3" t="s">
        <v>2380</v>
      </c>
      <c r="H438" s="24" t="s">
        <v>313</v>
      </c>
      <c r="I438" s="24"/>
      <c r="J438" s="3" t="s">
        <v>154</v>
      </c>
      <c r="K438" s="3" t="s">
        <v>154</v>
      </c>
      <c r="L438" s="3" t="s">
        <v>155</v>
      </c>
      <c r="M438" s="3" t="s">
        <v>858</v>
      </c>
      <c r="N438" s="20">
        <v>5977</v>
      </c>
      <c r="O438" s="3" t="s">
        <v>2379</v>
      </c>
      <c r="P438" s="3" t="s">
        <v>157</v>
      </c>
      <c r="Q438" s="5"/>
      <c r="R438" s="3" t="s">
        <v>2381</v>
      </c>
      <c r="S438" s="6">
        <v>46289</v>
      </c>
      <c r="T438" s="24"/>
      <c r="U438" s="3" t="b">
        <v>1</v>
      </c>
      <c r="V438" s="5"/>
      <c r="W438" s="64"/>
      <c r="X438" s="64"/>
      <c r="Y438" s="64"/>
      <c r="Z438" s="64"/>
      <c r="AA438" s="59" t="s">
        <v>2382</v>
      </c>
      <c r="AB438" s="65"/>
      <c r="AC438" s="68"/>
      <c r="AD438" s="65"/>
      <c r="AE438" s="68"/>
      <c r="AF438" s="66"/>
      <c r="AG438" s="68"/>
      <c r="AH438" s="67"/>
      <c r="AI438" s="69"/>
      <c r="AJ438" s="69"/>
      <c r="AK438" s="69"/>
      <c r="AL438" s="86"/>
      <c r="AM438" s="88"/>
      <c r="AN438" s="88"/>
      <c r="AO438" s="88"/>
      <c r="AP438" s="59"/>
      <c r="AQ438" s="68"/>
      <c r="AR438" s="59"/>
      <c r="AS438" s="68"/>
      <c r="AT438" s="59"/>
      <c r="AU438" s="68"/>
    </row>
    <row r="439" spans="1:47" ht="45" customHeight="1">
      <c r="A439" s="3" t="s">
        <v>148</v>
      </c>
      <c r="B439" s="3" t="s">
        <v>160</v>
      </c>
      <c r="C439" s="6">
        <v>46286</v>
      </c>
      <c r="D439" s="3" t="s">
        <v>2383</v>
      </c>
      <c r="E439" s="3" t="s">
        <v>855</v>
      </c>
      <c r="F439" s="20">
        <f>LEN(G439)</f>
        <v>47</v>
      </c>
      <c r="G439" s="3" t="s">
        <v>2384</v>
      </c>
      <c r="H439" s="24" t="s">
        <v>313</v>
      </c>
      <c r="I439" s="24"/>
      <c r="J439" s="3" t="s">
        <v>154</v>
      </c>
      <c r="K439" s="3" t="s">
        <v>154</v>
      </c>
      <c r="L439" s="3" t="s">
        <v>155</v>
      </c>
      <c r="M439" s="3" t="s">
        <v>858</v>
      </c>
      <c r="N439" s="20">
        <v>5977</v>
      </c>
      <c r="O439" s="3" t="s">
        <v>2383</v>
      </c>
      <c r="P439" s="3" t="s">
        <v>157</v>
      </c>
      <c r="Q439" s="5"/>
      <c r="R439" s="3" t="s">
        <v>2385</v>
      </c>
      <c r="S439" s="6">
        <v>46289</v>
      </c>
      <c r="T439" s="24"/>
      <c r="U439" s="3" t="b">
        <v>1</v>
      </c>
      <c r="V439" s="5"/>
      <c r="W439" s="64"/>
      <c r="X439" s="64"/>
      <c r="Y439" s="64"/>
      <c r="Z439" s="64"/>
      <c r="AA439" s="59" t="s">
        <v>2386</v>
      </c>
      <c r="AB439" s="65"/>
      <c r="AC439" s="68"/>
      <c r="AD439" s="65"/>
      <c r="AE439" s="68"/>
      <c r="AF439" s="66"/>
      <c r="AG439" s="68"/>
      <c r="AH439" s="67"/>
      <c r="AI439" s="69"/>
      <c r="AJ439" s="69"/>
      <c r="AK439" s="69"/>
      <c r="AL439" s="86"/>
      <c r="AM439" s="88"/>
      <c r="AN439" s="88"/>
      <c r="AO439" s="88"/>
      <c r="AP439" s="59"/>
      <c r="AQ439" s="68"/>
      <c r="AR439" s="59"/>
      <c r="AS439" s="68"/>
      <c r="AT439" s="59"/>
      <c r="AU439" s="68"/>
    </row>
    <row r="440" spans="1:47" ht="45" customHeight="1">
      <c r="A440" s="3" t="s">
        <v>148</v>
      </c>
      <c r="B440" s="3" t="s">
        <v>160</v>
      </c>
      <c r="C440" s="6">
        <v>46286</v>
      </c>
      <c r="D440" s="3" t="s">
        <v>2387</v>
      </c>
      <c r="E440" s="3" t="s">
        <v>855</v>
      </c>
      <c r="F440" s="20">
        <f>LEN(G440)</f>
        <v>48</v>
      </c>
      <c r="G440" s="3" t="s">
        <v>2388</v>
      </c>
      <c r="H440" s="24" t="s">
        <v>313</v>
      </c>
      <c r="I440" s="24"/>
      <c r="J440" s="3" t="s">
        <v>154</v>
      </c>
      <c r="K440" s="3" t="s">
        <v>154</v>
      </c>
      <c r="L440" s="3" t="s">
        <v>155</v>
      </c>
      <c r="M440" s="3" t="s">
        <v>858</v>
      </c>
      <c r="N440" s="20">
        <v>5977</v>
      </c>
      <c r="O440" s="3" t="s">
        <v>2387</v>
      </c>
      <c r="P440" s="3" t="s">
        <v>157</v>
      </c>
      <c r="Q440" s="5"/>
      <c r="R440" s="3" t="s">
        <v>2389</v>
      </c>
      <c r="S440" s="6">
        <v>46289</v>
      </c>
      <c r="T440" s="24"/>
      <c r="U440" s="3" t="b">
        <v>1</v>
      </c>
      <c r="V440" s="5"/>
      <c r="W440" s="64"/>
      <c r="X440" s="64"/>
      <c r="Y440" s="64"/>
      <c r="Z440" s="64"/>
      <c r="AA440" s="59" t="s">
        <v>2390</v>
      </c>
      <c r="AB440" s="65"/>
      <c r="AC440" s="68"/>
      <c r="AD440" s="65"/>
      <c r="AE440" s="68"/>
      <c r="AF440" s="66"/>
      <c r="AG440" s="68"/>
      <c r="AH440" s="67"/>
      <c r="AI440" s="69"/>
      <c r="AJ440" s="69"/>
      <c r="AK440" s="69"/>
      <c r="AL440" s="86"/>
      <c r="AM440" s="88"/>
      <c r="AN440" s="88"/>
      <c r="AO440" s="88"/>
      <c r="AP440" s="59"/>
      <c r="AQ440" s="68"/>
      <c r="AR440" s="59"/>
      <c r="AS440" s="68"/>
      <c r="AT440" s="59"/>
      <c r="AU440" s="68"/>
    </row>
    <row r="441" spans="1:47" ht="45" customHeight="1">
      <c r="A441" s="3" t="s">
        <v>148</v>
      </c>
      <c r="B441" s="3" t="s">
        <v>160</v>
      </c>
      <c r="C441" s="6">
        <v>46286</v>
      </c>
      <c r="D441" s="3" t="s">
        <v>2391</v>
      </c>
      <c r="E441" s="3" t="s">
        <v>855</v>
      </c>
      <c r="F441" s="20">
        <f>LEN(G441)</f>
        <v>47</v>
      </c>
      <c r="G441" s="3" t="s">
        <v>2392</v>
      </c>
      <c r="H441" s="24" t="s">
        <v>313</v>
      </c>
      <c r="I441" s="24"/>
      <c r="J441" s="3" t="s">
        <v>154</v>
      </c>
      <c r="K441" s="3" t="s">
        <v>154</v>
      </c>
      <c r="L441" s="3" t="s">
        <v>155</v>
      </c>
      <c r="M441" s="3" t="s">
        <v>858</v>
      </c>
      <c r="N441" s="20">
        <v>5977</v>
      </c>
      <c r="O441" s="3" t="s">
        <v>2391</v>
      </c>
      <c r="P441" s="3" t="s">
        <v>157</v>
      </c>
      <c r="Q441" s="5"/>
      <c r="R441" s="3" t="s">
        <v>2393</v>
      </c>
      <c r="S441" s="6">
        <v>46289</v>
      </c>
      <c r="T441" s="24"/>
      <c r="U441" s="3" t="b">
        <v>1</v>
      </c>
      <c r="V441" s="5"/>
      <c r="W441" s="64"/>
      <c r="X441" s="64"/>
      <c r="Y441" s="64"/>
      <c r="Z441" s="64"/>
      <c r="AA441" s="59" t="s">
        <v>2394</v>
      </c>
      <c r="AB441" s="65"/>
      <c r="AC441" s="68"/>
      <c r="AD441" s="65"/>
      <c r="AE441" s="68"/>
      <c r="AF441" s="66"/>
      <c r="AG441" s="68"/>
      <c r="AH441" s="67"/>
      <c r="AI441" s="69"/>
      <c r="AJ441" s="69"/>
      <c r="AK441" s="69"/>
      <c r="AL441" s="86"/>
      <c r="AM441" s="88"/>
      <c r="AN441" s="88"/>
      <c r="AO441" s="88"/>
      <c r="AP441" s="59"/>
      <c r="AQ441" s="68"/>
      <c r="AR441" s="59"/>
      <c r="AS441" s="68"/>
      <c r="AT441" s="59"/>
      <c r="AU441" s="68"/>
    </row>
    <row r="442" spans="1:47" ht="45" customHeight="1">
      <c r="A442" s="3" t="s">
        <v>148</v>
      </c>
      <c r="B442" s="3" t="s">
        <v>160</v>
      </c>
      <c r="C442" s="6">
        <v>46286</v>
      </c>
      <c r="D442" s="3" t="s">
        <v>2395</v>
      </c>
      <c r="E442" s="3" t="s">
        <v>855</v>
      </c>
      <c r="F442" s="20">
        <f>LEN(G442)</f>
        <v>47</v>
      </c>
      <c r="G442" s="3" t="s">
        <v>2396</v>
      </c>
      <c r="H442" s="24" t="s">
        <v>313</v>
      </c>
      <c r="I442" s="24"/>
      <c r="J442" s="3" t="s">
        <v>154</v>
      </c>
      <c r="K442" s="3" t="s">
        <v>154</v>
      </c>
      <c r="L442" s="3" t="s">
        <v>155</v>
      </c>
      <c r="M442" s="3" t="s">
        <v>858</v>
      </c>
      <c r="N442" s="20">
        <v>5977</v>
      </c>
      <c r="O442" s="3" t="s">
        <v>2395</v>
      </c>
      <c r="P442" s="3" t="s">
        <v>157</v>
      </c>
      <c r="Q442" s="5"/>
      <c r="R442" s="3" t="s">
        <v>2397</v>
      </c>
      <c r="S442" s="6">
        <v>46289</v>
      </c>
      <c r="T442" s="24"/>
      <c r="U442" s="3" t="b">
        <v>1</v>
      </c>
      <c r="V442" s="5"/>
      <c r="W442" s="64"/>
      <c r="X442" s="64"/>
      <c r="Y442" s="64"/>
      <c r="Z442" s="64"/>
      <c r="AA442" s="59" t="s">
        <v>2398</v>
      </c>
      <c r="AB442" s="65"/>
      <c r="AC442" s="68"/>
      <c r="AD442" s="65"/>
      <c r="AE442" s="68"/>
      <c r="AF442" s="66"/>
      <c r="AG442" s="68"/>
      <c r="AH442" s="67"/>
      <c r="AI442" s="69"/>
      <c r="AJ442" s="69"/>
      <c r="AK442" s="69"/>
      <c r="AL442" s="86"/>
      <c r="AM442" s="88"/>
      <c r="AN442" s="88"/>
      <c r="AO442" s="88"/>
      <c r="AP442" s="59"/>
      <c r="AQ442" s="68"/>
      <c r="AR442" s="59"/>
      <c r="AS442" s="68"/>
      <c r="AT442" s="59"/>
      <c r="AU442" s="68"/>
    </row>
    <row r="443" spans="1:47" ht="45" customHeight="1">
      <c r="A443" s="3" t="s">
        <v>148</v>
      </c>
      <c r="B443" s="3" t="s">
        <v>160</v>
      </c>
      <c r="C443" s="6">
        <v>46286</v>
      </c>
      <c r="D443" s="3" t="s">
        <v>2399</v>
      </c>
      <c r="E443" s="3" t="s">
        <v>2400</v>
      </c>
      <c r="F443" s="20">
        <f>LEN(G443)</f>
        <v>98</v>
      </c>
      <c r="G443" s="3" t="s">
        <v>2401</v>
      </c>
      <c r="H443" s="24" t="s">
        <v>2402</v>
      </c>
      <c r="I443" s="5"/>
      <c r="J443" s="3" t="s">
        <v>154</v>
      </c>
      <c r="K443" s="3" t="s">
        <v>154</v>
      </c>
      <c r="L443" s="3" t="s">
        <v>155</v>
      </c>
      <c r="M443" s="3" t="s">
        <v>2403</v>
      </c>
      <c r="N443" s="20">
        <v>7247</v>
      </c>
      <c r="O443" s="3" t="s">
        <v>2399</v>
      </c>
      <c r="P443" s="3" t="s">
        <v>157</v>
      </c>
      <c r="Q443" s="5"/>
      <c r="R443" s="3" t="s">
        <v>2404</v>
      </c>
      <c r="S443" s="3">
        <v>46295</v>
      </c>
      <c r="T443" s="24"/>
      <c r="U443" s="3" t="b">
        <v>0</v>
      </c>
      <c r="V443" s="5"/>
      <c r="W443" s="64"/>
      <c r="X443" s="64"/>
      <c r="Y443" s="64"/>
      <c r="Z443" s="64"/>
      <c r="AA443" s="59" t="s">
        <v>2405</v>
      </c>
      <c r="AB443" s="65"/>
      <c r="AC443" s="68"/>
      <c r="AD443" s="65"/>
      <c r="AE443" s="68"/>
      <c r="AF443" s="66"/>
      <c r="AG443" s="68"/>
      <c r="AH443" s="67"/>
      <c r="AI443" s="69"/>
      <c r="AJ443" s="69"/>
      <c r="AK443" s="69"/>
      <c r="AL443" s="86"/>
      <c r="AM443" s="88"/>
      <c r="AN443" s="88"/>
      <c r="AO443" s="88"/>
      <c r="AP443" s="59"/>
      <c r="AQ443" s="68"/>
      <c r="AR443" s="59"/>
      <c r="AS443" s="68"/>
      <c r="AT443" s="59"/>
      <c r="AU443" s="68"/>
    </row>
    <row r="444" spans="1:47" ht="45" customHeight="1">
      <c r="A444" s="3" t="s">
        <v>148</v>
      </c>
      <c r="B444" s="3" t="s">
        <v>160</v>
      </c>
      <c r="C444" s="6">
        <v>46286</v>
      </c>
      <c r="D444" s="3" t="s">
        <v>2406</v>
      </c>
      <c r="E444" s="3" t="s">
        <v>2400</v>
      </c>
      <c r="F444" s="20">
        <f>LEN(G444)</f>
        <v>98</v>
      </c>
      <c r="G444" s="3" t="s">
        <v>2407</v>
      </c>
      <c r="H444" s="24" t="s">
        <v>2402</v>
      </c>
      <c r="I444" s="5"/>
      <c r="J444" s="3" t="s">
        <v>154</v>
      </c>
      <c r="K444" s="3" t="s">
        <v>154</v>
      </c>
      <c r="L444" s="3" t="s">
        <v>155</v>
      </c>
      <c r="M444" s="3" t="s">
        <v>2403</v>
      </c>
      <c r="N444" s="20">
        <v>7247</v>
      </c>
      <c r="O444" s="3" t="s">
        <v>2406</v>
      </c>
      <c r="P444" s="3" t="s">
        <v>157</v>
      </c>
      <c r="Q444" s="5"/>
      <c r="R444" s="3" t="s">
        <v>2408</v>
      </c>
      <c r="S444" s="3">
        <v>46295</v>
      </c>
      <c r="T444" s="24"/>
      <c r="U444" s="3" t="b">
        <v>0</v>
      </c>
      <c r="V444" s="5"/>
      <c r="W444" s="64"/>
      <c r="X444" s="64"/>
      <c r="Y444" s="64"/>
      <c r="Z444" s="64"/>
      <c r="AA444" s="59" t="s">
        <v>2409</v>
      </c>
      <c r="AB444" s="65"/>
      <c r="AC444" s="68"/>
      <c r="AD444" s="65"/>
      <c r="AE444" s="68"/>
      <c r="AF444" s="66"/>
      <c r="AG444" s="68"/>
      <c r="AH444" s="67"/>
      <c r="AI444" s="69"/>
      <c r="AJ444" s="69"/>
      <c r="AK444" s="69"/>
      <c r="AL444" s="86"/>
      <c r="AM444" s="88"/>
      <c r="AN444" s="88"/>
      <c r="AO444" s="88"/>
      <c r="AP444" s="59"/>
      <c r="AQ444" s="68"/>
      <c r="AR444" s="59"/>
      <c r="AS444" s="68"/>
      <c r="AT444" s="59"/>
      <c r="AU444" s="68"/>
    </row>
    <row r="445" spans="1:47" ht="45" customHeight="1">
      <c r="A445" s="3" t="s">
        <v>148</v>
      </c>
      <c r="B445" s="3" t="s">
        <v>160</v>
      </c>
      <c r="C445" s="6">
        <v>46286</v>
      </c>
      <c r="D445" s="3" t="s">
        <v>2410</v>
      </c>
      <c r="E445" s="3" t="s">
        <v>2400</v>
      </c>
      <c r="F445" s="20">
        <f>LEN(G445)</f>
        <v>98</v>
      </c>
      <c r="G445" s="3" t="s">
        <v>2411</v>
      </c>
      <c r="H445" s="24" t="s">
        <v>2402</v>
      </c>
      <c r="I445" s="5"/>
      <c r="J445" s="3" t="s">
        <v>154</v>
      </c>
      <c r="K445" s="3" t="s">
        <v>154</v>
      </c>
      <c r="L445" s="3" t="s">
        <v>155</v>
      </c>
      <c r="M445" s="3" t="s">
        <v>2403</v>
      </c>
      <c r="N445" s="20">
        <v>7247</v>
      </c>
      <c r="O445" s="3" t="s">
        <v>2410</v>
      </c>
      <c r="P445" s="3" t="s">
        <v>157</v>
      </c>
      <c r="Q445" s="5"/>
      <c r="R445" s="3" t="s">
        <v>2412</v>
      </c>
      <c r="S445" s="3">
        <v>46295</v>
      </c>
      <c r="T445" s="24"/>
      <c r="U445" s="3" t="b">
        <v>0</v>
      </c>
      <c r="V445" s="5"/>
      <c r="W445" s="64"/>
      <c r="X445" s="64"/>
      <c r="Y445" s="64"/>
      <c r="Z445" s="64"/>
      <c r="AA445" s="59" t="s">
        <v>2413</v>
      </c>
      <c r="AB445" s="65"/>
      <c r="AC445" s="68"/>
      <c r="AD445" s="65"/>
      <c r="AE445" s="68"/>
      <c r="AF445" s="66"/>
      <c r="AG445" s="68"/>
      <c r="AH445" s="67"/>
      <c r="AI445" s="69"/>
      <c r="AJ445" s="69"/>
      <c r="AK445" s="69"/>
      <c r="AL445" s="86"/>
      <c r="AM445" s="88"/>
      <c r="AN445" s="88"/>
      <c r="AO445" s="88"/>
      <c r="AP445" s="59"/>
      <c r="AQ445" s="68"/>
      <c r="AR445" s="59"/>
      <c r="AS445" s="68"/>
      <c r="AT445" s="59"/>
      <c r="AU445" s="68"/>
    </row>
    <row r="446" spans="1:47" ht="45" customHeight="1">
      <c r="A446" s="3" t="s">
        <v>148</v>
      </c>
      <c r="B446" s="3" t="s">
        <v>1026</v>
      </c>
      <c r="C446" s="6">
        <v>46286</v>
      </c>
      <c r="D446" s="3" t="s">
        <v>2414</v>
      </c>
      <c r="E446" s="3" t="s">
        <v>2415</v>
      </c>
      <c r="F446" s="20">
        <f>LEN(G446)</f>
        <v>74</v>
      </c>
      <c r="G446" s="3" t="s">
        <v>2416</v>
      </c>
      <c r="H446" s="24" t="s">
        <v>2417</v>
      </c>
      <c r="I446" s="3"/>
      <c r="J446" s="3" t="s">
        <v>154</v>
      </c>
      <c r="K446" s="3" t="s">
        <v>154</v>
      </c>
      <c r="L446" s="3" t="s">
        <v>155</v>
      </c>
      <c r="M446" s="3" t="s">
        <v>1776</v>
      </c>
      <c r="N446" s="20">
        <v>6248</v>
      </c>
      <c r="O446" s="3" t="s">
        <v>2414</v>
      </c>
      <c r="P446" s="3" t="s">
        <v>943</v>
      </c>
      <c r="Q446" s="3"/>
      <c r="R446" s="3" t="s">
        <v>2418</v>
      </c>
      <c r="S446" s="3">
        <v>46295</v>
      </c>
      <c r="T446" s="24"/>
      <c r="U446" s="3" t="b">
        <v>0</v>
      </c>
      <c r="V446" s="3"/>
      <c r="W446" s="64"/>
      <c r="X446" s="64"/>
      <c r="Y446" s="64"/>
      <c r="Z446" s="64"/>
      <c r="AA446" s="59" t="s">
        <v>2419</v>
      </c>
      <c r="AB446" s="65"/>
      <c r="AC446" s="68"/>
      <c r="AD446" s="65"/>
      <c r="AE446" s="68"/>
      <c r="AF446" s="66"/>
      <c r="AG446" s="68"/>
      <c r="AH446" s="67"/>
      <c r="AI446" s="69"/>
      <c r="AJ446" s="69"/>
      <c r="AK446" s="69"/>
      <c r="AL446" s="86"/>
      <c r="AM446" s="88"/>
      <c r="AN446" s="88"/>
      <c r="AO446" s="88"/>
      <c r="AP446" s="59"/>
      <c r="AQ446" s="68"/>
      <c r="AR446" s="59"/>
      <c r="AS446" s="68"/>
      <c r="AT446" s="59"/>
      <c r="AU446" s="68"/>
    </row>
    <row r="447" spans="1:47" ht="45" customHeight="1">
      <c r="A447" s="3" t="s">
        <v>148</v>
      </c>
      <c r="B447" s="3" t="s">
        <v>1026</v>
      </c>
      <c r="C447" s="6">
        <v>46286</v>
      </c>
      <c r="D447" s="3" t="s">
        <v>2420</v>
      </c>
      <c r="E447" s="3" t="s">
        <v>2415</v>
      </c>
      <c r="F447" s="20">
        <f>LEN(G447)</f>
        <v>74</v>
      </c>
      <c r="G447" s="3" t="s">
        <v>2421</v>
      </c>
      <c r="H447" s="24" t="s">
        <v>2417</v>
      </c>
      <c r="I447" s="3"/>
      <c r="J447" s="3" t="s">
        <v>154</v>
      </c>
      <c r="K447" s="3" t="s">
        <v>154</v>
      </c>
      <c r="L447" s="3" t="s">
        <v>155</v>
      </c>
      <c r="M447" s="3" t="s">
        <v>1776</v>
      </c>
      <c r="N447" s="20">
        <v>6248</v>
      </c>
      <c r="O447" s="3" t="s">
        <v>2420</v>
      </c>
      <c r="P447" s="3" t="s">
        <v>943</v>
      </c>
      <c r="Q447" s="3"/>
      <c r="R447" s="3" t="s">
        <v>2422</v>
      </c>
      <c r="S447" s="3">
        <v>46295</v>
      </c>
      <c r="T447" s="24"/>
      <c r="U447" s="3" t="b">
        <v>0</v>
      </c>
      <c r="V447" s="3"/>
      <c r="W447" s="64"/>
      <c r="X447" s="64"/>
      <c r="Y447" s="64"/>
      <c r="Z447" s="64"/>
      <c r="AA447" s="59" t="s">
        <v>2423</v>
      </c>
      <c r="AB447" s="65"/>
      <c r="AC447" s="68"/>
      <c r="AD447" s="65"/>
      <c r="AE447" s="68"/>
      <c r="AF447" s="66"/>
      <c r="AG447" s="68"/>
      <c r="AH447" s="67"/>
      <c r="AI447" s="69"/>
      <c r="AJ447" s="69"/>
      <c r="AK447" s="69"/>
      <c r="AL447" s="86"/>
      <c r="AM447" s="88"/>
      <c r="AN447" s="88"/>
      <c r="AO447" s="88"/>
      <c r="AP447" s="59"/>
      <c r="AQ447" s="68"/>
      <c r="AR447" s="59"/>
      <c r="AS447" s="68"/>
      <c r="AT447" s="59"/>
      <c r="AU447" s="68"/>
    </row>
    <row r="448" spans="1:47" ht="45" customHeight="1">
      <c r="A448" s="3" t="s">
        <v>148</v>
      </c>
      <c r="B448" s="3" t="s">
        <v>1026</v>
      </c>
      <c r="C448" s="6">
        <v>46286</v>
      </c>
      <c r="D448" s="3" t="s">
        <v>2424</v>
      </c>
      <c r="E448" s="3" t="s">
        <v>363</v>
      </c>
      <c r="F448" s="20">
        <f>LEN(G448)</f>
        <v>45</v>
      </c>
      <c r="G448" s="3" t="s">
        <v>2425</v>
      </c>
      <c r="H448" s="24" t="s">
        <v>2426</v>
      </c>
      <c r="I448" s="3"/>
      <c r="J448" s="3" t="s">
        <v>154</v>
      </c>
      <c r="K448" s="3" t="s">
        <v>154</v>
      </c>
      <c r="L448" s="3" t="s">
        <v>155</v>
      </c>
      <c r="M448" s="3" t="s">
        <v>2427</v>
      </c>
      <c r="N448" s="20">
        <v>157013</v>
      </c>
      <c r="O448" s="3" t="s">
        <v>2424</v>
      </c>
      <c r="P448" s="3" t="s">
        <v>943</v>
      </c>
      <c r="Q448" s="3"/>
      <c r="R448" s="3" t="s">
        <v>2428</v>
      </c>
      <c r="S448" s="3">
        <v>46295</v>
      </c>
      <c r="T448" s="24"/>
      <c r="U448" s="3" t="b">
        <v>0</v>
      </c>
      <c r="V448" s="3"/>
      <c r="W448" s="64"/>
      <c r="X448" s="64"/>
      <c r="Y448" s="64"/>
      <c r="Z448" s="64"/>
      <c r="AA448" s="59" t="s">
        <v>2429</v>
      </c>
      <c r="AB448" s="65"/>
      <c r="AC448" s="68"/>
      <c r="AD448" s="65"/>
      <c r="AE448" s="68"/>
      <c r="AF448" s="66"/>
      <c r="AG448" s="68"/>
      <c r="AH448" s="67"/>
      <c r="AI448" s="69"/>
      <c r="AJ448" s="69"/>
      <c r="AK448" s="69"/>
      <c r="AL448" s="86"/>
      <c r="AM448" s="88"/>
      <c r="AN448" s="88"/>
      <c r="AO448" s="88"/>
      <c r="AP448" s="59"/>
      <c r="AQ448" s="68"/>
      <c r="AR448" s="59"/>
      <c r="AS448" s="68"/>
      <c r="AT448" s="59"/>
      <c r="AU448" s="68"/>
    </row>
    <row r="449" spans="1:47" ht="45" customHeight="1">
      <c r="A449" s="3" t="s">
        <v>148</v>
      </c>
      <c r="B449" s="3" t="s">
        <v>1026</v>
      </c>
      <c r="C449" s="6">
        <v>46286</v>
      </c>
      <c r="D449" s="3" t="s">
        <v>2430</v>
      </c>
      <c r="E449" s="3" t="s">
        <v>363</v>
      </c>
      <c r="F449" s="20">
        <f>LEN(G449)</f>
        <v>47</v>
      </c>
      <c r="G449" s="3" t="s">
        <v>2431</v>
      </c>
      <c r="H449" s="24" t="s">
        <v>2426</v>
      </c>
      <c r="I449" s="3"/>
      <c r="J449" s="3" t="s">
        <v>154</v>
      </c>
      <c r="K449" s="3" t="s">
        <v>154</v>
      </c>
      <c r="L449" s="3" t="s">
        <v>155</v>
      </c>
      <c r="M449" s="3" t="s">
        <v>2427</v>
      </c>
      <c r="N449" s="20">
        <v>157013</v>
      </c>
      <c r="O449" s="3" t="s">
        <v>2430</v>
      </c>
      <c r="P449" s="3" t="s">
        <v>943</v>
      </c>
      <c r="Q449" s="3"/>
      <c r="R449" s="3" t="s">
        <v>2432</v>
      </c>
      <c r="S449" s="3">
        <v>46295</v>
      </c>
      <c r="T449" s="24"/>
      <c r="U449" s="3" t="b">
        <v>0</v>
      </c>
      <c r="V449" s="3"/>
      <c r="W449" s="64"/>
      <c r="X449" s="64"/>
      <c r="Y449" s="64"/>
      <c r="Z449" s="64"/>
      <c r="AA449" s="59" t="s">
        <v>2433</v>
      </c>
      <c r="AB449" s="65"/>
      <c r="AC449" s="68"/>
      <c r="AD449" s="65"/>
      <c r="AE449" s="68"/>
      <c r="AF449" s="66"/>
      <c r="AG449" s="68"/>
      <c r="AH449" s="67"/>
      <c r="AI449" s="69"/>
      <c r="AJ449" s="69"/>
      <c r="AK449" s="69"/>
      <c r="AL449" s="86"/>
      <c r="AM449" s="88"/>
      <c r="AN449" s="88"/>
      <c r="AO449" s="88"/>
      <c r="AP449" s="59"/>
      <c r="AQ449" s="68"/>
      <c r="AR449" s="59"/>
      <c r="AS449" s="68"/>
      <c r="AT449" s="59"/>
      <c r="AU449" s="68"/>
    </row>
    <row r="450" spans="1:47" ht="45" customHeight="1">
      <c r="A450" s="3" t="s">
        <v>148</v>
      </c>
      <c r="B450" s="3" t="s">
        <v>2434</v>
      </c>
      <c r="C450" s="6">
        <v>46287</v>
      </c>
      <c r="D450" s="3" t="s">
        <v>2435</v>
      </c>
      <c r="E450" s="3" t="s">
        <v>2436</v>
      </c>
      <c r="F450" s="20">
        <f>LEN(G450)</f>
        <v>78</v>
      </c>
      <c r="G450" s="3" t="s">
        <v>2437</v>
      </c>
      <c r="H450" s="24" t="s">
        <v>2438</v>
      </c>
      <c r="I450" s="24" t="s">
        <v>2439</v>
      </c>
      <c r="J450" s="3" t="s">
        <v>154</v>
      </c>
      <c r="K450" s="3" t="s">
        <v>154</v>
      </c>
      <c r="L450" s="3" t="s">
        <v>155</v>
      </c>
      <c r="M450" s="3" t="s">
        <v>2440</v>
      </c>
      <c r="N450" s="20">
        <v>83303</v>
      </c>
      <c r="O450" s="3" t="s">
        <v>2441</v>
      </c>
      <c r="P450" s="3" t="s">
        <v>2442</v>
      </c>
      <c r="Q450" s="3"/>
      <c r="R450" s="3" t="s">
        <v>2443</v>
      </c>
      <c r="S450" s="6">
        <v>46295</v>
      </c>
      <c r="T450" s="24"/>
      <c r="U450" s="3" t="b">
        <v>1</v>
      </c>
      <c r="V450" s="3"/>
      <c r="W450" s="64"/>
      <c r="X450" s="64"/>
      <c r="Y450" s="64"/>
      <c r="Z450" s="64"/>
      <c r="AA450" s="59" t="s">
        <v>2444</v>
      </c>
      <c r="AB450" s="65"/>
      <c r="AC450" s="68"/>
      <c r="AD450" s="65"/>
      <c r="AE450" s="68"/>
      <c r="AF450" s="66"/>
      <c r="AG450" s="68"/>
      <c r="AH450" s="67"/>
      <c r="AI450" s="69"/>
      <c r="AJ450" s="69"/>
      <c r="AK450" s="69"/>
      <c r="AL450" s="86"/>
      <c r="AM450" s="88"/>
      <c r="AN450" s="88"/>
      <c r="AO450" s="88"/>
      <c r="AP450" s="59"/>
      <c r="AQ450" s="68"/>
      <c r="AR450" s="59"/>
      <c r="AS450" s="68"/>
      <c r="AT450" s="59"/>
      <c r="AU450" s="68"/>
    </row>
    <row r="451" spans="1:47" ht="45" customHeight="1">
      <c r="A451" s="3" t="s">
        <v>148</v>
      </c>
      <c r="B451" s="3" t="s">
        <v>965</v>
      </c>
      <c r="C451" s="6">
        <v>46288</v>
      </c>
      <c r="D451" s="3" t="s">
        <v>2445</v>
      </c>
      <c r="E451" s="3" t="s">
        <v>2446</v>
      </c>
      <c r="F451" s="20">
        <f>LEN(G451)</f>
        <v>28</v>
      </c>
      <c r="G451" s="3" t="s">
        <v>2447</v>
      </c>
      <c r="H451" s="24" t="s">
        <v>1059</v>
      </c>
      <c r="I451" s="24"/>
      <c r="J451" s="3" t="s">
        <v>154</v>
      </c>
      <c r="K451" s="3" t="s">
        <v>154</v>
      </c>
      <c r="L451" s="3" t="s">
        <v>1067</v>
      </c>
      <c r="M451" s="3" t="s">
        <v>2448</v>
      </c>
      <c r="N451" s="20" t="s">
        <v>976</v>
      </c>
      <c r="O451" s="3" t="s">
        <v>2449</v>
      </c>
      <c r="P451" s="3" t="s">
        <v>969</v>
      </c>
      <c r="Q451" s="3"/>
      <c r="R451" s="3" t="s">
        <v>2450</v>
      </c>
      <c r="S451" s="6">
        <v>46295</v>
      </c>
      <c r="T451" s="24"/>
      <c r="U451" s="3" t="b">
        <v>1</v>
      </c>
      <c r="V451" s="3"/>
      <c r="W451" s="64"/>
      <c r="X451" s="64"/>
      <c r="Y451" s="64"/>
      <c r="Z451" s="64"/>
      <c r="AA451" s="59" t="s">
        <v>2451</v>
      </c>
      <c r="AB451" s="65"/>
      <c r="AC451" s="68"/>
      <c r="AD451" s="65"/>
      <c r="AE451" s="68"/>
      <c r="AF451" s="66"/>
      <c r="AG451" s="68"/>
      <c r="AH451" s="67"/>
      <c r="AI451" s="69"/>
      <c r="AJ451" s="69"/>
      <c r="AK451" s="69"/>
      <c r="AL451" s="86"/>
      <c r="AM451" s="88"/>
      <c r="AN451" s="88"/>
      <c r="AO451" s="88"/>
      <c r="AP451" s="59"/>
      <c r="AQ451" s="68"/>
      <c r="AR451" s="59"/>
      <c r="AS451" s="68"/>
      <c r="AT451" s="59"/>
      <c r="AU451" s="68"/>
    </row>
    <row r="452" spans="1:47" ht="45" customHeight="1">
      <c r="A452" s="3" t="s">
        <v>148</v>
      </c>
      <c r="B452" s="3" t="s">
        <v>965</v>
      </c>
      <c r="C452" s="6">
        <v>46288</v>
      </c>
      <c r="D452" s="3" t="s">
        <v>2452</v>
      </c>
      <c r="E452" s="3" t="s">
        <v>2446</v>
      </c>
      <c r="F452" s="20">
        <f>LEN(G452)</f>
        <v>29</v>
      </c>
      <c r="G452" s="3" t="s">
        <v>2453</v>
      </c>
      <c r="H452" s="24" t="s">
        <v>1059</v>
      </c>
      <c r="I452" s="24"/>
      <c r="J452" s="3" t="s">
        <v>154</v>
      </c>
      <c r="K452" s="3" t="s">
        <v>154</v>
      </c>
      <c r="L452" s="3" t="s">
        <v>1067</v>
      </c>
      <c r="M452" s="3" t="s">
        <v>2448</v>
      </c>
      <c r="N452" s="20" t="s">
        <v>976</v>
      </c>
      <c r="O452" s="3" t="s">
        <v>2454</v>
      </c>
      <c r="P452" s="3" t="s">
        <v>969</v>
      </c>
      <c r="Q452" s="5"/>
      <c r="R452" s="3" t="s">
        <v>2455</v>
      </c>
      <c r="S452" s="6">
        <v>46295</v>
      </c>
      <c r="T452" s="24"/>
      <c r="U452" s="3" t="b">
        <v>1</v>
      </c>
      <c r="V452" s="5"/>
      <c r="W452" s="64"/>
      <c r="X452" s="64"/>
      <c r="Y452" s="64"/>
      <c r="Z452" s="64"/>
      <c r="AA452" s="59" t="s">
        <v>2456</v>
      </c>
      <c r="AB452" s="65"/>
      <c r="AC452" s="68"/>
      <c r="AD452" s="65"/>
      <c r="AE452" s="68"/>
      <c r="AF452" s="66"/>
      <c r="AG452" s="68"/>
      <c r="AH452" s="67"/>
      <c r="AI452" s="69"/>
      <c r="AJ452" s="69"/>
      <c r="AK452" s="69"/>
      <c r="AL452" s="86"/>
      <c r="AM452" s="88"/>
      <c r="AN452" s="88"/>
      <c r="AO452" s="88"/>
      <c r="AP452" s="59"/>
      <c r="AQ452" s="68"/>
      <c r="AR452" s="59"/>
      <c r="AS452" s="68"/>
      <c r="AT452" s="59"/>
      <c r="AU452" s="68"/>
    </row>
    <row r="453" spans="1:47" ht="45" customHeight="1">
      <c r="A453" s="3" t="s">
        <v>148</v>
      </c>
      <c r="B453" s="3" t="s">
        <v>666</v>
      </c>
      <c r="C453" s="6">
        <v>46288</v>
      </c>
      <c r="D453" s="3" t="s">
        <v>2457</v>
      </c>
      <c r="E453" s="3" t="s">
        <v>669</v>
      </c>
      <c r="F453" s="20">
        <f>LEN(G453)</f>
        <v>35</v>
      </c>
      <c r="G453" s="3" t="s">
        <v>2458</v>
      </c>
      <c r="H453" s="24" t="s">
        <v>677</v>
      </c>
      <c r="I453" s="3" t="s">
        <v>678</v>
      </c>
      <c r="J453" s="3" t="s">
        <v>154</v>
      </c>
      <c r="K453" s="3" t="s">
        <v>154</v>
      </c>
      <c r="L453" s="3" t="s">
        <v>155</v>
      </c>
      <c r="M453" s="3" t="s">
        <v>669</v>
      </c>
      <c r="N453" s="20">
        <v>14436</v>
      </c>
      <c r="O453" s="3" t="s">
        <v>2457</v>
      </c>
      <c r="P453" s="3" t="s">
        <v>672</v>
      </c>
      <c r="Q453" s="5"/>
      <c r="R453" s="3" t="s">
        <v>2459</v>
      </c>
      <c r="S453" s="3">
        <v>46295</v>
      </c>
      <c r="T453" s="24"/>
      <c r="U453" s="3" t="b">
        <v>0</v>
      </c>
      <c r="V453" s="5"/>
      <c r="W453" s="64"/>
      <c r="X453" s="64"/>
      <c r="Y453" s="64"/>
      <c r="Z453" s="64"/>
      <c r="AA453" s="59" t="s">
        <v>2460</v>
      </c>
      <c r="AB453" s="65"/>
      <c r="AC453" s="68"/>
      <c r="AD453" s="65"/>
      <c r="AE453" s="68"/>
      <c r="AF453" s="66"/>
      <c r="AG453" s="68"/>
      <c r="AH453" s="67"/>
      <c r="AI453" s="69"/>
      <c r="AJ453" s="69"/>
      <c r="AK453" s="69"/>
      <c r="AL453" s="86"/>
      <c r="AM453" s="88"/>
      <c r="AN453" s="88"/>
      <c r="AO453" s="88"/>
      <c r="AP453" s="59"/>
      <c r="AQ453" s="68"/>
      <c r="AR453" s="59"/>
      <c r="AS453" s="68"/>
      <c r="AT453" s="59"/>
      <c r="AU453" s="68"/>
    </row>
    <row r="454" spans="1:47" ht="45" customHeight="1">
      <c r="A454" s="3" t="s">
        <v>148</v>
      </c>
      <c r="B454" s="3" t="s">
        <v>666</v>
      </c>
      <c r="C454" s="6">
        <v>46288</v>
      </c>
      <c r="D454" s="3" t="s">
        <v>2461</v>
      </c>
      <c r="E454" s="3" t="s">
        <v>2462</v>
      </c>
      <c r="F454" s="20">
        <f>LEN(G454)</f>
        <v>27</v>
      </c>
      <c r="G454" s="3" t="s">
        <v>2463</v>
      </c>
      <c r="H454" s="24" t="s">
        <v>1059</v>
      </c>
      <c r="I454" s="24"/>
      <c r="J454" s="3" t="s">
        <v>154</v>
      </c>
      <c r="K454" s="3" t="s">
        <v>154</v>
      </c>
      <c r="L454" s="3" t="s">
        <v>155</v>
      </c>
      <c r="M454" s="3" t="s">
        <v>909</v>
      </c>
      <c r="N454" s="20">
        <v>151293</v>
      </c>
      <c r="O454" s="3" t="s">
        <v>2464</v>
      </c>
      <c r="P454" s="3" t="s">
        <v>672</v>
      </c>
      <c r="Q454" s="5"/>
      <c r="R454" s="3" t="s">
        <v>2465</v>
      </c>
      <c r="S454" s="6">
        <v>46295</v>
      </c>
      <c r="T454" s="24"/>
      <c r="U454" s="3" t="b">
        <v>1</v>
      </c>
      <c r="V454" s="5"/>
      <c r="W454" s="64"/>
      <c r="X454" s="64"/>
      <c r="Y454" s="64"/>
      <c r="Z454" s="64"/>
      <c r="AA454" s="59" t="s">
        <v>2466</v>
      </c>
      <c r="AB454" s="65"/>
      <c r="AC454" s="68"/>
      <c r="AD454" s="65"/>
      <c r="AE454" s="68"/>
      <c r="AF454" s="66"/>
      <c r="AG454" s="68"/>
      <c r="AH454" s="67"/>
      <c r="AI454" s="69"/>
      <c r="AJ454" s="69"/>
      <c r="AK454" s="69"/>
      <c r="AL454" s="86"/>
      <c r="AM454" s="88"/>
      <c r="AN454" s="88"/>
      <c r="AO454" s="88"/>
      <c r="AP454" s="59"/>
      <c r="AQ454" s="68"/>
      <c r="AR454" s="59"/>
      <c r="AS454" s="68"/>
      <c r="AT454" s="59"/>
      <c r="AU454" s="68"/>
    </row>
    <row r="455" spans="1:47" ht="45" customHeight="1">
      <c r="A455" s="3" t="s">
        <v>148</v>
      </c>
      <c r="B455" s="3" t="s">
        <v>160</v>
      </c>
      <c r="C455" s="6">
        <v>46288</v>
      </c>
      <c r="D455" s="3" t="s">
        <v>2467</v>
      </c>
      <c r="E455" s="3" t="s">
        <v>1786</v>
      </c>
      <c r="F455" s="20">
        <f>LEN(G455)</f>
        <v>43</v>
      </c>
      <c r="G455" s="3" t="s">
        <v>2468</v>
      </c>
      <c r="H455" s="24" t="s">
        <v>1686</v>
      </c>
      <c r="I455" s="24"/>
      <c r="J455" s="3" t="s">
        <v>154</v>
      </c>
      <c r="K455" s="3" t="s">
        <v>154</v>
      </c>
      <c r="L455" s="3" t="s">
        <v>155</v>
      </c>
      <c r="M455" s="3" t="s">
        <v>1786</v>
      </c>
      <c r="N455" s="20">
        <v>38865</v>
      </c>
      <c r="O455" s="3" t="s">
        <v>2467</v>
      </c>
      <c r="P455" s="3" t="s">
        <v>157</v>
      </c>
      <c r="Q455" s="5"/>
      <c r="R455" s="3" t="s">
        <v>2469</v>
      </c>
      <c r="S455" s="6">
        <v>46296</v>
      </c>
      <c r="T455" s="24"/>
      <c r="U455" s="3" t="b">
        <v>1</v>
      </c>
      <c r="V455" s="5"/>
      <c r="W455" s="64"/>
      <c r="X455" s="64"/>
      <c r="Y455" s="64"/>
      <c r="Z455" s="64"/>
      <c r="AA455" s="59" t="s">
        <v>2470</v>
      </c>
      <c r="AB455" s="65"/>
      <c r="AC455" s="68"/>
      <c r="AD455" s="65"/>
      <c r="AE455" s="68"/>
      <c r="AF455" s="66"/>
      <c r="AG455" s="68"/>
      <c r="AH455" s="67"/>
      <c r="AI455" s="69"/>
      <c r="AJ455" s="69"/>
      <c r="AK455" s="69"/>
      <c r="AL455" s="86"/>
      <c r="AM455" s="88"/>
      <c r="AN455" s="88"/>
      <c r="AO455" s="88"/>
      <c r="AP455" s="59"/>
      <c r="AQ455" s="68"/>
      <c r="AR455" s="59"/>
      <c r="AS455" s="68"/>
      <c r="AT455" s="59"/>
      <c r="AU455" s="68"/>
    </row>
    <row r="456" spans="1:47" ht="45" customHeight="1">
      <c r="A456" s="3" t="s">
        <v>148</v>
      </c>
      <c r="B456" s="3" t="s">
        <v>160</v>
      </c>
      <c r="C456" s="6">
        <v>46288</v>
      </c>
      <c r="D456" s="3" t="s">
        <v>2471</v>
      </c>
      <c r="E456" s="3" t="s">
        <v>1786</v>
      </c>
      <c r="F456" s="20">
        <f>LEN(G456)</f>
        <v>60</v>
      </c>
      <c r="G456" s="3" t="s">
        <v>2472</v>
      </c>
      <c r="H456" s="24" t="s">
        <v>1686</v>
      </c>
      <c r="I456" s="24"/>
      <c r="J456" s="3" t="s">
        <v>154</v>
      </c>
      <c r="K456" s="3" t="s">
        <v>154</v>
      </c>
      <c r="L456" s="3" t="s">
        <v>155</v>
      </c>
      <c r="M456" s="3" t="s">
        <v>1786</v>
      </c>
      <c r="N456" s="20">
        <v>38865</v>
      </c>
      <c r="O456" s="3" t="s">
        <v>2471</v>
      </c>
      <c r="P456" s="3" t="s">
        <v>157</v>
      </c>
      <c r="Q456" s="5"/>
      <c r="R456" s="3" t="s">
        <v>2473</v>
      </c>
      <c r="S456" s="6">
        <v>46296</v>
      </c>
      <c r="T456" s="24"/>
      <c r="U456" s="3" t="b">
        <v>1</v>
      </c>
      <c r="V456" s="5"/>
      <c r="W456" s="64"/>
      <c r="X456" s="64"/>
      <c r="Y456" s="64"/>
      <c r="Z456" s="64"/>
      <c r="AA456" s="59" t="s">
        <v>2474</v>
      </c>
      <c r="AB456" s="65"/>
      <c r="AC456" s="68"/>
      <c r="AD456" s="65"/>
      <c r="AE456" s="68"/>
      <c r="AF456" s="66"/>
      <c r="AG456" s="68"/>
      <c r="AH456" s="67"/>
      <c r="AI456" s="69"/>
      <c r="AJ456" s="69"/>
      <c r="AK456" s="69"/>
      <c r="AL456" s="86"/>
      <c r="AM456" s="88"/>
      <c r="AN456" s="88"/>
      <c r="AO456" s="88"/>
      <c r="AP456" s="59"/>
      <c r="AQ456" s="68"/>
      <c r="AR456" s="59"/>
      <c r="AS456" s="68"/>
      <c r="AT456" s="59"/>
      <c r="AU456" s="68"/>
    </row>
    <row r="457" spans="1:47" ht="80.25" customHeight="1">
      <c r="A457" s="3" t="s">
        <v>148</v>
      </c>
      <c r="B457" s="3" t="s">
        <v>160</v>
      </c>
      <c r="C457" s="6">
        <v>46288</v>
      </c>
      <c r="D457" s="3" t="s">
        <v>2475</v>
      </c>
      <c r="E457" s="3" t="s">
        <v>2476</v>
      </c>
      <c r="F457" s="20">
        <f>LEN(G457)</f>
        <v>89</v>
      </c>
      <c r="G457" s="3" t="s">
        <v>2477</v>
      </c>
      <c r="H457" s="24" t="s">
        <v>2478</v>
      </c>
      <c r="I457" s="5"/>
      <c r="J457" s="3" t="s">
        <v>154</v>
      </c>
      <c r="K457" s="3" t="s">
        <v>154</v>
      </c>
      <c r="L457" s="3" t="s">
        <v>155</v>
      </c>
      <c r="M457" s="3" t="s">
        <v>2479</v>
      </c>
      <c r="N457" s="20">
        <v>17603</v>
      </c>
      <c r="O457" s="3" t="s">
        <v>2475</v>
      </c>
      <c r="P457" s="3" t="s">
        <v>157</v>
      </c>
      <c r="Q457" s="5"/>
      <c r="R457" s="5" t="inlineStr">
        <is>
          <t xml:space="preserve">087320</t>
        </is>
      </c>
      <c r="S457" s="5">
        <v>46302</v>
      </c>
      <c r="T457" s="24"/>
      <c r="U457" s="3" t="b">
        <v>0</v>
      </c>
      <c r="V457" s="5"/>
      <c r="W457" s="64" t="s">
        <v>2480</v>
      </c>
      <c r="X457" s="64" t="s">
        <v>2481</v>
      </c>
      <c r="Y457" s="64" t="s">
        <v>2482</v>
      </c>
      <c r="Z457" s="64"/>
      <c r="AA457" s="59" t="s">
        <v>1519</v>
      </c>
      <c r="AB457" s="65"/>
      <c r="AC457" s="68" t="s">
        <v>213</v>
      </c>
      <c r="AD457" s="65" t="s">
        <v>2483</v>
      </c>
      <c r="AE457" s="68" t="s">
        <v>2484</v>
      </c>
      <c r="AF457" s="66" t="s">
        <v>2485</v>
      </c>
      <c r="AG457" s="68" t="s">
        <v>2486</v>
      </c>
      <c r="AH457" s="67"/>
      <c r="AI457" s="69"/>
      <c r="AJ457" s="69"/>
      <c r="AK457" s="69"/>
      <c r="AL457" s="86" t="s">
        <v>218</v>
      </c>
      <c r="AM457" s="89" t="str">
        <f>HYPERLINK("https://www.atos.com/tables/english/E025.pdf","https://www.atos.com/tables/english/E025.pdf")</f>
        <v>https://www.atos.com/tables/english/E025.pdf</v>
      </c>
      <c r="AN457" s="88"/>
      <c r="AO457" s="89" t="str">
        <f>HYPERLINK("https://www.radwell.com/Buy/ATOS/ATOS/DKE-1710-X%2024DC","https://www.radwell.com/Buy/ATOS/ATOS/DKE-1710-X%2024DC")</f>
        <v>https://www.radwell.com/Buy/ATOS/ATOS/DKE-1710-X%2024DC</v>
      </c>
      <c r="AP457" s="59" t="s">
        <v>72</v>
      </c>
      <c r="AQ457" s="68" t="s">
        <v>2487</v>
      </c>
      <c r="AR457" s="59"/>
      <c r="AS457" s="68" t="s">
        <v>746</v>
      </c>
      <c r="AT457" s="59"/>
      <c r="AU457" s="68" t="s">
        <v>747</v>
      </c>
    </row>
    <row r="458" spans="1:47" ht="98.25" customHeight="1">
      <c r="A458" s="3" t="s">
        <v>148</v>
      </c>
      <c r="B458" s="3" t="s">
        <v>160</v>
      </c>
      <c r="C458" s="6">
        <v>46288</v>
      </c>
      <c r="D458" s="3" t="s">
        <v>2488</v>
      </c>
      <c r="E458" s="3" t="s">
        <v>2476</v>
      </c>
      <c r="F458" s="20">
        <f>LEN(G458)</f>
        <v>98</v>
      </c>
      <c r="G458" s="24" t="s">
        <v>2489</v>
      </c>
      <c r="H458" s="24" t="s">
        <v>2490</v>
      </c>
      <c r="I458" s="5"/>
      <c r="J458" s="3" t="s">
        <v>154</v>
      </c>
      <c r="K458" s="3" t="s">
        <v>154</v>
      </c>
      <c r="L458" s="3" t="s">
        <v>155</v>
      </c>
      <c r="M458" s="3" t="s">
        <v>2479</v>
      </c>
      <c r="N458" s="20">
        <v>17603</v>
      </c>
      <c r="O458" s="3" t="s">
        <v>2488</v>
      </c>
      <c r="P458" s="3" t="s">
        <v>157</v>
      </c>
      <c r="Q458" s="5"/>
      <c r="R458" s="5" t="inlineStr">
        <is>
          <t xml:space="preserve">087324</t>
        </is>
      </c>
      <c r="S458" s="5">
        <v>46302</v>
      </c>
      <c r="T458" s="24"/>
      <c r="U458" s="3" t="b">
        <v>0</v>
      </c>
      <c r="V458" s="5"/>
      <c r="W458" s="64"/>
      <c r="X458" s="64"/>
      <c r="Y458" s="64" t="s">
        <v>2482</v>
      </c>
      <c r="Z458" s="64"/>
      <c r="AA458" s="59" t="s">
        <v>212</v>
      </c>
      <c r="AB458" s="65"/>
      <c r="AC458" s="68" t="s">
        <v>213</v>
      </c>
      <c r="AD458" s="65" t="s">
        <v>2491</v>
      </c>
      <c r="AE458" s="68" t="s">
        <v>2492</v>
      </c>
      <c r="AF458" s="66" t="s">
        <v>2493</v>
      </c>
      <c r="AG458" s="68" t="s">
        <v>2494</v>
      </c>
      <c r="AH458" s="67"/>
      <c r="AI458" s="69"/>
      <c r="AJ458" s="69"/>
      <c r="AK458" s="69"/>
      <c r="AL458" s="86" t="s">
        <v>218</v>
      </c>
      <c r="AM458" s="89" t="str">
        <f>HYPERLINK("https://ld-gmbh.com/ld_files/WWW/Web-Attachments/03%20Hydraulics/Atos/D170.pdf","https://ld-gmbh.com/ld_files/WWW/Web-Attachments/03%20Hydraulics/Atos/D170.pdf")</f>
        <v>https://ld-gmbh.com/ld_files/WWW/Web-Attachments/03%20Hydraulics/Atos/D170.pdf</v>
      </c>
      <c r="AN458" s="88"/>
      <c r="AO458" s="88"/>
      <c r="AP458" s="59" t="s">
        <v>74</v>
      </c>
      <c r="AQ458" s="68" t="s">
        <v>2495</v>
      </c>
      <c r="AR458" s="59"/>
      <c r="AS458" s="68" t="s">
        <v>746</v>
      </c>
      <c r="AT458" s="59"/>
      <c r="AU458" s="68" t="s">
        <v>747</v>
      </c>
    </row>
    <row r="459" spans="1:47" ht="45" customHeight="1">
      <c r="A459" s="3" t="s">
        <v>148</v>
      </c>
      <c r="B459" s="3" t="s">
        <v>1026</v>
      </c>
      <c r="C459" s="6">
        <v>46288</v>
      </c>
      <c r="D459" s="3" t="s">
        <v>2496</v>
      </c>
      <c r="E459" s="3" t="s">
        <v>669</v>
      </c>
      <c r="F459" s="20">
        <f>LEN(G459)</f>
        <v>66</v>
      </c>
      <c r="G459" s="3" t="s">
        <v>2497</v>
      </c>
      <c r="H459" s="24" t="s">
        <v>336</v>
      </c>
      <c r="I459" s="5"/>
      <c r="J459" s="3" t="s">
        <v>154</v>
      </c>
      <c r="K459" s="3" t="s">
        <v>154</v>
      </c>
      <c r="L459" s="3" t="s">
        <v>155</v>
      </c>
      <c r="M459" s="3" t="s">
        <v>669</v>
      </c>
      <c r="N459" s="20">
        <v>14436</v>
      </c>
      <c r="O459" s="3" t="s">
        <v>2498</v>
      </c>
      <c r="P459" s="3" t="s">
        <v>943</v>
      </c>
      <c r="Q459" s="5"/>
      <c r="R459" s="3" t="s">
        <v>2499</v>
      </c>
      <c r="S459" s="3">
        <v>46295</v>
      </c>
      <c r="T459" s="24"/>
      <c r="U459" s="3" t="b">
        <v>0</v>
      </c>
      <c r="V459" s="5"/>
      <c r="W459" s="64"/>
      <c r="X459" s="64"/>
      <c r="Y459" s="64"/>
      <c r="Z459" s="64"/>
      <c r="AA459" s="59" t="s">
        <v>2500</v>
      </c>
      <c r="AB459" s="65"/>
      <c r="AC459" s="68"/>
      <c r="AD459" s="65"/>
      <c r="AE459" s="68"/>
      <c r="AF459" s="66"/>
      <c r="AG459" s="68"/>
      <c r="AH459" s="67"/>
      <c r="AI459" s="69"/>
      <c r="AJ459" s="69"/>
      <c r="AK459" s="69"/>
      <c r="AL459" s="86"/>
      <c r="AM459" s="88"/>
      <c r="AN459" s="88"/>
      <c r="AO459" s="88"/>
      <c r="AP459" s="59"/>
      <c r="AQ459" s="68"/>
      <c r="AR459" s="59"/>
      <c r="AS459" s="68"/>
      <c r="AT459" s="59"/>
      <c r="AU459" s="68"/>
    </row>
    <row r="460" spans="1:47" ht="45" customHeight="1">
      <c r="A460" s="3" t="s">
        <v>148</v>
      </c>
      <c r="B460" s="3" t="s">
        <v>160</v>
      </c>
      <c r="C460" s="6">
        <v>46289</v>
      </c>
      <c r="D460" s="3" t="s">
        <v>2501</v>
      </c>
      <c r="E460" s="3" t="s">
        <v>847</v>
      </c>
      <c r="F460" s="20">
        <f>LEN(G460)</f>
        <v>100</v>
      </c>
      <c r="G460" s="24" t="s">
        <v>2502</v>
      </c>
      <c r="H460" s="24" t="s">
        <v>849</v>
      </c>
      <c r="I460" s="24"/>
      <c r="J460" s="3" t="s">
        <v>154</v>
      </c>
      <c r="K460" s="3" t="s">
        <v>154</v>
      </c>
      <c r="L460" s="3" t="s">
        <v>155</v>
      </c>
      <c r="M460" s="3" t="s">
        <v>850</v>
      </c>
      <c r="N460" s="20">
        <v>38849</v>
      </c>
      <c r="O460" s="3" t="s">
        <v>2501</v>
      </c>
      <c r="P460" s="3" t="s">
        <v>157</v>
      </c>
      <c r="Q460" s="3" t="s">
        <v>2503</v>
      </c>
      <c r="R460" s="3" t="s">
        <v>2504</v>
      </c>
      <c r="S460" s="6">
        <v>46295</v>
      </c>
      <c r="T460" s="24"/>
      <c r="U460" s="3" t="b">
        <v>1</v>
      </c>
      <c r="V460" s="5"/>
      <c r="W460" s="64"/>
      <c r="X460" s="64"/>
      <c r="Y460" s="64"/>
      <c r="Z460" s="64"/>
      <c r="AA460" s="59" t="s">
        <v>2505</v>
      </c>
      <c r="AB460" s="65"/>
      <c r="AC460" s="68"/>
      <c r="AD460" s="65"/>
      <c r="AE460" s="68"/>
      <c r="AF460" s="66"/>
      <c r="AG460" s="68"/>
      <c r="AH460" s="67"/>
      <c r="AI460" s="69"/>
      <c r="AJ460" s="69"/>
      <c r="AK460" s="69"/>
      <c r="AL460" s="86"/>
      <c r="AM460" s="88"/>
      <c r="AN460" s="88"/>
      <c r="AO460" s="88"/>
      <c r="AP460" s="59"/>
      <c r="AQ460" s="68"/>
      <c r="AR460" s="59"/>
      <c r="AS460" s="68"/>
      <c r="AT460" s="59"/>
      <c r="AU460" s="68"/>
    </row>
    <row r="461" spans="1:47" ht="45" customHeight="1">
      <c r="A461" s="3" t="s">
        <v>148</v>
      </c>
      <c r="B461" s="3" t="s">
        <v>160</v>
      </c>
      <c r="C461" s="6">
        <v>46289</v>
      </c>
      <c r="D461" s="3" t="s">
        <v>2506</v>
      </c>
      <c r="E461" s="3" t="s">
        <v>2507</v>
      </c>
      <c r="F461" s="20">
        <f>LEN(G461)</f>
        <v>37</v>
      </c>
      <c r="G461" s="3" t="s">
        <v>2508</v>
      </c>
      <c r="H461" s="24" t="s">
        <v>891</v>
      </c>
      <c r="I461" s="24"/>
      <c r="J461" s="3" t="s">
        <v>154</v>
      </c>
      <c r="K461" s="3" t="s">
        <v>154</v>
      </c>
      <c r="L461" s="3" t="s">
        <v>155</v>
      </c>
      <c r="M461" s="3" t="s">
        <v>2509</v>
      </c>
      <c r="N461" s="20">
        <v>6151</v>
      </c>
      <c r="O461" s="3" t="s">
        <v>2506</v>
      </c>
      <c r="P461" s="3" t="s">
        <v>157</v>
      </c>
      <c r="Q461" s="5"/>
      <c r="R461" s="3" t="s">
        <v>2510</v>
      </c>
      <c r="S461" s="6">
        <v>46295</v>
      </c>
      <c r="T461" s="24"/>
      <c r="U461" s="3" t="b">
        <v>1</v>
      </c>
      <c r="V461" s="5"/>
      <c r="W461" s="64"/>
      <c r="X461" s="64"/>
      <c r="Y461" s="64"/>
      <c r="Z461" s="64"/>
      <c r="AA461" s="59" t="s">
        <v>2511</v>
      </c>
      <c r="AB461" s="65"/>
      <c r="AC461" s="68"/>
      <c r="AD461" s="65"/>
      <c r="AE461" s="68"/>
      <c r="AF461" s="66"/>
      <c r="AG461" s="68"/>
      <c r="AH461" s="67"/>
      <c r="AI461" s="69"/>
      <c r="AJ461" s="69"/>
      <c r="AK461" s="69"/>
      <c r="AL461" s="86"/>
      <c r="AM461" s="88"/>
      <c r="AN461" s="88"/>
      <c r="AO461" s="88"/>
      <c r="AP461" s="59"/>
      <c r="AQ461" s="68"/>
      <c r="AR461" s="59"/>
      <c r="AS461" s="68"/>
      <c r="AT461" s="59"/>
      <c r="AU461" s="68"/>
    </row>
    <row r="462" spans="1:47" ht="45" customHeight="1">
      <c r="A462" s="3" t="s">
        <v>148</v>
      </c>
      <c r="B462" s="3" t="s">
        <v>160</v>
      </c>
      <c r="C462" s="6">
        <v>46289</v>
      </c>
      <c r="D462" s="3" t="s">
        <v>2512</v>
      </c>
      <c r="E462" s="3" t="s">
        <v>2507</v>
      </c>
      <c r="F462" s="20">
        <f>LEN(G462)</f>
        <v>22</v>
      </c>
      <c r="G462" s="3" t="s">
        <v>2513</v>
      </c>
      <c r="H462" s="24" t="s">
        <v>891</v>
      </c>
      <c r="I462" s="24"/>
      <c r="J462" s="3" t="s">
        <v>154</v>
      </c>
      <c r="K462" s="3" t="s">
        <v>154</v>
      </c>
      <c r="L462" s="3" t="s">
        <v>155</v>
      </c>
      <c r="M462" s="3" t="s">
        <v>2509</v>
      </c>
      <c r="N462" s="20">
        <v>6151</v>
      </c>
      <c r="O462" s="3" t="s">
        <v>2512</v>
      </c>
      <c r="P462" s="3" t="s">
        <v>157</v>
      </c>
      <c r="Q462" s="5"/>
      <c r="R462" s="3" t="s">
        <v>2514</v>
      </c>
      <c r="S462" s="6">
        <v>46295</v>
      </c>
      <c r="T462" s="24"/>
      <c r="U462" s="3" t="b">
        <v>1</v>
      </c>
      <c r="V462" s="5"/>
      <c r="W462" s="64"/>
      <c r="X462" s="64"/>
      <c r="Y462" s="64"/>
      <c r="Z462" s="64"/>
      <c r="AA462" s="59" t="s">
        <v>2515</v>
      </c>
      <c r="AB462" s="65"/>
      <c r="AC462" s="68"/>
      <c r="AD462" s="65"/>
      <c r="AE462" s="68"/>
      <c r="AF462" s="66"/>
      <c r="AG462" s="68"/>
      <c r="AH462" s="67"/>
      <c r="AI462" s="69"/>
      <c r="AJ462" s="69"/>
      <c r="AK462" s="69"/>
      <c r="AL462" s="86"/>
      <c r="AM462" s="88"/>
      <c r="AN462" s="88"/>
      <c r="AO462" s="88"/>
      <c r="AP462" s="59"/>
      <c r="AQ462" s="68"/>
      <c r="AR462" s="59"/>
      <c r="AS462" s="68"/>
      <c r="AT462" s="59"/>
      <c r="AU462" s="68"/>
    </row>
    <row r="463" spans="1:47" ht="45" customHeight="1">
      <c r="A463" s="3" t="s">
        <v>148</v>
      </c>
      <c r="B463" s="3" t="s">
        <v>160</v>
      </c>
      <c r="C463" s="6">
        <v>46289</v>
      </c>
      <c r="D463" s="3" t="s">
        <v>2516</v>
      </c>
      <c r="E463" s="3" t="s">
        <v>2517</v>
      </c>
      <c r="F463" s="20">
        <f>LEN(G463)</f>
        <v>30</v>
      </c>
      <c r="G463" s="3" t="s">
        <v>2518</v>
      </c>
      <c r="H463" s="24" t="s">
        <v>2519</v>
      </c>
      <c r="I463" s="24"/>
      <c r="J463" s="3" t="s">
        <v>154</v>
      </c>
      <c r="K463" s="3" t="s">
        <v>154</v>
      </c>
      <c r="L463" s="3" t="s">
        <v>155</v>
      </c>
      <c r="M463" s="3" t="s">
        <v>2520</v>
      </c>
      <c r="N463" s="20">
        <v>116596</v>
      </c>
      <c r="O463" s="3" t="s">
        <v>2516</v>
      </c>
      <c r="P463" s="3" t="s">
        <v>157</v>
      </c>
      <c r="Q463" s="5"/>
      <c r="R463" s="3" t="s">
        <v>2521</v>
      </c>
      <c r="S463" s="6">
        <v>46295</v>
      </c>
      <c r="T463" s="24"/>
      <c r="U463" s="3" t="b">
        <v>1</v>
      </c>
      <c r="V463" s="5"/>
      <c r="W463" s="64"/>
      <c r="X463" s="64"/>
      <c r="Y463" s="64"/>
      <c r="Z463" s="64"/>
      <c r="AA463" s="59" t="s">
        <v>2522</v>
      </c>
      <c r="AB463" s="65"/>
      <c r="AC463" s="68"/>
      <c r="AD463" s="65"/>
      <c r="AE463" s="68"/>
      <c r="AF463" s="66"/>
      <c r="AG463" s="68"/>
      <c r="AH463" s="67"/>
      <c r="AI463" s="69"/>
      <c r="AJ463" s="69"/>
      <c r="AK463" s="69"/>
      <c r="AL463" s="86"/>
      <c r="AM463" s="88"/>
      <c r="AN463" s="88"/>
      <c r="AO463" s="88"/>
      <c r="AP463" s="59"/>
      <c r="AQ463" s="68"/>
      <c r="AR463" s="59"/>
      <c r="AS463" s="68"/>
      <c r="AT463" s="59"/>
      <c r="AU463" s="68"/>
    </row>
    <row r="464" spans="1:47" ht="108.75" customHeight="1">
      <c r="A464" s="3" t="s">
        <v>148</v>
      </c>
      <c r="B464" s="3" t="s">
        <v>905</v>
      </c>
      <c r="C464" s="6">
        <v>46289</v>
      </c>
      <c r="D464" s="3" t="s">
        <v>2523</v>
      </c>
      <c r="E464" s="3" t="s">
        <v>706</v>
      </c>
      <c r="F464" s="20">
        <f>LEN(G464)</f>
        <v>67</v>
      </c>
      <c r="G464" s="3" t="s">
        <v>2524</v>
      </c>
      <c r="H464" s="24" t="s">
        <v>2525</v>
      </c>
      <c r="I464" s="5"/>
      <c r="J464" s="3" t="s">
        <v>154</v>
      </c>
      <c r="K464" s="3" t="s">
        <v>154</v>
      </c>
      <c r="L464" s="3" t="s">
        <v>155</v>
      </c>
      <c r="M464" s="3" t="s">
        <v>2526</v>
      </c>
      <c r="N464" s="20">
        <v>105886</v>
      </c>
      <c r="O464" s="3" t="s">
        <v>2523</v>
      </c>
      <c r="P464" s="3" t="s">
        <v>910</v>
      </c>
      <c r="Q464" s="5"/>
      <c r="R464" s="5" t="inlineStr">
        <is>
          <t xml:space="preserve">087344</t>
        </is>
      </c>
      <c r="S464" s="5">
        <v>46303</v>
      </c>
      <c r="T464" s="24"/>
      <c r="U464" s="3" t="b">
        <v>0</v>
      </c>
      <c r="V464" s="5"/>
      <c r="W464" s="64" t="s">
        <v>2523</v>
      </c>
      <c r="X464" s="64"/>
      <c r="Y464" s="64" t="s">
        <v>2527</v>
      </c>
      <c r="Z464" s="64"/>
      <c r="AA464" s="59" t="s">
        <v>212</v>
      </c>
      <c r="AB464" s="65"/>
      <c r="AC464" s="68" t="s">
        <v>213</v>
      </c>
      <c r="AD464" s="65" t="s">
        <v>2528</v>
      </c>
      <c r="AE464" s="68" t="s">
        <v>2529</v>
      </c>
      <c r="AF464" s="66" t="s">
        <v>2530</v>
      </c>
      <c r="AG464" s="68" t="s">
        <v>2531</v>
      </c>
      <c r="AH464" s="67"/>
      <c r="AI464" s="69"/>
      <c r="AJ464" s="69"/>
      <c r="AK464" s="69"/>
      <c r="AL464" s="86" t="s">
        <v>218</v>
      </c>
      <c r="AM464" s="89" t="str">
        <f>HYPERLINK("https://download.sew-eurodrive.com/download/pdf/31976336.pdf","https://download.sew-eurodrive.com/download/pdf/31976336.pdf")</f>
        <v>https://download.sew-eurodrive.com/download/pdf/31976336.pdf</v>
      </c>
      <c r="AN464" s="88"/>
      <c r="AO464" s="89" t="str">
        <f>HYPERLINK("https://www.radwell.com/Buy/SEW%20EURODRIVE/SEW%20EURODRIVE/R17%20DRN63M4","https://www.radwell.com/Buy/SEW%20EURODRIVE/SEW%20EURODRIVE/R17%20DRN63M4")</f>
        <v>https://www.radwell.com/Buy/SEW%20EURODRIVE/SEW%20EURODRIVE/R17%20DRN63M4</v>
      </c>
      <c r="AP464" s="59" t="s">
        <v>74</v>
      </c>
      <c r="AQ464" s="68" t="s">
        <v>2532</v>
      </c>
      <c r="AR464" s="59"/>
      <c r="AS464" s="68" t="s">
        <v>746</v>
      </c>
      <c r="AT464" s="59"/>
      <c r="AU464" s="68" t="s">
        <v>747</v>
      </c>
    </row>
    <row r="465" spans="1:47" ht="45" customHeight="1">
      <c r="A465" s="3" t="s">
        <v>148</v>
      </c>
      <c r="B465" s="3" t="s">
        <v>176</v>
      </c>
      <c r="C465" s="6">
        <v>46289</v>
      </c>
      <c r="D465" s="3" t="s">
        <v>2533</v>
      </c>
      <c r="E465" s="3" t="s">
        <v>889</v>
      </c>
      <c r="F465" s="20">
        <f>LEN(G465)</f>
        <v>38</v>
      </c>
      <c r="G465" s="3" t="s">
        <v>2534</v>
      </c>
      <c r="H465" s="24" t="s">
        <v>891</v>
      </c>
      <c r="I465" s="24"/>
      <c r="J465" s="3" t="s">
        <v>154</v>
      </c>
      <c r="K465" s="3" t="s">
        <v>154</v>
      </c>
      <c r="L465" s="3" t="s">
        <v>661</v>
      </c>
      <c r="M465" s="3" t="s">
        <v>889</v>
      </c>
      <c r="N465" s="20">
        <v>6151</v>
      </c>
      <c r="O465" s="3" t="s">
        <v>2533</v>
      </c>
      <c r="P465" s="3" t="s">
        <v>183</v>
      </c>
      <c r="Q465" s="5"/>
      <c r="R465" s="3" t="s">
        <v>2535</v>
      </c>
      <c r="S465" s="6">
        <v>46294</v>
      </c>
      <c r="T465" s="24"/>
      <c r="U465" s="3" t="b">
        <v>1</v>
      </c>
      <c r="V465" s="3" t="s">
        <v>185</v>
      </c>
      <c r="W465" s="64"/>
      <c r="X465" s="64"/>
      <c r="Y465" s="64"/>
      <c r="Z465" s="64"/>
      <c r="AA465" s="59" t="s">
        <v>2536</v>
      </c>
      <c r="AB465" s="65"/>
      <c r="AC465" s="68"/>
      <c r="AD465" s="65"/>
      <c r="AE465" s="68"/>
      <c r="AF465" s="66"/>
      <c r="AG465" s="68"/>
      <c r="AH465" s="67"/>
      <c r="AI465" s="69"/>
      <c r="AJ465" s="69"/>
      <c r="AK465" s="69"/>
      <c r="AL465" s="86"/>
      <c r="AM465" s="88"/>
      <c r="AN465" s="88"/>
      <c r="AO465" s="88"/>
      <c r="AP465" s="59"/>
      <c r="AQ465" s="68"/>
      <c r="AR465" s="59"/>
      <c r="AS465" s="68"/>
      <c r="AT465" s="59"/>
      <c r="AU465" s="68"/>
    </row>
    <row r="466" spans="1:47" ht="45" customHeight="1">
      <c r="A466" s="3" t="s">
        <v>148</v>
      </c>
      <c r="B466" s="3" t="s">
        <v>176</v>
      </c>
      <c r="C466" s="6">
        <v>46289</v>
      </c>
      <c r="D466" s="3" t="s">
        <v>2537</v>
      </c>
      <c r="E466" s="3" t="s">
        <v>2538</v>
      </c>
      <c r="F466" s="20">
        <f>LEN(G466)</f>
        <v>66</v>
      </c>
      <c r="G466" s="3" t="s">
        <v>2539</v>
      </c>
      <c r="H466" s="24" t="s">
        <v>2540</v>
      </c>
      <c r="I466" s="5"/>
      <c r="J466" s="3" t="s">
        <v>154</v>
      </c>
      <c r="K466" s="3" t="s">
        <v>154</v>
      </c>
      <c r="L466" s="3" t="s">
        <v>155</v>
      </c>
      <c r="M466" s="3" t="s">
        <v>2541</v>
      </c>
      <c r="N466" s="20">
        <v>103716</v>
      </c>
      <c r="O466" s="3" t="s">
        <v>2537</v>
      </c>
      <c r="P466" s="3" t="s">
        <v>183</v>
      </c>
      <c r="Q466" s="5"/>
      <c r="R466" s="3" t="s">
        <v>2542</v>
      </c>
      <c r="S466" s="3">
        <v>46295</v>
      </c>
      <c r="T466" s="24"/>
      <c r="U466" s="3" t="b">
        <v>0</v>
      </c>
      <c r="V466" s="3" t="s">
        <v>185</v>
      </c>
      <c r="W466" s="64"/>
      <c r="X466" s="64"/>
      <c r="Y466" s="64"/>
      <c r="Z466" s="64"/>
      <c r="AA466" s="59" t="s">
        <v>2543</v>
      </c>
      <c r="AB466" s="65"/>
      <c r="AC466" s="68"/>
      <c r="AD466" s="65"/>
      <c r="AE466" s="68"/>
      <c r="AF466" s="66"/>
      <c r="AG466" s="68"/>
      <c r="AH466" s="67"/>
      <c r="AI466" s="69"/>
      <c r="AJ466" s="69"/>
      <c r="AK466" s="69"/>
      <c r="AL466" s="86"/>
      <c r="AM466" s="88"/>
      <c r="AN466" s="88"/>
      <c r="AO466" s="88"/>
      <c r="AP466" s="59"/>
      <c r="AQ466" s="68"/>
      <c r="AR466" s="59"/>
      <c r="AS466" s="68"/>
      <c r="AT466" s="59"/>
      <c r="AU466" s="68"/>
    </row>
    <row r="467" spans="1:47" ht="98.25" customHeight="1">
      <c r="A467" s="3" t="s">
        <v>148</v>
      </c>
      <c r="B467" s="3" t="s">
        <v>160</v>
      </c>
      <c r="C467" s="6">
        <v>46290</v>
      </c>
      <c r="D467" s="3" t="s">
        <v>2544</v>
      </c>
      <c r="E467" s="3" t="s">
        <v>2545</v>
      </c>
      <c r="F467" s="20">
        <f>LEN(G467)</f>
        <v>86</v>
      </c>
      <c r="G467" s="3" t="s">
        <v>2546</v>
      </c>
      <c r="H467" s="24" t="s">
        <v>1738</v>
      </c>
      <c r="I467" s="5"/>
      <c r="J467" s="3" t="s">
        <v>154</v>
      </c>
      <c r="K467" s="3" t="s">
        <v>154</v>
      </c>
      <c r="L467" s="3" t="s">
        <v>155</v>
      </c>
      <c r="M467" s="3" t="s">
        <v>2545</v>
      </c>
      <c r="N467" s="20">
        <v>149961</v>
      </c>
      <c r="O467" s="3" t="s">
        <v>2544</v>
      </c>
      <c r="P467" s="3" t="s">
        <v>157</v>
      </c>
      <c r="Q467" s="3" t="s">
        <v>2547</v>
      </c>
      <c r="R467" s="5"/>
      <c r="S467" s="5"/>
      <c r="T467" s="24"/>
      <c r="U467" s="3" t="b">
        <v>0</v>
      </c>
      <c r="V467" s="5"/>
      <c r="W467" s="64"/>
      <c r="X467" s="64"/>
      <c r="Y467" s="64" t="s">
        <v>2548</v>
      </c>
      <c r="Z467" s="64"/>
      <c r="AA467" s="59" t="s">
        <v>212</v>
      </c>
      <c r="AB467" s="65"/>
      <c r="AC467" s="68" t="s">
        <v>213</v>
      </c>
      <c r="AD467" s="65" t="s">
        <v>2549</v>
      </c>
      <c r="AE467" s="68" t="s">
        <v>2550</v>
      </c>
      <c r="AF467" s="66" t="s">
        <v>2551</v>
      </c>
      <c r="AG467" s="68" t="s">
        <v>2552</v>
      </c>
      <c r="AH467" s="67"/>
      <c r="AI467" s="69"/>
      <c r="AJ467" s="69"/>
      <c r="AK467" s="69"/>
      <c r="AL467" s="86" t="s">
        <v>218</v>
      </c>
      <c r="AM467" s="89" t="str">
        <f>HYPERLINK("https://www.eagleburgmann.com/en/products/mechanical-seals/mechanical-seals-for-pumps/standard-cartridge-seals/cartex-dual-seals/download_pdf/","https://www.eagleburgmann.com/en/products/mechanical-seals/mechanical-seals-for-pumps/standard-cartridge-seals/cartex-dual-seals/download_pdf/")</f>
        <v>https://www.eagleburgmann.com/en/products/mechanical-seals/mechanical-seals-for-pumps/standard-cartridge-seals/cartex-dual-seals/download_pdf/</v>
      </c>
      <c r="AN467" s="89" t="str">
        <f>HYPERLINK("https://shop.myeagleburgmann.com/US/en/Mechanical-Seals/Standard-Cartridge-seals/Cartex-double-seal/p/MS_Cartex-DN","https://shop.myeagleburgmann.com/US/en/Mechanical-Seals/Standard-Cartridge-seals/Cartex-double-seal/p/MS_Cartex-DN")</f>
        <v>https://shop.myeagleburgmann.com/US/en/Mechanical-Seals/Standard-Cartridge-seals/Cartex-double-seal/p/MS_Cartex-DN</v>
      </c>
      <c r="AO467" s="88"/>
      <c r="AP467" s="59" t="s">
        <v>74</v>
      </c>
      <c r="AQ467" s="68" t="s">
        <v>2553</v>
      </c>
      <c r="AR467" s="59"/>
      <c r="AS467" s="68" t="s">
        <v>746</v>
      </c>
      <c r="AT467" s="59"/>
      <c r="AU467" s="68" t="s">
        <v>747</v>
      </c>
    </row>
    <row r="468" spans="1:47" ht="108.75" customHeight="1">
      <c r="A468" s="3" t="s">
        <v>148</v>
      </c>
      <c r="B468" s="3" t="s">
        <v>905</v>
      </c>
      <c r="C468" s="6">
        <v>46290</v>
      </c>
      <c r="D468" s="3" t="s">
        <v>2554</v>
      </c>
      <c r="E468" s="3" t="s">
        <v>1094</v>
      </c>
      <c r="F468" s="20">
        <f>LEN(G468)</f>
        <v>44</v>
      </c>
      <c r="G468" s="3" t="s">
        <v>2555</v>
      </c>
      <c r="H468" s="24" t="s">
        <v>2556</v>
      </c>
      <c r="I468" s="5"/>
      <c r="J468" s="3" t="s">
        <v>154</v>
      </c>
      <c r="K468" s="3" t="s">
        <v>154</v>
      </c>
      <c r="L468" s="3" t="s">
        <v>155</v>
      </c>
      <c r="M468" s="3" t="s">
        <v>2557</v>
      </c>
      <c r="N468" s="20">
        <v>5943</v>
      </c>
      <c r="O468" s="3" t="s">
        <v>2554</v>
      </c>
      <c r="P468" s="3" t="s">
        <v>910</v>
      </c>
      <c r="Q468" s="5"/>
      <c r="R468" s="5"/>
      <c r="S468" s="5"/>
      <c r="T468" s="24"/>
      <c r="U468" s="3" t="b">
        <v>0</v>
      </c>
      <c r="V468" s="5"/>
      <c r="W468" s="64"/>
      <c r="X468" s="64"/>
      <c r="Y468" s="64" t="s">
        <v>2558</v>
      </c>
      <c r="Z468" s="64"/>
      <c r="AA468" s="59" t="s">
        <v>784</v>
      </c>
      <c r="AB468" s="65"/>
      <c r="AC468" s="68" t="s">
        <v>213</v>
      </c>
      <c r="AD468" s="65" t="s">
        <v>2559</v>
      </c>
      <c r="AE468" s="68" t="s">
        <v>786</v>
      </c>
      <c r="AF468" s="66" t="s">
        <v>2560</v>
      </c>
      <c r="AG468" s="68" t="s">
        <v>2561</v>
      </c>
      <c r="AH468" s="67"/>
      <c r="AI468" s="69"/>
      <c r="AJ468" s="69"/>
      <c r="AK468" s="69"/>
      <c r="AL468" s="86" t="s">
        <v>218</v>
      </c>
      <c r="AM468" s="88"/>
      <c r="AN468" s="88"/>
      <c r="AO468" s="88"/>
      <c r="AP468" s="59" t="s">
        <v>74</v>
      </c>
      <c r="AQ468" s="68" t="s">
        <v>2562</v>
      </c>
      <c r="AR468" s="59"/>
      <c r="AS468" s="68" t="s">
        <v>788</v>
      </c>
      <c r="AT468" s="59"/>
      <c r="AU468" s="68" t="s">
        <v>747</v>
      </c>
    </row>
    <row r="469" spans="1:47" ht="45" customHeight="1">
      <c r="A469" s="3" t="s">
        <v>148</v>
      </c>
      <c r="B469" s="3" t="s">
        <v>1026</v>
      </c>
      <c r="C469" s="6">
        <v>46290</v>
      </c>
      <c r="D469" s="3" t="s">
        <v>2563</v>
      </c>
      <c r="E469" s="3" t="s">
        <v>2564</v>
      </c>
      <c r="F469" s="20">
        <f>LEN(G469)</f>
        <v>70</v>
      </c>
      <c r="G469" s="3" t="s">
        <v>2565</v>
      </c>
      <c r="H469" s="24" t="s">
        <v>2566</v>
      </c>
      <c r="I469" s="24"/>
      <c r="J469" s="3" t="s">
        <v>154</v>
      </c>
      <c r="K469" s="3" t="s">
        <v>154</v>
      </c>
      <c r="L469" s="3" t="s">
        <v>155</v>
      </c>
      <c r="M469" s="3" t="s">
        <v>2564</v>
      </c>
      <c r="N469" s="20">
        <v>157013</v>
      </c>
      <c r="O469" s="3" t="s">
        <v>2563</v>
      </c>
      <c r="P469" s="3" t="s">
        <v>943</v>
      </c>
      <c r="Q469" s="5"/>
      <c r="R469" s="3" t="s">
        <v>2567</v>
      </c>
      <c r="S469" s="6">
        <v>46295</v>
      </c>
      <c r="T469" s="24"/>
      <c r="U469" s="3" t="b">
        <v>1</v>
      </c>
      <c r="V469" s="5"/>
      <c r="W469" s="64"/>
      <c r="X469" s="64"/>
      <c r="Y469" s="64"/>
      <c r="Z469" s="64"/>
      <c r="AA469" s="59" t="s">
        <v>2568</v>
      </c>
      <c r="AB469" s="65"/>
      <c r="AC469" s="68"/>
      <c r="AD469" s="65"/>
      <c r="AE469" s="68"/>
      <c r="AF469" s="66"/>
      <c r="AG469" s="68"/>
      <c r="AH469" s="67"/>
      <c r="AI469" s="69"/>
      <c r="AJ469" s="69"/>
      <c r="AK469" s="69"/>
      <c r="AL469" s="86"/>
      <c r="AM469" s="88"/>
      <c r="AN469" s="88"/>
      <c r="AO469" s="88"/>
      <c r="AP469" s="59"/>
      <c r="AQ469" s="68"/>
      <c r="AR469" s="59"/>
      <c r="AS469" s="68"/>
      <c r="AT469" s="59"/>
      <c r="AU469" s="68"/>
    </row>
    <row r="470" spans="1:47" ht="45" customHeight="1">
      <c r="A470" s="3" t="s">
        <v>148</v>
      </c>
      <c r="B470" s="3" t="s">
        <v>176</v>
      </c>
      <c r="C470" s="6">
        <v>46290</v>
      </c>
      <c r="D470" s="3" t="s">
        <v>2569</v>
      </c>
      <c r="E470" s="3" t="s">
        <v>2570</v>
      </c>
      <c r="F470" s="20">
        <f>LEN(G470)</f>
        <v>47</v>
      </c>
      <c r="G470" s="3" t="s">
        <v>2571</v>
      </c>
      <c r="H470" s="24" t="s">
        <v>281</v>
      </c>
      <c r="I470" s="24"/>
      <c r="J470" s="3" t="s">
        <v>154</v>
      </c>
      <c r="K470" s="3" t="s">
        <v>154</v>
      </c>
      <c r="L470" s="3" t="s">
        <v>155</v>
      </c>
      <c r="M470" s="3" t="s">
        <v>2572</v>
      </c>
      <c r="N470" s="20">
        <v>89122</v>
      </c>
      <c r="O470" s="3" t="s">
        <v>2569</v>
      </c>
      <c r="P470" s="3" t="s">
        <v>183</v>
      </c>
      <c r="Q470" s="3" t="s">
        <v>2573</v>
      </c>
      <c r="R470" s="3" t="s">
        <v>2574</v>
      </c>
      <c r="S470" s="6">
        <v>46295</v>
      </c>
      <c r="T470" s="24"/>
      <c r="U470" s="3" t="b">
        <v>1</v>
      </c>
      <c r="V470" s="3" t="s">
        <v>185</v>
      </c>
      <c r="W470" s="64"/>
      <c r="X470" s="64"/>
      <c r="Y470" s="64"/>
      <c r="Z470" s="64"/>
      <c r="AA470" s="59" t="s">
        <v>2575</v>
      </c>
      <c r="AB470" s="65"/>
      <c r="AC470" s="68"/>
      <c r="AD470" s="65"/>
      <c r="AE470" s="68"/>
      <c r="AF470" s="66"/>
      <c r="AG470" s="68"/>
      <c r="AH470" s="67"/>
      <c r="AI470" s="69"/>
      <c r="AJ470" s="69"/>
      <c r="AK470" s="69"/>
      <c r="AL470" s="86"/>
      <c r="AM470" s="88"/>
      <c r="AN470" s="88"/>
      <c r="AO470" s="88"/>
      <c r="AP470" s="59"/>
      <c r="AQ470" s="68"/>
      <c r="AR470" s="59"/>
      <c r="AS470" s="68"/>
      <c r="AT470" s="59"/>
      <c r="AU470" s="68"/>
    </row>
    <row r="471" spans="1:47" ht="45" customHeight="1">
      <c r="A471" s="3" t="s">
        <v>148</v>
      </c>
      <c r="B471" s="3" t="s">
        <v>2576</v>
      </c>
      <c r="C471" s="6">
        <v>46293</v>
      </c>
      <c r="D471" s="3" t="s">
        <v>2577</v>
      </c>
      <c r="E471" s="3" t="s">
        <v>2578</v>
      </c>
      <c r="F471" s="20">
        <f>LEN(G471)</f>
        <v>49</v>
      </c>
      <c r="G471" s="3" t="s">
        <v>2579</v>
      </c>
      <c r="H471" s="24" t="s">
        <v>2580</v>
      </c>
      <c r="I471" s="24"/>
      <c r="J471" s="5"/>
      <c r="K471" s="5"/>
      <c r="L471" s="5"/>
      <c r="M471" s="3" t="s">
        <v>2578</v>
      </c>
      <c r="N471" s="20">
        <v>14438</v>
      </c>
      <c r="O471" s="3" t="s">
        <v>2577</v>
      </c>
      <c r="P471" s="3" t="s">
        <v>157</v>
      </c>
      <c r="Q471" s="5"/>
      <c r="R471" s="3" t="s">
        <v>2581</v>
      </c>
      <c r="S471" s="6">
        <v>46293</v>
      </c>
      <c r="T471" s="24"/>
      <c r="U471" s="3" t="b">
        <v>1</v>
      </c>
      <c r="V471" s="5"/>
      <c r="W471" s="64"/>
      <c r="X471" s="64"/>
      <c r="Y471" s="64"/>
      <c r="Z471" s="64"/>
      <c r="AA471" s="59" t="s">
        <v>2582</v>
      </c>
      <c r="AB471" s="65"/>
      <c r="AC471" s="68"/>
      <c r="AD471" s="65"/>
      <c r="AE471" s="68"/>
      <c r="AF471" s="66"/>
      <c r="AG471" s="68"/>
      <c r="AH471" s="67"/>
      <c r="AI471" s="69"/>
      <c r="AJ471" s="69"/>
      <c r="AK471" s="69"/>
      <c r="AL471" s="86"/>
      <c r="AM471" s="88"/>
      <c r="AN471" s="88"/>
      <c r="AO471" s="88"/>
      <c r="AP471" s="59"/>
      <c r="AQ471" s="68"/>
      <c r="AR471" s="59"/>
      <c r="AS471" s="68"/>
      <c r="AT471" s="59"/>
      <c r="AU471" s="68"/>
    </row>
    <row r="472" spans="1:47" ht="45" customHeight="1">
      <c r="A472" s="3" t="s">
        <v>148</v>
      </c>
      <c r="B472" s="3" t="s">
        <v>2576</v>
      </c>
      <c r="C472" s="6">
        <v>46293</v>
      </c>
      <c r="D472" s="3" t="s">
        <v>2583</v>
      </c>
      <c r="E472" s="3" t="s">
        <v>2584</v>
      </c>
      <c r="F472" s="20">
        <f>LEN(G472)</f>
        <v>85</v>
      </c>
      <c r="G472" s="3" t="s">
        <v>2585</v>
      </c>
      <c r="H472" s="24" t="s">
        <v>2580</v>
      </c>
      <c r="I472" s="24"/>
      <c r="J472" s="5"/>
      <c r="K472" s="5"/>
      <c r="L472" s="5"/>
      <c r="M472" s="3" t="s">
        <v>2584</v>
      </c>
      <c r="N472" s="20">
        <v>144368</v>
      </c>
      <c r="O472" s="3" t="s">
        <v>2583</v>
      </c>
      <c r="P472" s="3" t="s">
        <v>157</v>
      </c>
      <c r="Q472" s="5"/>
      <c r="R472" s="3" t="s">
        <v>2586</v>
      </c>
      <c r="S472" s="6">
        <v>46293</v>
      </c>
      <c r="T472" s="24"/>
      <c r="U472" s="3" t="b">
        <v>1</v>
      </c>
      <c r="V472" s="5"/>
      <c r="W472" s="64"/>
      <c r="X472" s="64"/>
      <c r="Y472" s="64"/>
      <c r="Z472" s="64"/>
      <c r="AA472" s="59" t="s">
        <v>2587</v>
      </c>
      <c r="AB472" s="65"/>
      <c r="AC472" s="68"/>
      <c r="AD472" s="65"/>
      <c r="AE472" s="68"/>
      <c r="AF472" s="66"/>
      <c r="AG472" s="68"/>
      <c r="AH472" s="67"/>
      <c r="AI472" s="69"/>
      <c r="AJ472" s="69"/>
      <c r="AK472" s="69"/>
      <c r="AL472" s="86"/>
      <c r="AM472" s="88"/>
      <c r="AN472" s="88"/>
      <c r="AO472" s="88"/>
      <c r="AP472" s="59"/>
      <c r="AQ472" s="68"/>
      <c r="AR472" s="59"/>
      <c r="AS472" s="68"/>
      <c r="AT472" s="59"/>
      <c r="AU472" s="68"/>
    </row>
    <row r="473" spans="1:47" ht="45" customHeight="1">
      <c r="A473" s="3" t="s">
        <v>148</v>
      </c>
      <c r="B473" s="3" t="s">
        <v>176</v>
      </c>
      <c r="C473" s="6">
        <v>46293</v>
      </c>
      <c r="D473" s="3" t="s">
        <v>2588</v>
      </c>
      <c r="E473" s="3" t="s">
        <v>2589</v>
      </c>
      <c r="F473" s="20">
        <f>LEN(G473)</f>
        <v>31</v>
      </c>
      <c r="G473" s="3" t="s">
        <v>2590</v>
      </c>
      <c r="H473" s="24" t="s">
        <v>1738</v>
      </c>
      <c r="I473" s="24"/>
      <c r="J473" s="3" t="s">
        <v>154</v>
      </c>
      <c r="K473" s="3" t="s">
        <v>154</v>
      </c>
      <c r="L473" s="3" t="s">
        <v>155</v>
      </c>
      <c r="M473" s="3" t="s">
        <v>2591</v>
      </c>
      <c r="N473" s="20">
        <v>112807</v>
      </c>
      <c r="O473" s="3" t="s">
        <v>2588</v>
      </c>
      <c r="P473" s="3" t="s">
        <v>183</v>
      </c>
      <c r="Q473" s="3" t="s">
        <v>2592</v>
      </c>
      <c r="R473" s="3" t="s">
        <v>2593</v>
      </c>
      <c r="S473" s="6">
        <v>46295</v>
      </c>
      <c r="T473" s="24"/>
      <c r="U473" s="3" t="b">
        <v>1</v>
      </c>
      <c r="V473" s="3" t="s">
        <v>185</v>
      </c>
      <c r="W473" s="64"/>
      <c r="X473" s="64"/>
      <c r="Y473" s="64"/>
      <c r="Z473" s="64"/>
      <c r="AA473" s="59" t="s">
        <v>2594</v>
      </c>
      <c r="AB473" s="65"/>
      <c r="AC473" s="68"/>
      <c r="AD473" s="65"/>
      <c r="AE473" s="68"/>
      <c r="AF473" s="66"/>
      <c r="AG473" s="68"/>
      <c r="AH473" s="67"/>
      <c r="AI473" s="69"/>
      <c r="AJ473" s="69"/>
      <c r="AK473" s="69"/>
      <c r="AL473" s="86"/>
      <c r="AM473" s="88"/>
      <c r="AN473" s="88"/>
      <c r="AO473" s="88"/>
      <c r="AP473" s="59"/>
      <c r="AQ473" s="68"/>
      <c r="AR473" s="59"/>
      <c r="AS473" s="68"/>
      <c r="AT473" s="59"/>
      <c r="AU473" s="68"/>
    </row>
    <row r="474" spans="1:47" ht="87" customHeight="1">
      <c r="A474" s="3" t="s">
        <v>148</v>
      </c>
      <c r="B474" s="3" t="s">
        <v>666</v>
      </c>
      <c r="C474" s="6">
        <v>46294</v>
      </c>
      <c r="D474" s="3" t="s">
        <v>2595</v>
      </c>
      <c r="E474" s="3" t="s">
        <v>2596</v>
      </c>
      <c r="F474" s="20">
        <f>LEN(G474)</f>
        <v>35</v>
      </c>
      <c r="G474" s="3" t="s">
        <v>2597</v>
      </c>
      <c r="H474" s="24" t="s">
        <v>164</v>
      </c>
      <c r="I474" s="5"/>
      <c r="J474" s="3" t="s">
        <v>154</v>
      </c>
      <c r="K474" s="3" t="s">
        <v>154</v>
      </c>
      <c r="L474" s="3" t="s">
        <v>155</v>
      </c>
      <c r="M474" s="3" t="s">
        <v>2598</v>
      </c>
      <c r="N474" s="20">
        <v>28499</v>
      </c>
      <c r="O474" s="3" t="s">
        <v>2599</v>
      </c>
      <c r="P474" s="3" t="s">
        <v>672</v>
      </c>
      <c r="Q474" s="5"/>
      <c r="R474" s="5"/>
      <c r="S474" s="5"/>
      <c r="T474" s="24"/>
      <c r="U474" s="3" t="b">
        <v>0</v>
      </c>
      <c r="V474" s="5"/>
      <c r="W474" s="64"/>
      <c r="X474" s="64"/>
      <c r="Y474" s="64" t="s">
        <v>2600</v>
      </c>
      <c r="Z474" s="64"/>
      <c r="AA474" s="59" t="s">
        <v>1072</v>
      </c>
      <c r="AB474" s="65"/>
      <c r="AC474" s="68" t="s">
        <v>213</v>
      </c>
      <c r="AD474" s="65" t="s">
        <v>2601</v>
      </c>
      <c r="AE474" s="68" t="s">
        <v>786</v>
      </c>
      <c r="AF474" s="66" t="s">
        <v>2602</v>
      </c>
      <c r="AG474" s="68" t="s">
        <v>2603</v>
      </c>
      <c r="AH474" s="67"/>
      <c r="AI474" s="69"/>
      <c r="AJ474" s="69"/>
      <c r="AK474" s="69"/>
      <c r="AL474" s="86" t="s">
        <v>218</v>
      </c>
      <c r="AM474" s="88"/>
      <c r="AN474" s="88"/>
      <c r="AO474" s="88"/>
      <c r="AP474" s="59" t="s">
        <v>74</v>
      </c>
      <c r="AQ474" s="68" t="s">
        <v>2604</v>
      </c>
      <c r="AR474" s="59"/>
      <c r="AS474" s="68" t="s">
        <v>2605</v>
      </c>
      <c r="AT474" s="59"/>
      <c r="AU474" s="68" t="s">
        <v>2606</v>
      </c>
    </row>
    <row r="475" spans="1:47" ht="87" customHeight="1">
      <c r="A475" s="3" t="s">
        <v>148</v>
      </c>
      <c r="B475" s="3" t="s">
        <v>666</v>
      </c>
      <c r="C475" s="12">
        <v>46294</v>
      </c>
      <c r="D475" s="3" t="s">
        <v>2607</v>
      </c>
      <c r="E475" s="3" t="s">
        <v>2598</v>
      </c>
      <c r="F475" s="20">
        <f>LEN(G475)</f>
        <v>73</v>
      </c>
      <c r="G475" s="3" t="s">
        <v>2608</v>
      </c>
      <c r="H475" s="24" t="s">
        <v>164</v>
      </c>
      <c r="I475" s="5"/>
      <c r="J475" s="3" t="s">
        <v>154</v>
      </c>
      <c r="K475" s="3" t="s">
        <v>154</v>
      </c>
      <c r="L475" s="3" t="s">
        <v>155</v>
      </c>
      <c r="M475" s="3" t="s">
        <v>2596</v>
      </c>
      <c r="N475" s="20">
        <v>28499</v>
      </c>
      <c r="O475" s="3" t="s">
        <v>2607</v>
      </c>
      <c r="P475" s="3" t="s">
        <v>672</v>
      </c>
      <c r="Q475" s="5"/>
      <c r="R475" s="5"/>
      <c r="S475" s="5"/>
      <c r="T475" s="24"/>
      <c r="U475" s="3" t="b">
        <v>0</v>
      </c>
      <c r="V475" s="5"/>
      <c r="W475" s="64"/>
      <c r="X475" s="64"/>
      <c r="Y475" s="64" t="s">
        <v>2600</v>
      </c>
      <c r="Z475" s="64"/>
      <c r="AA475" s="59" t="s">
        <v>1072</v>
      </c>
      <c r="AB475" s="65"/>
      <c r="AC475" s="68" t="s">
        <v>213</v>
      </c>
      <c r="AD475" s="65" t="s">
        <v>2609</v>
      </c>
      <c r="AE475" s="68" t="s">
        <v>786</v>
      </c>
      <c r="AF475" s="66" t="s">
        <v>2610</v>
      </c>
      <c r="AG475" s="68" t="s">
        <v>2611</v>
      </c>
      <c r="AH475" s="67"/>
      <c r="AI475" s="69"/>
      <c r="AJ475" s="69"/>
      <c r="AK475" s="69"/>
      <c r="AL475" s="86" t="s">
        <v>218</v>
      </c>
      <c r="AM475" s="88"/>
      <c r="AN475" s="88"/>
      <c r="AO475" s="88"/>
      <c r="AP475" s="59" t="s">
        <v>74</v>
      </c>
      <c r="AQ475" s="68" t="s">
        <v>2612</v>
      </c>
      <c r="AR475" s="59"/>
      <c r="AS475" s="68" t="s">
        <v>2605</v>
      </c>
      <c r="AT475" s="59"/>
      <c r="AU475" s="68" t="s">
        <v>2606</v>
      </c>
    </row>
    <row r="476" spans="1:47" ht="80.25" customHeight="1">
      <c r="A476" s="6" t="s">
        <v>148</v>
      </c>
      <c r="B476" s="6" t="s">
        <v>816</v>
      </c>
      <c r="C476" s="6">
        <v>46294</v>
      </c>
      <c r="D476" s="3" t="s">
        <v>2613</v>
      </c>
      <c r="E476" s="6" t="s">
        <v>445</v>
      </c>
      <c r="F476" s="6">
        <f>LEN(G476)</f>
        <v>84</v>
      </c>
      <c r="G476" s="6" t="s">
        <v>2614</v>
      </c>
      <c r="H476" s="6" t="s">
        <v>2615</v>
      </c>
      <c r="I476" s="6"/>
      <c r="J476" s="6" t="s">
        <v>154</v>
      </c>
      <c r="K476" s="6" t="s">
        <v>154</v>
      </c>
      <c r="L476" s="6" t="s">
        <v>155</v>
      </c>
      <c r="M476" s="6" t="s">
        <v>445</v>
      </c>
      <c r="N476" s="6">
        <v>24741</v>
      </c>
      <c r="O476" s="3" t="s">
        <v>2613</v>
      </c>
      <c r="P476" s="6" t="s">
        <v>157</v>
      </c>
      <c r="Q476" s="6" t="s">
        <v>2616</v>
      </c>
      <c r="R476" s="3"/>
      <c r="S476" s="6"/>
      <c r="T476" s="6"/>
      <c r="U476" s="6" t="b">
        <v>0</v>
      </c>
      <c r="V476" s="6"/>
      <c r="W476" s="64" t="s">
        <v>2613</v>
      </c>
      <c r="X476" s="64" t="s">
        <v>445</v>
      </c>
      <c r="Y476" s="64" t="s">
        <v>445</v>
      </c>
      <c r="Z476" s="64" t="s">
        <v>2613</v>
      </c>
      <c r="AA476" s="59" t="s">
        <v>2617</v>
      </c>
      <c r="AB476" s="65" t="s">
        <v>2618</v>
      </c>
      <c r="AC476" s="68" t="s">
        <v>2619</v>
      </c>
      <c r="AD476" s="65" t="s">
        <v>2620</v>
      </c>
      <c r="AE476" s="68" t="s">
        <v>2621</v>
      </c>
      <c r="AF476" s="66" t="s">
        <v>2622</v>
      </c>
      <c r="AG476" s="68" t="s">
        <v>2623</v>
      </c>
      <c r="AH476" s="67"/>
      <c r="AI476" s="69"/>
      <c r="AJ476" s="69"/>
      <c r="AK476" s="69"/>
      <c r="AL476" s="86" t="s">
        <v>218</v>
      </c>
      <c r="AM476" s="89" t="str">
        <f>HYPERLINK("https://www.sick.com/media/pdf/9/09/509/dataSheet_PSN02-2301_1102144_en.pdf","https://www.sick.com/media/pdf/9/09/509/dataSheet_PSN02-2301_1102144_en.pdf")</f>
        <v>https://www.sick.com/media/pdf/9/09/509/dataSheet_PSN02-2301_1102144_en.pdf</v>
      </c>
      <c r="AN476" s="89" t="str">
        <f>HYPERLINK("https://www.sick.com/in/en/catalog/products/safety/safety-light-beam-sensors/detem/psn02-2301/p/p655509","https://www.sick.com/in/en/catalog/products/safety/safety-light-beam-sensors/detem/psn02-2301/p/p655509")</f>
        <v>https://www.sick.com/in/en/catalog/products/safety/safety-light-beam-sensors/detem/psn02-2301/p/p655509</v>
      </c>
      <c r="AO476" s="88"/>
      <c r="AP476" s="59" t="s">
        <v>70</v>
      </c>
      <c r="AQ476" s="68" t="s">
        <v>2624</v>
      </c>
      <c r="AR476" s="59"/>
      <c r="AS476" s="68" t="s">
        <v>746</v>
      </c>
      <c r="AT476" s="59"/>
      <c r="AU476" s="68" t="s">
        <v>747</v>
      </c>
    </row>
    <row r="477" spans="1:47" ht="120" customHeight="1">
      <c r="A477" s="6" t="s">
        <v>148</v>
      </c>
      <c r="B477" s="6" t="s">
        <v>816</v>
      </c>
      <c r="C477" s="6">
        <v>46294</v>
      </c>
      <c r="D477" s="3" t="s">
        <v>2625</v>
      </c>
      <c r="E477" s="6" t="s">
        <v>445</v>
      </c>
      <c r="F477" s="6">
        <f>LEN(G477)</f>
        <v>96</v>
      </c>
      <c r="G477" s="6" t="s">
        <v>2626</v>
      </c>
      <c r="H477" s="6" t="s">
        <v>2615</v>
      </c>
      <c r="I477" s="6"/>
      <c r="J477" s="6" t="s">
        <v>154</v>
      </c>
      <c r="K477" s="6" t="s">
        <v>154</v>
      </c>
      <c r="L477" s="6" t="s">
        <v>155</v>
      </c>
      <c r="M477" s="6" t="s">
        <v>445</v>
      </c>
      <c r="N477" s="6">
        <v>24741</v>
      </c>
      <c r="O477" s="3" t="s">
        <v>2625</v>
      </c>
      <c r="P477" s="6" t="s">
        <v>157</v>
      </c>
      <c r="Q477" s="6" t="s">
        <v>2616</v>
      </c>
      <c r="R477" s="3"/>
      <c r="S477" s="6"/>
      <c r="T477" s="6"/>
      <c r="U477" s="6" t="b">
        <v>0</v>
      </c>
      <c r="V477" s="6"/>
      <c r="W477" s="64" t="s">
        <v>2625</v>
      </c>
      <c r="X477" s="64" t="s">
        <v>445</v>
      </c>
      <c r="Y477" s="64" t="s">
        <v>445</v>
      </c>
      <c r="Z477" s="64" t="s">
        <v>2625</v>
      </c>
      <c r="AA477" s="59" t="s">
        <v>2617</v>
      </c>
      <c r="AB477" s="65" t="s">
        <v>2627</v>
      </c>
      <c r="AC477" s="68" t="s">
        <v>2628</v>
      </c>
      <c r="AD477" s="65" t="s">
        <v>2629</v>
      </c>
      <c r="AE477" s="68" t="s">
        <v>2630</v>
      </c>
      <c r="AF477" s="66" t="s">
        <v>2631</v>
      </c>
      <c r="AG477" s="68" t="s">
        <v>2632</v>
      </c>
      <c r="AH477" s="67"/>
      <c r="AI477" s="69"/>
      <c r="AJ477" s="69"/>
      <c r="AK477" s="69"/>
      <c r="AL477" s="86" t="s">
        <v>218</v>
      </c>
      <c r="AM477" s="89" t="str">
        <f>HYPERLINK("https://www.sick.com/media/pdf/9/99/199/dataSheet_M4M-ZA04300D20_1096014_en.pdf","https://www.sick.com/media/pdf/9/99/199/dataSheet_M4M-ZA04300D20_1096014_en.pdf")</f>
        <v>https://www.sick.com/media/pdf/9/99/199/dataSheet_M4M-ZA04300D20_1096014_en.pdf</v>
      </c>
      <c r="AN477" s="89" t="str">
        <f>HYPERLINK("https://www.sick.com/at/en/catalog/products/safety/safety-light-beam-sensors/detem/m4m-za04300d20/p/p665199","https://www.sick.com/at/en/catalog/products/safety/safety-light-beam-sensors/detem/m4m-za04300d20/p/p665199")</f>
        <v>https://www.sick.com/at/en/catalog/products/safety/safety-light-beam-sensors/detem/m4m-za04300d20/p/p665199</v>
      </c>
      <c r="AO477" s="89" t="str">
        <f>HYPERLINK("https://www.digikey.com/en/products/detail/sick-inc/1096014/22679932","https://www.digikey.com/en/products/detail/sick-inc/1096014/22679932")</f>
        <v>https://www.digikey.com/en/products/detail/sick-inc/1096014/22679932</v>
      </c>
      <c r="AP477" s="59" t="s">
        <v>70</v>
      </c>
      <c r="AQ477" s="68" t="s">
        <v>2633</v>
      </c>
      <c r="AR477" s="59"/>
      <c r="AS477" s="68" t="s">
        <v>746</v>
      </c>
      <c r="AT477" s="59"/>
      <c r="AU477" s="68" t="s">
        <v>747</v>
      </c>
    </row>
    <row r="478" spans="1:47" ht="45" customHeight="1">
      <c r="A478" s="3" t="s">
        <v>148</v>
      </c>
      <c r="B478" s="3" t="s">
        <v>176</v>
      </c>
      <c r="C478" s="6">
        <v>46294</v>
      </c>
      <c r="D478" s="3" t="s">
        <v>2634</v>
      </c>
      <c r="E478" s="3" t="s">
        <v>669</v>
      </c>
      <c r="F478" s="20">
        <f>LEN(G478)</f>
        <v>29</v>
      </c>
      <c r="G478" s="3" t="s">
        <v>2635</v>
      </c>
      <c r="H478" s="24" t="s">
        <v>336</v>
      </c>
      <c r="I478" s="24"/>
      <c r="J478" s="3" t="s">
        <v>154</v>
      </c>
      <c r="K478" s="3" t="s">
        <v>154</v>
      </c>
      <c r="L478" s="3" t="s">
        <v>155</v>
      </c>
      <c r="M478" s="3" t="s">
        <v>669</v>
      </c>
      <c r="N478" s="20">
        <v>14436</v>
      </c>
      <c r="O478" s="3" t="s">
        <v>2636</v>
      </c>
      <c r="P478" s="3" t="s">
        <v>183</v>
      </c>
      <c r="Q478" s="5"/>
      <c r="R478" s="3" t="s">
        <v>2637</v>
      </c>
      <c r="S478" s="6">
        <v>46295</v>
      </c>
      <c r="T478" s="24"/>
      <c r="U478" s="3" t="b">
        <v>1</v>
      </c>
      <c r="V478" s="3" t="s">
        <v>185</v>
      </c>
      <c r="W478" s="64"/>
      <c r="X478" s="64"/>
      <c r="Y478" s="64"/>
      <c r="Z478" s="64"/>
      <c r="AA478" s="59" t="s">
        <v>2638</v>
      </c>
      <c r="AB478" s="65"/>
      <c r="AC478" s="68"/>
      <c r="AD478" s="65"/>
      <c r="AE478" s="68"/>
      <c r="AF478" s="66"/>
      <c r="AG478" s="68"/>
      <c r="AH478" s="67"/>
      <c r="AI478" s="69"/>
      <c r="AJ478" s="69"/>
      <c r="AK478" s="69"/>
      <c r="AL478" s="86"/>
      <c r="AM478" s="88"/>
      <c r="AN478" s="88"/>
      <c r="AO478" s="88"/>
      <c r="AP478" s="59"/>
      <c r="AQ478" s="68"/>
      <c r="AR478" s="59"/>
      <c r="AS478" s="68"/>
      <c r="AT478" s="59"/>
      <c r="AU478" s="68"/>
    </row>
    <row r="479" spans="1:47" ht="80.25" customHeight="1">
      <c r="A479" s="3" t="s">
        <v>148</v>
      </c>
      <c r="B479" s="3" t="s">
        <v>965</v>
      </c>
      <c r="C479" s="6">
        <v>46295</v>
      </c>
      <c r="D479" s="3" t="s">
        <v>2639</v>
      </c>
      <c r="E479" s="3" t="s">
        <v>2640</v>
      </c>
      <c r="F479" s="20">
        <f>LEN(G479)</f>
        <v>13</v>
      </c>
      <c r="G479" s="3" t="s">
        <v>2641</v>
      </c>
      <c r="H479" s="24" t="s">
        <v>1059</v>
      </c>
      <c r="I479" s="3" t="s">
        <v>2640</v>
      </c>
      <c r="J479" s="3" t="s">
        <v>154</v>
      </c>
      <c r="K479" s="3" t="s">
        <v>154</v>
      </c>
      <c r="L479" s="3" t="s">
        <v>155</v>
      </c>
      <c r="M479" s="3" t="s">
        <v>2642</v>
      </c>
      <c r="N479" s="20" t="s">
        <v>2643</v>
      </c>
      <c r="O479" s="3" t="s">
        <v>2644</v>
      </c>
      <c r="P479" s="3" t="s">
        <v>969</v>
      </c>
      <c r="Q479" s="3" t="s">
        <v>2645</v>
      </c>
      <c r="R479" s="5"/>
      <c r="S479" s="5"/>
      <c r="T479" s="24" t="s">
        <v>2646</v>
      </c>
      <c r="U479" s="3" t="b">
        <v>0</v>
      </c>
      <c r="V479" s="5"/>
      <c r="W479" s="64"/>
      <c r="X479" s="64"/>
      <c r="Y479" s="64" t="s">
        <v>2642</v>
      </c>
      <c r="Z479" s="64"/>
      <c r="AA479" s="59" t="s">
        <v>784</v>
      </c>
      <c r="AB479" s="65"/>
      <c r="AC479" s="68" t="s">
        <v>213</v>
      </c>
      <c r="AD479" s="65" t="s">
        <v>2647</v>
      </c>
      <c r="AE479" s="68" t="s">
        <v>786</v>
      </c>
      <c r="AF479" s="66" t="s">
        <v>2641</v>
      </c>
      <c r="AG479" s="68" t="s">
        <v>2648</v>
      </c>
      <c r="AH479" s="67"/>
      <c r="AI479" s="69"/>
      <c r="AJ479" s="69"/>
      <c r="AK479" s="69"/>
      <c r="AL479" s="86" t="s">
        <v>218</v>
      </c>
      <c r="AM479" s="88"/>
      <c r="AN479" s="88"/>
      <c r="AO479" s="88"/>
      <c r="AP479" s="59" t="s">
        <v>74</v>
      </c>
      <c r="AQ479" s="68" t="s">
        <v>2649</v>
      </c>
      <c r="AR479" s="59"/>
      <c r="AS479" s="68" t="s">
        <v>788</v>
      </c>
      <c r="AT479" s="59" t="s">
        <v>2640</v>
      </c>
      <c r="AU479" s="68" t="s">
        <v>1077</v>
      </c>
    </row>
    <row r="480" spans="1:47" ht="45" customHeight="1">
      <c r="A480" s="3" t="s">
        <v>148</v>
      </c>
      <c r="B480" s="3" t="s">
        <v>1026</v>
      </c>
      <c r="C480" s="6">
        <v>46295</v>
      </c>
      <c r="D480" s="3" t="s">
        <v>2650</v>
      </c>
      <c r="E480" s="3" t="s">
        <v>2651</v>
      </c>
      <c r="F480" s="20">
        <f>LEN(G480)</f>
        <v>74</v>
      </c>
      <c r="G480" s="3" t="s">
        <v>2652</v>
      </c>
      <c r="H480" s="24" t="s">
        <v>2653</v>
      </c>
      <c r="I480" s="24"/>
      <c r="J480" s="3" t="s">
        <v>154</v>
      </c>
      <c r="K480" s="3" t="s">
        <v>154</v>
      </c>
      <c r="L480" s="3" t="s">
        <v>155</v>
      </c>
      <c r="M480" s="3" t="s">
        <v>2651</v>
      </c>
      <c r="N480" s="20">
        <v>110877</v>
      </c>
      <c r="O480" s="3" t="s">
        <v>2650</v>
      </c>
      <c r="P480" s="3" t="s">
        <v>943</v>
      </c>
      <c r="Q480" s="5"/>
      <c r="R480" s="3" t="s">
        <v>2654</v>
      </c>
      <c r="S480" s="6">
        <v>46295</v>
      </c>
      <c r="T480" s="24"/>
      <c r="U480" s="3" t="b">
        <v>1</v>
      </c>
      <c r="V480" s="5"/>
      <c r="W480" s="64"/>
      <c r="X480" s="64"/>
      <c r="Y480" s="64"/>
      <c r="Z480" s="64"/>
      <c r="AA480" s="59" t="s">
        <v>2655</v>
      </c>
      <c r="AB480" s="65"/>
      <c r="AC480" s="68"/>
      <c r="AD480" s="65"/>
      <c r="AE480" s="68"/>
      <c r="AF480" s="66"/>
      <c r="AG480" s="68"/>
      <c r="AH480" s="67"/>
      <c r="AI480" s="69"/>
      <c r="AJ480" s="69"/>
      <c r="AK480" s="69"/>
      <c r="AL480" s="86"/>
      <c r="AM480" s="88"/>
      <c r="AN480" s="88"/>
      <c r="AO480" s="88"/>
      <c r="AP480" s="59"/>
      <c r="AQ480" s="68"/>
      <c r="AR480" s="59"/>
      <c r="AS480" s="68"/>
      <c r="AT480" s="59"/>
      <c r="AU480" s="68"/>
    </row>
    <row r="481" spans="1:47" ht="120" customHeight="1">
      <c r="A481" s="6" t="s">
        <v>148</v>
      </c>
      <c r="B481" s="6" t="s">
        <v>816</v>
      </c>
      <c r="C481" s="6">
        <v>46295</v>
      </c>
      <c r="D481" s="3" t="s">
        <v>2656</v>
      </c>
      <c r="E481" s="6" t="s">
        <v>2657</v>
      </c>
      <c r="F481" s="6">
        <f>LEN(G481)</f>
        <v>54</v>
      </c>
      <c r="G481" s="6" t="s">
        <v>2658</v>
      </c>
      <c r="H481" s="6" t="s">
        <v>2659</v>
      </c>
      <c r="I481" s="6"/>
      <c r="J481" s="6" t="s">
        <v>154</v>
      </c>
      <c r="K481" s="6" t="s">
        <v>154</v>
      </c>
      <c r="L481" s="6" t="s">
        <v>155</v>
      </c>
      <c r="M481" s="6" t="s">
        <v>821</v>
      </c>
      <c r="N481" s="6">
        <v>15189</v>
      </c>
      <c r="O481" s="3" t="s">
        <v>2660</v>
      </c>
      <c r="P481" s="6" t="s">
        <v>157</v>
      </c>
      <c r="Q481" s="6" t="s">
        <v>823</v>
      </c>
      <c r="R481" s="3"/>
      <c r="S481" s="6"/>
      <c r="T481" s="6"/>
      <c r="U481" s="6" t="b">
        <v>0</v>
      </c>
      <c r="V481" s="6"/>
      <c r="W481" s="64" t="s">
        <v>2656</v>
      </c>
      <c r="X481" s="64" t="s">
        <v>2661</v>
      </c>
      <c r="Y481" s="64" t="s">
        <v>826</v>
      </c>
      <c r="Z481" s="64" t="s">
        <v>2660</v>
      </c>
      <c r="AA481" s="59" t="s">
        <v>2617</v>
      </c>
      <c r="AB481" s="65" t="s">
        <v>2662</v>
      </c>
      <c r="AC481" s="68" t="s">
        <v>2663</v>
      </c>
      <c r="AD481" s="65" t="s">
        <v>2664</v>
      </c>
      <c r="AE481" s="68" t="s">
        <v>2665</v>
      </c>
      <c r="AF481" s="66" t="s">
        <v>2658</v>
      </c>
      <c r="AG481" s="68" t="s">
        <v>2666</v>
      </c>
      <c r="AH481" s="67"/>
      <c r="AI481" s="69"/>
      <c r="AJ481" s="69"/>
      <c r="AK481" s="69"/>
      <c r="AL481" s="86" t="s">
        <v>218</v>
      </c>
      <c r="AM481" s="88"/>
      <c r="AN481" s="89" t="str">
        <f>HYPERLINK("https://www.kaercher.com/fr/professional/aspirateurs-eau-et-poussieres/gamme-classic/nt-30-1-me-classic-edition-14285680.html","https://www.kaercher.com/fr/professional/aspirateurs-eau-et-poussieres/gamme-classic/nt-30-1-me-classic-edition-14285680.html")</f>
        <v>https://www.kaercher.com/fr/professional/aspirateurs-eau-et-poussieres/gamme-classic/nt-30-1-me-classic-edition-14285680.html</v>
      </c>
      <c r="AO481" s="89" t="str">
        <f>HYPERLINK("https://www.manutan.fr/fr/maf/aspirateur-eau-et-poussieres-nt-30-1-me-classic-edition-karcher","https://www.manutan.fr/fr/maf/aspirateur-eau-et-poussieres-nt-30-1-me-classic-edition-karcher")</f>
        <v>https://www.manutan.fr/fr/maf/aspirateur-eau-et-poussieres-nt-30-1-me-classic-edition-karcher</v>
      </c>
      <c r="AP481" s="59" t="s">
        <v>70</v>
      </c>
      <c r="AQ481" s="68" t="s">
        <v>2667</v>
      </c>
      <c r="AR481" s="59"/>
      <c r="AS481" s="68" t="s">
        <v>746</v>
      </c>
      <c r="AT481" s="59"/>
      <c r="AU481" s="68" t="s">
        <v>747</v>
      </c>
    </row>
    <row r="482" spans="1:47" ht="80.25" customHeight="1">
      <c r="A482" s="6" t="s">
        <v>148</v>
      </c>
      <c r="B482" s="6" t="s">
        <v>816</v>
      </c>
      <c r="C482" s="6">
        <v>46295</v>
      </c>
      <c r="D482" s="3" t="s">
        <v>2668</v>
      </c>
      <c r="E482" s="6" t="s">
        <v>2669</v>
      </c>
      <c r="F482" s="6">
        <f>LEN(G482)</f>
        <v>46</v>
      </c>
      <c r="G482" s="6" t="s">
        <v>2670</v>
      </c>
      <c r="H482" s="6" t="s">
        <v>714</v>
      </c>
      <c r="I482" s="6" t="s">
        <v>2671</v>
      </c>
      <c r="J482" s="6" t="s">
        <v>154</v>
      </c>
      <c r="K482" s="6" t="s">
        <v>154</v>
      </c>
      <c r="L482" s="6" t="s">
        <v>155</v>
      </c>
      <c r="M482" s="6" t="s">
        <v>2672</v>
      </c>
      <c r="N482" s="6">
        <v>133370</v>
      </c>
      <c r="O482" s="3" t="s">
        <v>2673</v>
      </c>
      <c r="P482" s="6" t="s">
        <v>157</v>
      </c>
      <c r="Q482" s="6" t="s">
        <v>2674</v>
      </c>
      <c r="R482" s="3"/>
      <c r="S482" s="6"/>
      <c r="T482" s="6"/>
      <c r="U482" s="6" t="b">
        <v>0</v>
      </c>
      <c r="V482" s="6"/>
      <c r="W482" s="64" t="s">
        <v>2668</v>
      </c>
      <c r="X482" s="64" t="s">
        <v>2675</v>
      </c>
      <c r="Y482" s="64"/>
      <c r="Z482" s="64"/>
      <c r="AA482" s="59" t="s">
        <v>1519</v>
      </c>
      <c r="AB482" s="65"/>
      <c r="AC482" s="68" t="s">
        <v>213</v>
      </c>
      <c r="AD482" s="65" t="s">
        <v>2676</v>
      </c>
      <c r="AE482" s="68" t="s">
        <v>2677</v>
      </c>
      <c r="AF482" s="66" t="s">
        <v>2670</v>
      </c>
      <c r="AG482" s="68" t="s">
        <v>777</v>
      </c>
      <c r="AH482" s="67"/>
      <c r="AI482" s="69"/>
      <c r="AJ482" s="69"/>
      <c r="AK482" s="69"/>
      <c r="AL482" s="86" t="s">
        <v>218</v>
      </c>
      <c r="AM482" s="88"/>
      <c r="AN482" s="88"/>
      <c r="AO482" s="89" t="str">
        <f>HYPERLINK("https://www.pumpsukltd.com/lowara-15sv03f030t-d-multistage-pump.html","https://www.pumpsukltd.com/lowara-15sv03f030t-d-multistage-pump.html")</f>
        <v>https://www.pumpsukltd.com/lowara-15sv03f030t-d-multistage-pump.html</v>
      </c>
      <c r="AP482" s="59" t="s">
        <v>72</v>
      </c>
      <c r="AQ482" s="68" t="s">
        <v>2678</v>
      </c>
      <c r="AR482" s="59"/>
      <c r="AS482" s="68" t="s">
        <v>746</v>
      </c>
      <c r="AT482" s="59" t="s">
        <v>2671</v>
      </c>
      <c r="AU482" s="68" t="s">
        <v>1077</v>
      </c>
    </row>
    <row r="483" spans="1:47" ht="141.75" customHeight="1">
      <c r="A483" s="3" t="s">
        <v>148</v>
      </c>
      <c r="B483" s="3" t="s">
        <v>149</v>
      </c>
      <c r="C483" s="6">
        <v>46295</v>
      </c>
      <c r="D483" s="3" t="s">
        <v>2679</v>
      </c>
      <c r="E483" s="3" t="s">
        <v>2680</v>
      </c>
      <c r="F483" s="20">
        <f>LEN(G483)</f>
        <v>62</v>
      </c>
      <c r="G483" s="3" t="s">
        <v>2681</v>
      </c>
      <c r="H483" s="24" t="s">
        <v>2682</v>
      </c>
      <c r="I483" s="5"/>
      <c r="J483" s="3" t="s">
        <v>154</v>
      </c>
      <c r="K483" s="3" t="s">
        <v>154</v>
      </c>
      <c r="L483" s="3" t="s">
        <v>155</v>
      </c>
      <c r="M483" s="3" t="s">
        <v>2683</v>
      </c>
      <c r="N483" s="20">
        <v>6288</v>
      </c>
      <c r="O483" s="3" t="s">
        <v>2684</v>
      </c>
      <c r="P483" s="3" t="s">
        <v>157</v>
      </c>
      <c r="Q483" s="5"/>
      <c r="R483" s="5" t="inlineStr">
        <is>
          <t xml:space="preserve">087325</t>
        </is>
      </c>
      <c r="S483" s="5">
        <v>46302</v>
      </c>
      <c r="T483" s="24"/>
      <c r="U483" s="3" t="b">
        <v>0</v>
      </c>
      <c r="V483" s="5"/>
      <c r="W483" s="64" t="s">
        <v>2679</v>
      </c>
      <c r="X483" s="64" t="s">
        <v>2685</v>
      </c>
      <c r="Y483" s="64" t="s">
        <v>2686</v>
      </c>
      <c r="Z483" s="64"/>
      <c r="AA483" s="59" t="s">
        <v>1793</v>
      </c>
      <c r="AB483" s="65" t="s">
        <v>2687</v>
      </c>
      <c r="AC483" s="68" t="s">
        <v>2688</v>
      </c>
      <c r="AD483" s="65" t="s">
        <v>2689</v>
      </c>
      <c r="AE483" s="68" t="s">
        <v>2690</v>
      </c>
      <c r="AF483" s="66" t="s">
        <v>2691</v>
      </c>
      <c r="AG483" s="68" t="s">
        <v>2692</v>
      </c>
      <c r="AH483" s="67"/>
      <c r="AI483" s="69"/>
      <c r="AJ483" s="69"/>
      <c r="AK483" s="69"/>
      <c r="AL483" s="86" t="s">
        <v>218</v>
      </c>
      <c r="AM483" s="88"/>
      <c r="AN483" s="89" t="str">
        <f>HYPERLINK("https://www.burkert.com/en/products/solenoid-valves/water-solenoid-valves/227542","https://www.burkert.com/en/products/solenoid-valves/water-solenoid-valves/227542")</f>
        <v>https://www.burkert.com/en/products/solenoid-valves/water-solenoid-valves/227542</v>
      </c>
      <c r="AO483" s="89" t="str">
        <f>HYPERLINK("https://www.valves-direct.com/type-6213/98107-burkert-227542-2-2-nc-g1-1-2-orifice-size-40mm-type-6213-solenoid-valve-for-neutral-liquids-and-gases.html","https://www.valves-direct.com/type-6213/98107-burkert-227542-2-2-nc-g1-1-2-orifice-size-40mm-type-6213-solenoid-valve-for-neutral-liquids-and-gases.html")</f>
        <v>https://www.valves-direct.com/type-6213/98107-burkert-227542-2-2-nc-g1-1-2-orifice-size-40mm-type-6213-solenoid-valve-for-neutral-liquids-and-gases.html</v>
      </c>
      <c r="AP483" s="59" t="s">
        <v>70</v>
      </c>
      <c r="AQ483" s="68" t="s">
        <v>2693</v>
      </c>
      <c r="AR483" s="59"/>
      <c r="AS483" s="68" t="s">
        <v>746</v>
      </c>
      <c r="AT483" s="59"/>
      <c r="AU483" s="68" t="s">
        <v>747</v>
      </c>
    </row>
    <row r="484" spans="1:47" ht="98.25" customHeight="1">
      <c r="A484" s="3" t="s">
        <v>148</v>
      </c>
      <c r="B484" s="3" t="s">
        <v>176</v>
      </c>
      <c r="C484" s="6">
        <v>46295</v>
      </c>
      <c r="D484" s="3" t="s">
        <v>2694</v>
      </c>
      <c r="E484" s="3" t="s">
        <v>1063</v>
      </c>
      <c r="F484" s="20">
        <f>LEN(G484)</f>
        <v>99</v>
      </c>
      <c r="G484" s="3" t="s">
        <v>2695</v>
      </c>
      <c r="H484" s="24"/>
      <c r="I484" s="3" t="s">
        <v>2696</v>
      </c>
      <c r="J484" s="3" t="s">
        <v>154</v>
      </c>
      <c r="K484" s="3" t="s">
        <v>154</v>
      </c>
      <c r="L484" s="3" t="s">
        <v>155</v>
      </c>
      <c r="M484" s="3" t="s">
        <v>1063</v>
      </c>
      <c r="N484" s="20">
        <v>166439</v>
      </c>
      <c r="O484" s="3" t="s">
        <v>2694</v>
      </c>
      <c r="P484" s="3" t="s">
        <v>183</v>
      </c>
      <c r="Q484" s="3" t="s">
        <v>2697</v>
      </c>
      <c r="R484" s="5"/>
      <c r="S484" s="5"/>
      <c r="T484" s="24"/>
      <c r="U484" s="3" t="b">
        <v>0</v>
      </c>
      <c r="V484" s="5"/>
      <c r="W484" s="64"/>
      <c r="X484" s="64"/>
      <c r="Y484" s="64" t="s">
        <v>1071</v>
      </c>
      <c r="Z484" s="64"/>
      <c r="AA484" s="59" t="s">
        <v>1072</v>
      </c>
      <c r="AB484" s="65"/>
      <c r="AC484" s="68" t="s">
        <v>213</v>
      </c>
      <c r="AD484" s="65" t="s">
        <v>2698</v>
      </c>
      <c r="AE484" s="68" t="s">
        <v>786</v>
      </c>
      <c r="AF484" s="66" t="s">
        <v>2699</v>
      </c>
      <c r="AG484" s="68" t="s">
        <v>1075</v>
      </c>
      <c r="AH484" s="67"/>
      <c r="AI484" s="69"/>
      <c r="AJ484" s="69"/>
      <c r="AK484" s="69"/>
      <c r="AL484" s="86" t="s">
        <v>218</v>
      </c>
      <c r="AM484" s="88"/>
      <c r="AN484" s="88"/>
      <c r="AO484" s="88"/>
      <c r="AP484" s="59" t="s">
        <v>74</v>
      </c>
      <c r="AQ484" s="68" t="s">
        <v>2700</v>
      </c>
      <c r="AR484" s="59"/>
      <c r="AS484" s="68" t="s">
        <v>2701</v>
      </c>
      <c r="AT484" s="59" t="s">
        <v>2696</v>
      </c>
      <c r="AU484" s="68" t="s">
        <v>1077</v>
      </c>
    </row>
    <row r="485" spans="1:47" ht="80.25" customHeight="1">
      <c r="A485" s="3" t="s">
        <v>148</v>
      </c>
      <c r="B485" s="3" t="s">
        <v>666</v>
      </c>
      <c r="C485" s="6">
        <v>46296</v>
      </c>
      <c r="D485" s="3" t="s">
        <v>2702</v>
      </c>
      <c r="E485" s="3" t="s">
        <v>2703</v>
      </c>
      <c r="F485" s="20">
        <f>LEN(G485)</f>
        <v>5</v>
      </c>
      <c r="G485" s="3" t="s">
        <v>2704</v>
      </c>
      <c r="H485" s="24" t="s">
        <v>164</v>
      </c>
      <c r="I485" s="3" t="s">
        <v>2705</v>
      </c>
      <c r="J485" s="3" t="s">
        <v>154</v>
      </c>
      <c r="K485" s="3" t="s">
        <v>154</v>
      </c>
      <c r="L485" s="3" t="s">
        <v>155</v>
      </c>
      <c r="M485" s="3" t="s">
        <v>2706</v>
      </c>
      <c r="N485" s="20">
        <v>33969</v>
      </c>
      <c r="O485" s="3" t="s">
        <v>2702</v>
      </c>
      <c r="P485" s="3" t="s">
        <v>672</v>
      </c>
      <c r="Q485" s="5"/>
      <c r="R485" s="5"/>
      <c r="S485" s="5"/>
      <c r="T485" s="24"/>
      <c r="U485" s="3" t="b">
        <v>0</v>
      </c>
      <c r="V485" s="5"/>
      <c r="W485" s="64"/>
      <c r="X485" s="64"/>
      <c r="Y485" s="64" t="s">
        <v>2703</v>
      </c>
      <c r="Z485" s="64"/>
      <c r="AA485" s="59" t="s">
        <v>784</v>
      </c>
      <c r="AB485" s="65"/>
      <c r="AC485" s="68" t="s">
        <v>213</v>
      </c>
      <c r="AD485" s="65" t="s">
        <v>2707</v>
      </c>
      <c r="AE485" s="68" t="s">
        <v>786</v>
      </c>
      <c r="AF485" s="66" t="s">
        <v>2708</v>
      </c>
      <c r="AG485" s="68" t="s">
        <v>1799</v>
      </c>
      <c r="AH485" s="67"/>
      <c r="AI485" s="69"/>
      <c r="AJ485" s="69"/>
      <c r="AK485" s="69"/>
      <c r="AL485" s="86" t="s">
        <v>218</v>
      </c>
      <c r="AM485" s="88"/>
      <c r="AN485" s="88"/>
      <c r="AO485" s="88"/>
      <c r="AP485" s="59" t="s">
        <v>74</v>
      </c>
      <c r="AQ485" s="68" t="s">
        <v>2709</v>
      </c>
      <c r="AR485" s="59"/>
      <c r="AS485" s="68" t="s">
        <v>2605</v>
      </c>
      <c r="AT485" s="59" t="s">
        <v>2710</v>
      </c>
      <c r="AU485" s="68" t="s">
        <v>1077</v>
      </c>
    </row>
    <row r="486" spans="1:47" ht="80.25" customHeight="1">
      <c r="A486" s="3" t="s">
        <v>148</v>
      </c>
      <c r="B486" s="3" t="s">
        <v>666</v>
      </c>
      <c r="C486" s="6">
        <v>46296</v>
      </c>
      <c r="D486" s="3" t="s">
        <v>2711</v>
      </c>
      <c r="E486" s="3" t="s">
        <v>2703</v>
      </c>
      <c r="F486" s="20">
        <f>LEN(G486)</f>
        <v>5</v>
      </c>
      <c r="G486" s="3" t="s">
        <v>2712</v>
      </c>
      <c r="H486" s="24" t="s">
        <v>164</v>
      </c>
      <c r="I486" s="3" t="s">
        <v>2710</v>
      </c>
      <c r="J486" s="3" t="s">
        <v>154</v>
      </c>
      <c r="K486" s="3" t="s">
        <v>154</v>
      </c>
      <c r="L486" s="3" t="s">
        <v>155</v>
      </c>
      <c r="M486" s="3" t="s">
        <v>2703</v>
      </c>
      <c r="N486" s="20">
        <v>33969</v>
      </c>
      <c r="O486" s="3" t="s">
        <v>2711</v>
      </c>
      <c r="P486" s="3" t="s">
        <v>672</v>
      </c>
      <c r="Q486" s="5"/>
      <c r="R486" s="5"/>
      <c r="S486" s="5"/>
      <c r="T486" s="24"/>
      <c r="U486" s="3" t="b">
        <v>0</v>
      </c>
      <c r="V486" s="5"/>
      <c r="W486" s="64"/>
      <c r="X486" s="64"/>
      <c r="Y486" s="64" t="s">
        <v>2703</v>
      </c>
      <c r="Z486" s="64"/>
      <c r="AA486" s="59" t="s">
        <v>784</v>
      </c>
      <c r="AB486" s="65"/>
      <c r="AC486" s="68" t="s">
        <v>213</v>
      </c>
      <c r="AD486" s="65" t="s">
        <v>2713</v>
      </c>
      <c r="AE486" s="68" t="s">
        <v>786</v>
      </c>
      <c r="AF486" s="66" t="s">
        <v>2714</v>
      </c>
      <c r="AG486" s="68" t="s">
        <v>2715</v>
      </c>
      <c r="AH486" s="67"/>
      <c r="AI486" s="69"/>
      <c r="AJ486" s="69"/>
      <c r="AK486" s="69"/>
      <c r="AL486" s="86" t="s">
        <v>218</v>
      </c>
      <c r="AM486" s="88"/>
      <c r="AN486" s="88"/>
      <c r="AO486" s="88"/>
      <c r="AP486" s="59" t="s">
        <v>74</v>
      </c>
      <c r="AQ486" s="68" t="s">
        <v>2716</v>
      </c>
      <c r="AR486" s="59"/>
      <c r="AS486" s="68" t="s">
        <v>2605</v>
      </c>
      <c r="AT486" s="59" t="s">
        <v>2710</v>
      </c>
      <c r="AU486" s="68" t="s">
        <v>1077</v>
      </c>
    </row>
    <row r="487" spans="1:47" ht="80.25" customHeight="1">
      <c r="A487" s="3" t="s">
        <v>148</v>
      </c>
      <c r="B487" s="3" t="s">
        <v>666</v>
      </c>
      <c r="C487" s="6">
        <v>46296</v>
      </c>
      <c r="D487" s="3" t="s">
        <v>2717</v>
      </c>
      <c r="E487" s="3" t="s">
        <v>2703</v>
      </c>
      <c r="F487" s="20">
        <f>LEN(G487)</f>
        <v>6</v>
      </c>
      <c r="G487" s="3" t="s">
        <v>2718</v>
      </c>
      <c r="H487" s="24" t="s">
        <v>164</v>
      </c>
      <c r="I487" s="3" t="s">
        <v>2710</v>
      </c>
      <c r="J487" s="3" t="s">
        <v>154</v>
      </c>
      <c r="K487" s="3" t="s">
        <v>154</v>
      </c>
      <c r="L487" s="3" t="s">
        <v>155</v>
      </c>
      <c r="M487" s="3" t="s">
        <v>2703</v>
      </c>
      <c r="N487" s="20">
        <v>33969</v>
      </c>
      <c r="O487" s="3" t="s">
        <v>2719</v>
      </c>
      <c r="P487" s="3" t="s">
        <v>672</v>
      </c>
      <c r="Q487" s="5"/>
      <c r="R487" s="5"/>
      <c r="S487" s="5"/>
      <c r="T487" s="24"/>
      <c r="U487" s="3" t="b">
        <v>0</v>
      </c>
      <c r="V487" s="5"/>
      <c r="W487" s="64"/>
      <c r="X487" s="64"/>
      <c r="Y487" s="64" t="s">
        <v>2703</v>
      </c>
      <c r="Z487" s="64"/>
      <c r="AA487" s="59" t="s">
        <v>2720</v>
      </c>
      <c r="AB487" s="65"/>
      <c r="AC487" s="68" t="s">
        <v>213</v>
      </c>
      <c r="AD487" s="65" t="s">
        <v>2721</v>
      </c>
      <c r="AE487" s="68" t="s">
        <v>786</v>
      </c>
      <c r="AF487" s="66" t="s">
        <v>2722</v>
      </c>
      <c r="AG487" s="68" t="s">
        <v>2723</v>
      </c>
      <c r="AH487" s="67"/>
      <c r="AI487" s="69"/>
      <c r="AJ487" s="69"/>
      <c r="AK487" s="69"/>
      <c r="AL487" s="86" t="s">
        <v>218</v>
      </c>
      <c r="AM487" s="88"/>
      <c r="AN487" s="88"/>
      <c r="AO487" s="88"/>
      <c r="AP487" s="59" t="s">
        <v>74</v>
      </c>
      <c r="AQ487" s="68" t="s">
        <v>2724</v>
      </c>
      <c r="AR487" s="59"/>
      <c r="AS487" s="68" t="s">
        <v>2605</v>
      </c>
      <c r="AT487" s="59" t="s">
        <v>2710</v>
      </c>
      <c r="AU487" s="68" t="s">
        <v>1077</v>
      </c>
    </row>
    <row r="488" spans="1:47" ht="80.25" customHeight="1">
      <c r="A488" s="3" t="s">
        <v>148</v>
      </c>
      <c r="B488" s="3" t="s">
        <v>666</v>
      </c>
      <c r="C488" s="6">
        <v>46296</v>
      </c>
      <c r="D488" s="3" t="s">
        <v>2725</v>
      </c>
      <c r="E488" s="3" t="s">
        <v>2706</v>
      </c>
      <c r="F488" s="20">
        <f>LEN(G488)</f>
        <v>9</v>
      </c>
      <c r="G488" s="3" t="s">
        <v>2726</v>
      </c>
      <c r="H488" s="24" t="s">
        <v>164</v>
      </c>
      <c r="I488" s="3" t="s">
        <v>2705</v>
      </c>
      <c r="J488" s="3" t="s">
        <v>154</v>
      </c>
      <c r="K488" s="3" t="s">
        <v>154</v>
      </c>
      <c r="L488" s="3" t="s">
        <v>155</v>
      </c>
      <c r="M488" s="3" t="s">
        <v>2703</v>
      </c>
      <c r="N488" s="20">
        <v>33969</v>
      </c>
      <c r="O488" s="3" t="s">
        <v>2725</v>
      </c>
      <c r="P488" s="3" t="s">
        <v>672</v>
      </c>
      <c r="Q488" s="5"/>
      <c r="R488" s="5"/>
      <c r="S488" s="5"/>
      <c r="T488" s="24"/>
      <c r="U488" s="3" t="b">
        <v>0</v>
      </c>
      <c r="V488" s="5"/>
      <c r="W488" s="64"/>
      <c r="X488" s="64"/>
      <c r="Y488" s="64" t="s">
        <v>2703</v>
      </c>
      <c r="Z488" s="64"/>
      <c r="AA488" s="59" t="s">
        <v>784</v>
      </c>
      <c r="AB488" s="65"/>
      <c r="AC488" s="68" t="s">
        <v>213</v>
      </c>
      <c r="AD488" s="65" t="s">
        <v>2727</v>
      </c>
      <c r="AE488" s="68" t="s">
        <v>786</v>
      </c>
      <c r="AF488" s="66" t="s">
        <v>2728</v>
      </c>
      <c r="AG488" s="68" t="s">
        <v>1799</v>
      </c>
      <c r="AH488" s="67"/>
      <c r="AI488" s="69"/>
      <c r="AJ488" s="69"/>
      <c r="AK488" s="69"/>
      <c r="AL488" s="86" t="s">
        <v>218</v>
      </c>
      <c r="AM488" s="88"/>
      <c r="AN488" s="88"/>
      <c r="AO488" s="88"/>
      <c r="AP488" s="59" t="s">
        <v>74</v>
      </c>
      <c r="AQ488" s="68" t="s">
        <v>2729</v>
      </c>
      <c r="AR488" s="59"/>
      <c r="AS488" s="68" t="s">
        <v>2605</v>
      </c>
      <c r="AT488" s="59" t="s">
        <v>2710</v>
      </c>
      <c r="AU488" s="68" t="s">
        <v>1077</v>
      </c>
    </row>
    <row r="489" spans="1:47" ht="80.25" customHeight="1">
      <c r="A489" s="3" t="s">
        <v>148</v>
      </c>
      <c r="B489" s="3" t="s">
        <v>176</v>
      </c>
      <c r="C489" s="6">
        <v>46296</v>
      </c>
      <c r="D489" s="3" t="s">
        <v>2730</v>
      </c>
      <c r="E489" s="3" t="s">
        <v>2703</v>
      </c>
      <c r="F489" s="20">
        <f>LEN(G489)</f>
        <v>7</v>
      </c>
      <c r="G489" s="3" t="s">
        <v>2731</v>
      </c>
      <c r="H489" s="24" t="s">
        <v>164</v>
      </c>
      <c r="I489" s="3" t="s">
        <v>2710</v>
      </c>
      <c r="J489" s="3" t="s">
        <v>154</v>
      </c>
      <c r="K489" s="3" t="s">
        <v>154</v>
      </c>
      <c r="L489" s="3" t="s">
        <v>155</v>
      </c>
      <c r="M489" s="3" t="s">
        <v>2703</v>
      </c>
      <c r="N489" s="20">
        <v>33969</v>
      </c>
      <c r="O489" s="3" t="s">
        <v>2730</v>
      </c>
      <c r="P489" s="3" t="s">
        <v>672</v>
      </c>
      <c r="Q489" s="5"/>
      <c r="R489" s="5"/>
      <c r="S489" s="5"/>
      <c r="T489" s="24"/>
      <c r="U489" s="3" t="b">
        <v>0</v>
      </c>
      <c r="V489" s="5"/>
      <c r="W489" s="64"/>
      <c r="X489" s="64"/>
      <c r="Y489" s="64" t="s">
        <v>2703</v>
      </c>
      <c r="Z489" s="64"/>
      <c r="AA489" s="59" t="s">
        <v>784</v>
      </c>
      <c r="AB489" s="65"/>
      <c r="AC489" s="68" t="s">
        <v>213</v>
      </c>
      <c r="AD489" s="65" t="s">
        <v>2732</v>
      </c>
      <c r="AE489" s="68" t="s">
        <v>786</v>
      </c>
      <c r="AF489" s="66" t="s">
        <v>2733</v>
      </c>
      <c r="AG489" s="68" t="s">
        <v>1799</v>
      </c>
      <c r="AH489" s="67"/>
      <c r="AI489" s="69"/>
      <c r="AJ489" s="69"/>
      <c r="AK489" s="69"/>
      <c r="AL489" s="86" t="s">
        <v>218</v>
      </c>
      <c r="AM489" s="88"/>
      <c r="AN489" s="88"/>
      <c r="AO489" s="88"/>
      <c r="AP489" s="59" t="s">
        <v>74</v>
      </c>
      <c r="AQ489" s="68" t="s">
        <v>2734</v>
      </c>
      <c r="AR489" s="59"/>
      <c r="AS489" s="68" t="s">
        <v>2605</v>
      </c>
      <c r="AT489" s="59" t="s">
        <v>2710</v>
      </c>
      <c r="AU489" s="68" t="s">
        <v>1077</v>
      </c>
    </row>
    <row r="490" spans="1:47" ht="80.25" customHeight="1">
      <c r="A490" s="3" t="s">
        <v>148</v>
      </c>
      <c r="B490" s="3" t="s">
        <v>1026</v>
      </c>
      <c r="C490" s="6">
        <v>46296</v>
      </c>
      <c r="D490" s="3" t="s">
        <v>2735</v>
      </c>
      <c r="E490" s="3" t="s">
        <v>2736</v>
      </c>
      <c r="F490" s="20">
        <f>LEN(G490)</f>
        <v>40</v>
      </c>
      <c r="G490" s="3" t="s">
        <v>2737</v>
      </c>
      <c r="H490" s="24" t="s">
        <v>2659</v>
      </c>
      <c r="I490" s="5"/>
      <c r="J490" s="3" t="s">
        <v>154</v>
      </c>
      <c r="K490" s="3" t="s">
        <v>154</v>
      </c>
      <c r="L490" s="3" t="s">
        <v>155</v>
      </c>
      <c r="M490" s="3" t="s">
        <v>821</v>
      </c>
      <c r="N490" s="20">
        <v>15189</v>
      </c>
      <c r="O490" s="3" t="s">
        <v>2735</v>
      </c>
      <c r="P490" s="3" t="s">
        <v>943</v>
      </c>
      <c r="Q490" s="5"/>
      <c r="R490" s="5"/>
      <c r="S490" s="5"/>
      <c r="T490" s="24"/>
      <c r="U490" s="3" t="b">
        <v>0</v>
      </c>
      <c r="V490" s="5"/>
      <c r="W490" s="64"/>
      <c r="X490" s="64"/>
      <c r="Y490" s="64" t="s">
        <v>826</v>
      </c>
      <c r="Z490" s="64" t="s">
        <v>2735</v>
      </c>
      <c r="AA490" s="59" t="s">
        <v>1519</v>
      </c>
      <c r="AB490" s="65"/>
      <c r="AC490" s="68" t="s">
        <v>213</v>
      </c>
      <c r="AD490" s="65" t="s">
        <v>2738</v>
      </c>
      <c r="AE490" s="68" t="s">
        <v>2739</v>
      </c>
      <c r="AF490" s="66" t="s">
        <v>2737</v>
      </c>
      <c r="AG490" s="68" t="s">
        <v>2740</v>
      </c>
      <c r="AH490" s="67"/>
      <c r="AI490" s="69"/>
      <c r="AJ490" s="69"/>
      <c r="AK490" s="69"/>
      <c r="AL490" s="86" t="s">
        <v>218</v>
      </c>
      <c r="AM490" s="88"/>
      <c r="AN490" s="88"/>
      <c r="AO490" s="89" t="str">
        <f>HYPERLINK("https://www.manutan.co.uk/en/key/bin-bag-selective-sorting-everyday-waste-168-l-a017040","https://www.manutan.co.uk/en/key/bin-bag-selective-sorting-everyday-waste-168-l-a017040")</f>
        <v>https://www.manutan.co.uk/en/key/bin-bag-selective-sorting-everyday-waste-168-l-a017040</v>
      </c>
      <c r="AP490" s="59" t="s">
        <v>72</v>
      </c>
      <c r="AQ490" s="68" t="s">
        <v>2741</v>
      </c>
      <c r="AR490" s="59"/>
      <c r="AS490" s="68" t="s">
        <v>746</v>
      </c>
      <c r="AT490" s="59"/>
      <c r="AU490" s="68" t="s">
        <v>747</v>
      </c>
    </row>
    <row r="491" spans="1:47" ht="80.25" customHeight="1">
      <c r="A491" s="3" t="s">
        <v>148</v>
      </c>
      <c r="B491" s="3" t="s">
        <v>176</v>
      </c>
      <c r="C491" s="6">
        <v>46296</v>
      </c>
      <c r="D491" s="3" t="s">
        <v>2742</v>
      </c>
      <c r="E491" s="3" t="s">
        <v>2743</v>
      </c>
      <c r="F491" s="20">
        <f>LEN(G491)</f>
        <v>75</v>
      </c>
      <c r="G491" s="3" t="s">
        <v>2744</v>
      </c>
      <c r="H491" s="24" t="s">
        <v>2682</v>
      </c>
      <c r="I491" s="5"/>
      <c r="J491" s="3" t="s">
        <v>154</v>
      </c>
      <c r="K491" s="3" t="s">
        <v>154</v>
      </c>
      <c r="L491" s="3" t="s">
        <v>155</v>
      </c>
      <c r="M491" s="3" t="s">
        <v>933</v>
      </c>
      <c r="N491" s="20">
        <v>27358</v>
      </c>
      <c r="O491" s="3" t="s">
        <v>2742</v>
      </c>
      <c r="P491" s="3" t="s">
        <v>183</v>
      </c>
      <c r="Q491" s="3" t="s">
        <v>2745</v>
      </c>
      <c r="R491" s="5" t="inlineStr">
        <is>
          <t xml:space="preserve">087335</t>
        </is>
      </c>
      <c r="S491" s="5">
        <v>46302</v>
      </c>
      <c r="T491" s="24"/>
      <c r="U491" s="3" t="b">
        <v>0</v>
      </c>
      <c r="V491" s="5"/>
      <c r="W491" s="64" t="s">
        <v>2742</v>
      </c>
      <c r="X491" s="64" t="s">
        <v>2743</v>
      </c>
      <c r="Y491" s="64" t="s">
        <v>933</v>
      </c>
      <c r="Z491" s="64"/>
      <c r="AA491" s="59" t="s">
        <v>1519</v>
      </c>
      <c r="AB491" s="65"/>
      <c r="AC491" s="68" t="s">
        <v>213</v>
      </c>
      <c r="AD491" s="65" t="s">
        <v>2746</v>
      </c>
      <c r="AE491" s="68" t="s">
        <v>2747</v>
      </c>
      <c r="AF491" s="66" t="s">
        <v>2748</v>
      </c>
      <c r="AG491" s="68" t="s">
        <v>2749</v>
      </c>
      <c r="AH491" s="67"/>
      <c r="AI491" s="69"/>
      <c r="AJ491" s="69"/>
      <c r="AK491" s="69"/>
      <c r="AL491" s="86" t="s">
        <v>218</v>
      </c>
      <c r="AM491" s="88"/>
      <c r="AN491" s="88"/>
      <c r="AO491" s="89" t="str">
        <f>HYPERLINK("https://valinonline.com/products/238710-006-d","https://valinonline.com/products/238710-006-d")</f>
        <v>https://valinonline.com/products/238710-006-d</v>
      </c>
      <c r="AP491" s="59" t="s">
        <v>72</v>
      </c>
      <c r="AQ491" s="68" t="s">
        <v>2750</v>
      </c>
      <c r="AR491" s="59"/>
      <c r="AS491" s="68" t="s">
        <v>746</v>
      </c>
      <c r="AT491" s="59"/>
      <c r="AU491" s="68" t="s">
        <v>747</v>
      </c>
    </row>
    <row r="492" spans="1:47" ht="80.25" customHeight="1">
      <c r="A492" s="3" t="s">
        <v>148</v>
      </c>
      <c r="B492" s="3" t="s">
        <v>703</v>
      </c>
      <c r="C492" s="6">
        <v>46297</v>
      </c>
      <c r="D492" s="3" t="s">
        <v>2751</v>
      </c>
      <c r="E492" s="3" t="s">
        <v>2752</v>
      </c>
      <c r="F492" s="20">
        <f>LEN(G492)</f>
        <v>76</v>
      </c>
      <c r="G492" s="3" t="s">
        <v>2753</v>
      </c>
      <c r="H492" s="24" t="s">
        <v>2754</v>
      </c>
      <c r="I492" s="5"/>
      <c r="J492" s="3" t="s">
        <v>154</v>
      </c>
      <c r="K492" s="3" t="s">
        <v>154</v>
      </c>
      <c r="L492" s="3" t="s">
        <v>155</v>
      </c>
      <c r="M492" s="3" t="s">
        <v>2755</v>
      </c>
      <c r="N492" s="20">
        <v>72435</v>
      </c>
      <c r="O492" s="3" t="s">
        <v>2751</v>
      </c>
      <c r="P492" s="3" t="s">
        <v>772</v>
      </c>
      <c r="Q492" s="5"/>
      <c r="R492" s="5" t="inlineStr">
        <is>
          <t xml:space="preserve">087332</t>
        </is>
      </c>
      <c r="S492" s="5">
        <v>46302</v>
      </c>
      <c r="T492" s="24"/>
      <c r="U492" s="3" t="b">
        <v>0</v>
      </c>
      <c r="V492" s="5"/>
      <c r="W492" s="64" t="s">
        <v>2751</v>
      </c>
      <c r="X492" s="64" t="s">
        <v>498</v>
      </c>
      <c r="Y492" s="64" t="s">
        <v>2756</v>
      </c>
      <c r="Z492" s="64"/>
      <c r="AA492" s="59" t="s">
        <v>1793</v>
      </c>
      <c r="AB492" s="65" t="s">
        <v>2757</v>
      </c>
      <c r="AC492" s="68" t="s">
        <v>2758</v>
      </c>
      <c r="AD492" s="65" t="s">
        <v>2759</v>
      </c>
      <c r="AE492" s="68" t="s">
        <v>2760</v>
      </c>
      <c r="AF492" s="66" t="s">
        <v>2753</v>
      </c>
      <c r="AG492" s="68" t="s">
        <v>2761</v>
      </c>
      <c r="AH492" s="67"/>
      <c r="AI492" s="69"/>
      <c r="AJ492" s="69"/>
      <c r="AK492" s="69"/>
      <c r="AL492" s="86" t="s">
        <v>218</v>
      </c>
      <c r="AM492" s="88"/>
      <c r="AN492" s="89" t="str">
        <f>HYPERLINK("https://www.br-automation.com/en/products/io-systems/x20-system/bus-controllers/x20bc0083/","https://www.br-automation.com/en/products/io-systems/x20-system/bus-controllers/x20bc0083/")</f>
        <v>https://www.br-automation.com/en/products/io-systems/x20-system/bus-controllers/x20bc0083/</v>
      </c>
      <c r="AO492" s="89" t="str">
        <f>HYPERLINK("https://uk.rs-online.com/web/p/plc-accessories/0566517","https://uk.rs-online.com/web/p/plc-accessories/0566517")</f>
        <v>https://uk.rs-online.com/web/p/plc-accessories/0566517</v>
      </c>
      <c r="AP492" s="59" t="s">
        <v>70</v>
      </c>
      <c r="AQ492" s="68" t="s">
        <v>2762</v>
      </c>
      <c r="AR492" s="59" t="inlineStr">
        <is>
          <t xml:space="preserve">105230 AUTOMATISATION : COMPOSANTS RESEAUX</t>
        </is>
      </c>
      <c r="AS492" s="68" t="s">
        <v>2764</v>
      </c>
      <c r="AT492" s="59"/>
      <c r="AU492" s="68" t="s">
        <v>747</v>
      </c>
    </row>
    <row r="493" spans="1:47" ht="80.25" customHeight="1">
      <c r="A493" s="3" t="s">
        <v>148</v>
      </c>
      <c r="B493" s="3" t="s">
        <v>703</v>
      </c>
      <c r="C493" s="6">
        <v>46297</v>
      </c>
      <c r="D493" s="3" t="s">
        <v>2765</v>
      </c>
      <c r="E493" s="3" t="s">
        <v>2766</v>
      </c>
      <c r="F493" s="20">
        <f>LEN(G493)</f>
        <v>47</v>
      </c>
      <c r="G493" s="3" t="s">
        <v>2767</v>
      </c>
      <c r="H493" s="24" t="s">
        <v>269</v>
      </c>
      <c r="I493" s="5"/>
      <c r="J493" s="3" t="s">
        <v>154</v>
      </c>
      <c r="K493" s="3" t="s">
        <v>154</v>
      </c>
      <c r="L493" s="3" t="s">
        <v>155</v>
      </c>
      <c r="M493" s="3" t="s">
        <v>2755</v>
      </c>
      <c r="N493" s="20">
        <v>72435</v>
      </c>
      <c r="O493" s="3" t="s">
        <v>2765</v>
      </c>
      <c r="P493" s="3" t="s">
        <v>772</v>
      </c>
      <c r="Q493" s="5"/>
      <c r="R493" s="5" t="inlineStr">
        <is>
          <t xml:space="preserve">087333</t>
        </is>
      </c>
      <c r="S493" s="5">
        <v>46302</v>
      </c>
      <c r="T493" s="24"/>
      <c r="U493" s="3" t="b">
        <v>0</v>
      </c>
      <c r="V493" s="5"/>
      <c r="W493" s="64" t="s">
        <v>2765</v>
      </c>
      <c r="X493" s="64" t="s">
        <v>2768</v>
      </c>
      <c r="Y493" s="64" t="s">
        <v>2756</v>
      </c>
      <c r="Z493" s="64"/>
      <c r="AA493" s="59" t="s">
        <v>1793</v>
      </c>
      <c r="AB493" s="65" t="s">
        <v>2769</v>
      </c>
      <c r="AC493" s="68" t="s">
        <v>2770</v>
      </c>
      <c r="AD493" s="65" t="s">
        <v>2771</v>
      </c>
      <c r="AE493" s="68" t="s">
        <v>2772</v>
      </c>
      <c r="AF493" s="66" t="s">
        <v>2773</v>
      </c>
      <c r="AG493" s="68" t="s">
        <v>2774</v>
      </c>
      <c r="AH493" s="67"/>
      <c r="AI493" s="69"/>
      <c r="AJ493" s="69"/>
      <c r="AK493" s="69"/>
      <c r="AL493" s="86" t="s">
        <v>218</v>
      </c>
      <c r="AM493" s="88"/>
      <c r="AN493" s="89" t="str">
        <f>HYPERLINK("https://www.hengstler.com/products/rotary-encoders/incremental-encoders/ri58/ri58o10000as71rc","https://www.hengstler.com/products/rotary-encoders/incremental-encoders/ri58/ri58o10000as71rc")</f>
        <v>https://www.hengstler.com/products/rotary-encoders/incremental-encoders/ri58/ri58o10000as71rc</v>
      </c>
      <c r="AO493" s="89" t="str">
        <f>HYPERLINK("https://www.kempstoncontrols.com/0550105/Hengstler/sku/823579","https://www.kempstoncontrols.com/0550105/Hengstler/sku/823579")</f>
        <v>https://www.kempstoncontrols.com/0550105/Hengstler/sku/823579</v>
      </c>
      <c r="AP493" s="59" t="s">
        <v>70</v>
      </c>
      <c r="AQ493" s="68" t="s">
        <v>2775</v>
      </c>
      <c r="AR493" s="59"/>
      <c r="AS493" s="68" t="s">
        <v>746</v>
      </c>
      <c r="AT493" s="59"/>
      <c r="AU493" s="68" t="s">
        <v>747</v>
      </c>
    </row>
    <row r="494" spans="1:47" ht="80.25" customHeight="1">
      <c r="A494" s="3" t="s">
        <v>148</v>
      </c>
      <c r="B494" s="3" t="s">
        <v>703</v>
      </c>
      <c r="C494" s="6">
        <v>46297</v>
      </c>
      <c r="D494" s="3" t="s">
        <v>2776</v>
      </c>
      <c r="E494" s="3" t="s">
        <v>2777</v>
      </c>
      <c r="F494" s="20">
        <f>LEN(G494)</f>
        <v>45</v>
      </c>
      <c r="G494" s="3" t="s">
        <v>2778</v>
      </c>
      <c r="H494" s="24" t="s">
        <v>1017</v>
      </c>
      <c r="I494" s="5"/>
      <c r="J494" s="3" t="s">
        <v>154</v>
      </c>
      <c r="K494" s="3" t="s">
        <v>154</v>
      </c>
      <c r="L494" s="3" t="s">
        <v>155</v>
      </c>
      <c r="M494" s="3" t="s">
        <v>2779</v>
      </c>
      <c r="N494" s="20">
        <v>31177</v>
      </c>
      <c r="O494" s="3" t="s">
        <v>2776</v>
      </c>
      <c r="P494" s="3" t="s">
        <v>772</v>
      </c>
      <c r="Q494" s="5"/>
      <c r="R494" s="5"/>
      <c r="S494" s="5"/>
      <c r="T494" s="24" t="s">
        <v>2780</v>
      </c>
      <c r="U494" s="3" t="b">
        <v>0</v>
      </c>
      <c r="V494" s="5"/>
      <c r="W494" s="64" t="s">
        <v>2781</v>
      </c>
      <c r="X494" s="64" t="s">
        <v>2782</v>
      </c>
      <c r="Y494" s="64" t="s">
        <v>2783</v>
      </c>
      <c r="Z494" s="64" t="s">
        <v>2781</v>
      </c>
      <c r="AA494" s="59" t="s">
        <v>2617</v>
      </c>
      <c r="AB494" s="65" t="s">
        <v>2784</v>
      </c>
      <c r="AC494" s="68" t="s">
        <v>2785</v>
      </c>
      <c r="AD494" s="65" t="s">
        <v>2786</v>
      </c>
      <c r="AE494" s="68" t="s">
        <v>2787</v>
      </c>
      <c r="AF494" s="66" t="s">
        <v>2778</v>
      </c>
      <c r="AG494" s="68" t="s">
        <v>2788</v>
      </c>
      <c r="AH494" s="67"/>
      <c r="AI494" s="69"/>
      <c r="AJ494" s="69"/>
      <c r="AK494" s="69"/>
      <c r="AL494" s="86" t="s">
        <v>218</v>
      </c>
      <c r="AM494" s="89" t="str">
        <f>HYPERLINK("https://dl.weintek.com/public/cMT/eng/Datasheet/cMT3162X_Datasheet_ENG.pdf","https://dl.weintek.com/public/cMT/eng/Datasheet/cMT3162X_Datasheet_ENG.pdf")</f>
        <v>https://dl.weintek.com/public/cMT/eng/Datasheet/cMT3162X_Datasheet_ENG.pdf</v>
      </c>
      <c r="AN494" s="89" t="str">
        <f>HYPERLINK("https://www.weintek.com/Product/Model/cMT3162X","https://www.weintek.com/Product/Model/cMT3162X")</f>
        <v>https://www.weintek.com/Product/Model/cMT3162X</v>
      </c>
      <c r="AO494" s="89" t="str">
        <f>HYPERLINK("https://www.ffonseca.com/en/News.php","https://www.ffonseca.com/en/News.php")</f>
        <v>https://www.ffonseca.com/en/News.php</v>
      </c>
      <c r="AP494" s="59" t="s">
        <v>70</v>
      </c>
      <c r="AQ494" s="68" t="s">
        <v>2789</v>
      </c>
      <c r="AR494" s="59" t="s">
        <v>343</v>
      </c>
      <c r="AS494" s="68" t="s">
        <v>2790</v>
      </c>
      <c r="AT494" s="59"/>
      <c r="AU494" s="68" t="s">
        <v>747</v>
      </c>
    </row>
    <row r="495" spans="1:47" ht="45" customHeight="1">
      <c r="A495" s="6" t="s">
        <v>148</v>
      </c>
      <c r="B495" s="3" t="s">
        <v>816</v>
      </c>
      <c r="C495" s="6">
        <v>46297</v>
      </c>
      <c r="D495" s="3" t="s">
        <v>2791</v>
      </c>
      <c r="E495" s="6" t="s">
        <v>648</v>
      </c>
      <c r="F495" s="6">
        <f>LEN(G495)</f>
        <v>46</v>
      </c>
      <c r="G495" s="6" t="s">
        <v>2792</v>
      </c>
      <c r="H495" s="6" t="s">
        <v>1008</v>
      </c>
      <c r="I495" s="6"/>
      <c r="J495" s="6" t="s">
        <v>154</v>
      </c>
      <c r="K495" s="6" t="s">
        <v>154</v>
      </c>
      <c r="L495" s="6" t="s">
        <v>155</v>
      </c>
      <c r="M495" s="6" t="s">
        <v>648</v>
      </c>
      <c r="N495" s="6">
        <v>25475</v>
      </c>
      <c r="O495" s="3" t="s">
        <v>2793</v>
      </c>
      <c r="P495" s="6" t="s">
        <v>157</v>
      </c>
      <c r="Q495" s="6" t="s">
        <v>823</v>
      </c>
      <c r="R495" s="3" t="s">
        <v>2794</v>
      </c>
      <c r="S495" s="6">
        <v>46300</v>
      </c>
      <c r="T495" s="6"/>
      <c r="U495" s="6" t="b">
        <v>0</v>
      </c>
      <c r="V495" s="6"/>
      <c r="W495" s="64"/>
      <c r="X495" s="64"/>
      <c r="Y495" s="64"/>
      <c r="Z495" s="64"/>
      <c r="AA495" s="59" t="s">
        <v>2795</v>
      </c>
      <c r="AB495" s="65"/>
      <c r="AC495" s="68"/>
      <c r="AD495" s="65"/>
      <c r="AE495" s="68"/>
      <c r="AF495" s="66"/>
      <c r="AG495" s="68"/>
      <c r="AH495" s="67"/>
      <c r="AI495" s="69"/>
      <c r="AJ495" s="69"/>
      <c r="AK495" s="69"/>
      <c r="AL495" s="86"/>
      <c r="AM495" s="88"/>
      <c r="AN495" s="88"/>
      <c r="AO495" s="88"/>
      <c r="AP495" s="59"/>
      <c r="AQ495" s="68"/>
      <c r="AR495" s="59"/>
      <c r="AS495" s="68"/>
      <c r="AT495" s="59"/>
      <c r="AU495" s="68"/>
    </row>
    <row r="496" spans="1:47" ht="80.25" customHeight="1">
      <c r="A496" s="6" t="s">
        <v>148</v>
      </c>
      <c r="B496" s="3" t="s">
        <v>816</v>
      </c>
      <c r="C496" s="6">
        <v>46297</v>
      </c>
      <c r="D496" s="3" t="s">
        <v>2796</v>
      </c>
      <c r="E496" s="6" t="s">
        <v>648</v>
      </c>
      <c r="F496" s="6">
        <f>LEN(G496)</f>
        <v>46</v>
      </c>
      <c r="G496" s="6" t="s">
        <v>2797</v>
      </c>
      <c r="H496" s="6" t="s">
        <v>1008</v>
      </c>
      <c r="I496" s="6"/>
      <c r="J496" s="6" t="s">
        <v>154</v>
      </c>
      <c r="K496" s="6" t="s">
        <v>154</v>
      </c>
      <c r="L496" s="6" t="s">
        <v>155</v>
      </c>
      <c r="M496" s="6" t="s">
        <v>648</v>
      </c>
      <c r="N496" s="6">
        <v>25475</v>
      </c>
      <c r="O496" s="3" t="s">
        <v>2798</v>
      </c>
      <c r="P496" s="6" t="s">
        <v>157</v>
      </c>
      <c r="Q496" s="6" t="s">
        <v>823</v>
      </c>
      <c r="R496" s="3" t="inlineStr">
        <is>
          <t xml:space="preserve">087323</t>
        </is>
      </c>
      <c r="S496" s="6">
        <v>46302</v>
      </c>
      <c r="T496" s="6"/>
      <c r="U496" s="6" t="b">
        <v>0</v>
      </c>
      <c r="V496" s="6"/>
      <c r="W496" s="64" t="s">
        <v>2796</v>
      </c>
      <c r="X496" s="64" t="s">
        <v>2799</v>
      </c>
      <c r="Y496" s="64" t="s">
        <v>2800</v>
      </c>
      <c r="Z496" s="64" t="s">
        <v>2798</v>
      </c>
      <c r="AA496" s="59" t="s">
        <v>2617</v>
      </c>
      <c r="AB496" s="65" t="s">
        <v>2801</v>
      </c>
      <c r="AC496" s="68" t="s">
        <v>2802</v>
      </c>
      <c r="AD496" s="65" t="s">
        <v>2803</v>
      </c>
      <c r="AE496" s="68" t="s">
        <v>2804</v>
      </c>
      <c r="AF496" s="66" t="s">
        <v>2797</v>
      </c>
      <c r="AG496" s="68" t="s">
        <v>2805</v>
      </c>
      <c r="AH496" s="67"/>
      <c r="AI496" s="69"/>
      <c r="AJ496" s="69"/>
      <c r="AK496" s="69"/>
      <c r="AL496" s="86" t="s">
        <v>218</v>
      </c>
      <c r="AM496" s="88"/>
      <c r="AN496" s="89" t="str">
        <f>HYPERLINK("https://products.schmersal.com/en_GB/bps-260-2-101184396","https://products.schmersal.com/en_GB/bps-260-2-101184396")</f>
        <v>https://products.schmersal.com/en_GB/bps-260-2-101184396</v>
      </c>
      <c r="AO496" s="89" t="str">
        <f>HYPERLINK("https://us.rs-online.com/product/schmersal/bps260-2/71931460/","https://us.rs-online.com/product/schmersal/bps260-2/71931460/")</f>
        <v>https://us.rs-online.com/product/schmersal/bps260-2/71931460/</v>
      </c>
      <c r="AP496" s="59" t="s">
        <v>70</v>
      </c>
      <c r="AQ496" s="68" t="s">
        <v>2806</v>
      </c>
      <c r="AR496" s="59"/>
      <c r="AS496" s="68" t="s">
        <v>2807</v>
      </c>
      <c r="AT496" s="59"/>
      <c r="AU496" s="68" t="s">
        <v>747</v>
      </c>
    </row>
    <row r="497" spans="1:47" ht="80.25" customHeight="1">
      <c r="A497" s="3" t="s">
        <v>148</v>
      </c>
      <c r="B497" s="3" t="s">
        <v>539</v>
      </c>
      <c r="C497" s="6">
        <v>46297</v>
      </c>
      <c r="D497" s="3" t="s">
        <v>2808</v>
      </c>
      <c r="E497" s="3" t="s">
        <v>2809</v>
      </c>
      <c r="F497" s="20">
        <f>LEN(G497)</f>
        <v>91</v>
      </c>
      <c r="G497" s="3" t="s">
        <v>2810</v>
      </c>
      <c r="H497" s="24" t="s">
        <v>2811</v>
      </c>
      <c r="I497" s="5"/>
      <c r="J497" s="3" t="s">
        <v>154</v>
      </c>
      <c r="K497" s="3" t="s">
        <v>154</v>
      </c>
      <c r="L497" s="3" t="s">
        <v>155</v>
      </c>
      <c r="M497" s="3" t="s">
        <v>2812</v>
      </c>
      <c r="N497" s="20">
        <v>6775</v>
      </c>
      <c r="O497" s="3" t="s">
        <v>2808</v>
      </c>
      <c r="P497" s="3" t="s">
        <v>157</v>
      </c>
      <c r="Q497" s="5"/>
      <c r="R497" s="5"/>
      <c r="S497" s="5"/>
      <c r="T497" s="24"/>
      <c r="U497" s="3" t="b">
        <v>0</v>
      </c>
      <c r="V497" s="5"/>
      <c r="W497" s="64" t="s">
        <v>2813</v>
      </c>
      <c r="X497" s="64" t="s">
        <v>2809</v>
      </c>
      <c r="Y497" s="64" t="s">
        <v>2814</v>
      </c>
      <c r="Z497" s="64"/>
      <c r="AA497" s="59" t="s">
        <v>1793</v>
      </c>
      <c r="AB497" s="65" t="s">
        <v>2815</v>
      </c>
      <c r="AC497" s="68" t="s">
        <v>2816</v>
      </c>
      <c r="AD497" s="65" t="s">
        <v>2817</v>
      </c>
      <c r="AE497" s="68" t="s">
        <v>2818</v>
      </c>
      <c r="AF497" s="66" t="s">
        <v>2819</v>
      </c>
      <c r="AG497" s="68" t="s">
        <v>2820</v>
      </c>
      <c r="AH497" s="67"/>
      <c r="AI497" s="69"/>
      <c r="AJ497" s="69"/>
      <c r="AK497" s="69"/>
      <c r="AL497" s="86" t="s">
        <v>218</v>
      </c>
      <c r="AM497" s="89" t="str">
        <f>HYPERLINK("https://www.tecomsrl.it/TECOM/dms/Sito/PDF/page_097_ENG.pdf","https://www.tecomsrl.it/TECOM/dms/Sito/PDF/page_097_ENG.pdf")</f>
        <v>https://www.tecomsrl.it/TECOM/dms/Sito/PDF/page_097_ENG.pdf</v>
      </c>
      <c r="AN497" s="89" t="str">
        <f>HYPERLINK("https://www.tecomsrl.it/TECOM/catalog/ENG/articolo/40-modular-transfer-plates/uvldukznsx-Modular-transfer-plates-with-lip---Part-258.html","https://www.tecomsrl.it/TECOM/catalog/ENG/articolo/40-modular-transfer-plates/uvldukznsx-Modular-transfer-plates-with-lip---Part-258.html")</f>
        <v>https://www.tecomsrl.it/TECOM/catalog/ENG/articolo/40-modular-transfer-plates/uvldukznsx-Modular-transfer-plates-with-lip---Part-258.html</v>
      </c>
      <c r="AO497" s="88"/>
      <c r="AP497" s="59" t="s">
        <v>70</v>
      </c>
      <c r="AQ497" s="68" t="s">
        <v>2821</v>
      </c>
      <c r="AR497" s="59"/>
      <c r="AS497" s="68" t="s">
        <v>746</v>
      </c>
      <c r="AT497" s="59"/>
      <c r="AU497" s="68" t="s">
        <v>747</v>
      </c>
    </row>
    <row r="498" spans="1:47" ht="80.25" customHeight="1">
      <c r="A498" s="3" t="s">
        <v>148</v>
      </c>
      <c r="B498" s="3" t="s">
        <v>539</v>
      </c>
      <c r="C498" s="6">
        <v>46297</v>
      </c>
      <c r="D498" s="3" t="s">
        <v>2822</v>
      </c>
      <c r="E498" s="3" t="s">
        <v>2823</v>
      </c>
      <c r="F498" s="20">
        <f>LEN(G498)</f>
        <v>30</v>
      </c>
      <c r="G498" s="3" t="s">
        <v>2824</v>
      </c>
      <c r="H498" s="24" t="s">
        <v>2811</v>
      </c>
      <c r="I498" s="5"/>
      <c r="J498" s="3" t="s">
        <v>154</v>
      </c>
      <c r="K498" s="3" t="s">
        <v>154</v>
      </c>
      <c r="L498" s="3" t="s">
        <v>155</v>
      </c>
      <c r="M498" s="3" t="s">
        <v>2812</v>
      </c>
      <c r="N498" s="20">
        <v>6775</v>
      </c>
      <c r="O498" s="3" t="s">
        <v>2822</v>
      </c>
      <c r="P498" s="3" t="s">
        <v>157</v>
      </c>
      <c r="Q498" s="5"/>
      <c r="R498" s="5"/>
      <c r="S498" s="5"/>
      <c r="T498" s="24"/>
      <c r="U498" s="3" t="b">
        <v>0</v>
      </c>
      <c r="V498" s="5"/>
      <c r="W498" s="64"/>
      <c r="X498" s="64"/>
      <c r="Y498" s="64" t="s">
        <v>2814</v>
      </c>
      <c r="Z498" s="64"/>
      <c r="AA498" s="59" t="s">
        <v>784</v>
      </c>
      <c r="AB498" s="65"/>
      <c r="AC498" s="68" t="s">
        <v>213</v>
      </c>
      <c r="AD498" s="65" t="s">
        <v>2825</v>
      </c>
      <c r="AE498" s="68" t="s">
        <v>786</v>
      </c>
      <c r="AF498" s="66" t="s">
        <v>2826</v>
      </c>
      <c r="AG498" s="68" t="s">
        <v>2827</v>
      </c>
      <c r="AH498" s="67"/>
      <c r="AI498" s="69"/>
      <c r="AJ498" s="69"/>
      <c r="AK498" s="69"/>
      <c r="AL498" s="86" t="s">
        <v>218</v>
      </c>
      <c r="AM498" s="88"/>
      <c r="AN498" s="88"/>
      <c r="AO498" s="88"/>
      <c r="AP498" s="59" t="s">
        <v>74</v>
      </c>
      <c r="AQ498" s="68" t="s">
        <v>2828</v>
      </c>
      <c r="AR498" s="59"/>
      <c r="AS498" s="68" t="s">
        <v>788</v>
      </c>
      <c r="AT498" s="59"/>
      <c r="AU498" s="68" t="s">
        <v>747</v>
      </c>
    </row>
    <row r="499" spans="1:47" ht="120" customHeight="1">
      <c r="A499" s="3" t="s">
        <v>148</v>
      </c>
      <c r="B499" s="3" t="s">
        <v>2829</v>
      </c>
      <c r="C499" s="6">
        <v>46300</v>
      </c>
      <c r="D499" s="3" t="s">
        <v>2830</v>
      </c>
      <c r="E499" s="3" t="s">
        <v>2831</v>
      </c>
      <c r="F499" s="20">
        <f>LEN(G499)</f>
        <v>45</v>
      </c>
      <c r="G499" s="3" t="s">
        <v>2832</v>
      </c>
      <c r="H499" s="24">
        <v>235200</v>
      </c>
      <c r="I499" s="3" t="s">
        <v>2831</v>
      </c>
      <c r="J499" s="3" t="s">
        <v>154</v>
      </c>
      <c r="K499" s="3" t="s">
        <v>154</v>
      </c>
      <c r="L499" s="5"/>
      <c r="M499" s="3" t="s">
        <v>2831</v>
      </c>
      <c r="N499" s="20">
        <v>110889</v>
      </c>
      <c r="O499" s="3" t="s">
        <v>2830</v>
      </c>
      <c r="P499" s="3" t="s">
        <v>157</v>
      </c>
      <c r="Q499" s="5"/>
      <c r="R499" s="5"/>
      <c r="S499" s="5"/>
      <c r="T499" s="24"/>
      <c r="U499" s="3" t="b">
        <v>0</v>
      </c>
      <c r="V499" s="5"/>
      <c r="W499" s="64"/>
      <c r="X499" s="64"/>
      <c r="Y499" s="64" t="s">
        <v>2833</v>
      </c>
      <c r="Z499" s="64"/>
      <c r="AA499" s="59" t="s">
        <v>2834</v>
      </c>
      <c r="AB499" s="65"/>
      <c r="AC499" s="68" t="s">
        <v>213</v>
      </c>
      <c r="AD499" s="65" t="s">
        <v>2835</v>
      </c>
      <c r="AE499" s="68" t="s">
        <v>2836</v>
      </c>
      <c r="AF499" s="66" t="s">
        <v>2837</v>
      </c>
      <c r="AG499" s="68" t="s">
        <v>2838</v>
      </c>
      <c r="AH499" s="67" t="s">
        <v>2839</v>
      </c>
      <c r="AI499" s="69"/>
      <c r="AJ499" s="69"/>
      <c r="AK499" s="69"/>
      <c r="AL499" s="86" t="s">
        <v>218</v>
      </c>
      <c r="AM499" s="88"/>
      <c r="AN499" s="88"/>
      <c r="AO499" s="88"/>
      <c r="AP499" s="59" t="s">
        <v>74</v>
      </c>
      <c r="AQ499" s="68" t="s">
        <v>2840</v>
      </c>
      <c r="AR499" s="59" t="s">
        <v>2841</v>
      </c>
      <c r="AS499" s="68" t="s">
        <v>2842</v>
      </c>
      <c r="AT499" s="59" t="s">
        <v>2831</v>
      </c>
      <c r="AU499" s="68" t="s">
        <v>1077</v>
      </c>
    </row>
    <row r="500" spans="1:47" ht="120" customHeight="1">
      <c r="A500" s="3" t="s">
        <v>148</v>
      </c>
      <c r="B500" s="3" t="s">
        <v>2829</v>
      </c>
      <c r="C500" s="6">
        <v>46300</v>
      </c>
      <c r="D500" s="3" t="s">
        <v>2843</v>
      </c>
      <c r="E500" s="3" t="s">
        <v>2831</v>
      </c>
      <c r="F500" s="20">
        <f>LEN(G500)</f>
        <v>45</v>
      </c>
      <c r="G500" s="3" t="s">
        <v>2844</v>
      </c>
      <c r="H500" s="24">
        <v>235200</v>
      </c>
      <c r="I500" s="3" t="s">
        <v>2831</v>
      </c>
      <c r="J500" s="3" t="s">
        <v>154</v>
      </c>
      <c r="K500" s="3" t="s">
        <v>154</v>
      </c>
      <c r="L500" s="5"/>
      <c r="M500" s="3" t="s">
        <v>2831</v>
      </c>
      <c r="N500" s="20">
        <v>110889</v>
      </c>
      <c r="O500" s="3" t="s">
        <v>2843</v>
      </c>
      <c r="P500" s="3" t="s">
        <v>157</v>
      </c>
      <c r="Q500" s="5"/>
      <c r="R500" s="5"/>
      <c r="S500" s="5"/>
      <c r="T500" s="24"/>
      <c r="U500" s="3" t="b">
        <v>0</v>
      </c>
      <c r="V500" s="5"/>
      <c r="W500" s="64"/>
      <c r="X500" s="64"/>
      <c r="Y500" s="64" t="s">
        <v>2833</v>
      </c>
      <c r="Z500" s="64"/>
      <c r="AA500" s="59" t="s">
        <v>2834</v>
      </c>
      <c r="AB500" s="65"/>
      <c r="AC500" s="68" t="s">
        <v>213</v>
      </c>
      <c r="AD500" s="65" t="s">
        <v>2845</v>
      </c>
      <c r="AE500" s="68" t="s">
        <v>2846</v>
      </c>
      <c r="AF500" s="66" t="s">
        <v>2847</v>
      </c>
      <c r="AG500" s="68" t="s">
        <v>2838</v>
      </c>
      <c r="AH500" s="67" t="s">
        <v>2848</v>
      </c>
      <c r="AI500" s="69"/>
      <c r="AJ500" s="69"/>
      <c r="AK500" s="69"/>
      <c r="AL500" s="86" t="s">
        <v>218</v>
      </c>
      <c r="AM500" s="88"/>
      <c r="AN500" s="88"/>
      <c r="AO500" s="88"/>
      <c r="AP500" s="59" t="s">
        <v>74</v>
      </c>
      <c r="AQ500" s="68" t="s">
        <v>2849</v>
      </c>
      <c r="AR500" s="59" t="s">
        <v>2841</v>
      </c>
      <c r="AS500" s="68" t="s">
        <v>2842</v>
      </c>
      <c r="AT500" s="59" t="s">
        <v>2831</v>
      </c>
      <c r="AU500" s="68" t="s">
        <v>1077</v>
      </c>
    </row>
    <row r="501" spans="1:47" ht="120" customHeight="1">
      <c r="A501" s="3" t="s">
        <v>148</v>
      </c>
      <c r="B501" s="3" t="s">
        <v>2829</v>
      </c>
      <c r="C501" s="6">
        <v>46300</v>
      </c>
      <c r="D501" s="3" t="s">
        <v>2850</v>
      </c>
      <c r="E501" s="3" t="s">
        <v>2831</v>
      </c>
      <c r="F501" s="20">
        <f>LEN(G501)</f>
        <v>60</v>
      </c>
      <c r="G501" s="3" t="s">
        <v>2851</v>
      </c>
      <c r="H501" s="24">
        <v>235200</v>
      </c>
      <c r="I501" s="3" t="s">
        <v>2831</v>
      </c>
      <c r="J501" s="3" t="s">
        <v>154</v>
      </c>
      <c r="K501" s="3" t="s">
        <v>154</v>
      </c>
      <c r="L501" s="5"/>
      <c r="M501" s="3" t="s">
        <v>2831</v>
      </c>
      <c r="N501" s="20">
        <v>110889</v>
      </c>
      <c r="O501" s="3" t="s">
        <v>2850</v>
      </c>
      <c r="P501" s="3" t="s">
        <v>157</v>
      </c>
      <c r="Q501" s="5"/>
      <c r="R501" s="5"/>
      <c r="S501" s="5"/>
      <c r="T501" s="24"/>
      <c r="U501" s="3" t="b">
        <v>0</v>
      </c>
      <c r="V501" s="5"/>
      <c r="W501" s="64"/>
      <c r="X501" s="64"/>
      <c r="Y501" s="64" t="s">
        <v>2833</v>
      </c>
      <c r="Z501" s="64"/>
      <c r="AA501" s="59" t="s">
        <v>2834</v>
      </c>
      <c r="AB501" s="65"/>
      <c r="AC501" s="68" t="s">
        <v>213</v>
      </c>
      <c r="AD501" s="65" t="s">
        <v>2852</v>
      </c>
      <c r="AE501" s="68" t="s">
        <v>2853</v>
      </c>
      <c r="AF501" s="66" t="s">
        <v>2854</v>
      </c>
      <c r="AG501" s="68" t="s">
        <v>2855</v>
      </c>
      <c r="AH501" s="67" t="s">
        <v>2856</v>
      </c>
      <c r="AI501" s="69"/>
      <c r="AJ501" s="69"/>
      <c r="AK501" s="69"/>
      <c r="AL501" s="86" t="s">
        <v>218</v>
      </c>
      <c r="AM501" s="88"/>
      <c r="AN501" s="88"/>
      <c r="AO501" s="88"/>
      <c r="AP501" s="59" t="s">
        <v>74</v>
      </c>
      <c r="AQ501" s="68" t="s">
        <v>2857</v>
      </c>
      <c r="AR501" s="59" t="s">
        <v>2841</v>
      </c>
      <c r="AS501" s="68" t="s">
        <v>2842</v>
      </c>
      <c r="AT501" s="59" t="s">
        <v>2831</v>
      </c>
      <c r="AU501" s="68" t="s">
        <v>1077</v>
      </c>
    </row>
    <row r="502" spans="1:47" ht="120" customHeight="1">
      <c r="A502" s="3" t="s">
        <v>148</v>
      </c>
      <c r="B502" s="3" t="s">
        <v>2829</v>
      </c>
      <c r="C502" s="6">
        <v>46300</v>
      </c>
      <c r="D502" s="3" t="s">
        <v>2858</v>
      </c>
      <c r="E502" s="3" t="s">
        <v>2831</v>
      </c>
      <c r="F502" s="20">
        <f>LEN(G502)</f>
        <v>47</v>
      </c>
      <c r="G502" s="3" t="s">
        <v>2859</v>
      </c>
      <c r="H502" s="24">
        <v>235200</v>
      </c>
      <c r="I502" s="3" t="s">
        <v>2831</v>
      </c>
      <c r="J502" s="3" t="s">
        <v>154</v>
      </c>
      <c r="K502" s="3" t="s">
        <v>154</v>
      </c>
      <c r="L502" s="5"/>
      <c r="M502" s="3" t="s">
        <v>2831</v>
      </c>
      <c r="N502" s="20">
        <v>110889</v>
      </c>
      <c r="O502" s="3" t="s">
        <v>2858</v>
      </c>
      <c r="P502" s="3" t="s">
        <v>157</v>
      </c>
      <c r="Q502" s="5"/>
      <c r="R502" s="5"/>
      <c r="S502" s="5"/>
      <c r="T502" s="24"/>
      <c r="U502" s="3" t="b">
        <v>0</v>
      </c>
      <c r="V502" s="5"/>
      <c r="W502" s="64"/>
      <c r="X502" s="64"/>
      <c r="Y502" s="64" t="s">
        <v>2833</v>
      </c>
      <c r="Z502" s="64"/>
      <c r="AA502" s="59" t="s">
        <v>2834</v>
      </c>
      <c r="AB502" s="65"/>
      <c r="AC502" s="68" t="s">
        <v>213</v>
      </c>
      <c r="AD502" s="65" t="s">
        <v>2860</v>
      </c>
      <c r="AE502" s="68" t="s">
        <v>2861</v>
      </c>
      <c r="AF502" s="66" t="s">
        <v>2862</v>
      </c>
      <c r="AG502" s="68" t="s">
        <v>2863</v>
      </c>
      <c r="AH502" s="67" t="s">
        <v>2864</v>
      </c>
      <c r="AI502" s="69"/>
      <c r="AJ502" s="69"/>
      <c r="AK502" s="69"/>
      <c r="AL502" s="86" t="s">
        <v>218</v>
      </c>
      <c r="AM502" s="88"/>
      <c r="AN502" s="88"/>
      <c r="AO502" s="88"/>
      <c r="AP502" s="59" t="s">
        <v>74</v>
      </c>
      <c r="AQ502" s="68" t="s">
        <v>2865</v>
      </c>
      <c r="AR502" s="59" t="s">
        <v>2841</v>
      </c>
      <c r="AS502" s="68" t="s">
        <v>2842</v>
      </c>
      <c r="AT502" s="59" t="s">
        <v>2831</v>
      </c>
      <c r="AU502" s="68" t="s">
        <v>1077</v>
      </c>
    </row>
    <row r="503" spans="1:47" ht="108.75" customHeight="1">
      <c r="A503" s="3" t="s">
        <v>148</v>
      </c>
      <c r="B503" s="3" t="s">
        <v>2829</v>
      </c>
      <c r="C503" s="6">
        <v>46300</v>
      </c>
      <c r="D503" s="3" t="s">
        <v>2866</v>
      </c>
      <c r="E503" s="3" t="s">
        <v>2831</v>
      </c>
      <c r="F503" s="20">
        <f>LEN(G503)</f>
        <v>29</v>
      </c>
      <c r="G503" s="3" t="s">
        <v>2867</v>
      </c>
      <c r="H503" s="24">
        <v>235200</v>
      </c>
      <c r="I503" s="3" t="s">
        <v>2831</v>
      </c>
      <c r="J503" s="3" t="s">
        <v>154</v>
      </c>
      <c r="K503" s="3" t="s">
        <v>154</v>
      </c>
      <c r="L503" s="5"/>
      <c r="M503" s="3" t="s">
        <v>2831</v>
      </c>
      <c r="N503" s="20">
        <v>110889</v>
      </c>
      <c r="O503" s="3" t="s">
        <v>2866</v>
      </c>
      <c r="P503" s="3" t="s">
        <v>157</v>
      </c>
      <c r="Q503" s="5"/>
      <c r="R503" s="5"/>
      <c r="S503" s="5"/>
      <c r="T503" s="24"/>
      <c r="U503" s="3" t="b">
        <v>0</v>
      </c>
      <c r="V503" s="5"/>
      <c r="W503" s="64"/>
      <c r="X503" s="64"/>
      <c r="Y503" s="64" t="s">
        <v>2833</v>
      </c>
      <c r="Z503" s="64"/>
      <c r="AA503" s="59" t="s">
        <v>2868</v>
      </c>
      <c r="AB503" s="65"/>
      <c r="AC503" s="68" t="s">
        <v>213</v>
      </c>
      <c r="AD503" s="65" t="s">
        <v>2869</v>
      </c>
      <c r="AE503" s="68" t="s">
        <v>2870</v>
      </c>
      <c r="AF503" s="66" t="s">
        <v>2871</v>
      </c>
      <c r="AG503" s="68" t="s">
        <v>2872</v>
      </c>
      <c r="AH503" s="67" t="s">
        <v>2873</v>
      </c>
      <c r="AI503" s="69"/>
      <c r="AJ503" s="69"/>
      <c r="AK503" s="69"/>
      <c r="AL503" s="86" t="s">
        <v>218</v>
      </c>
      <c r="AM503" s="88"/>
      <c r="AN503" s="88"/>
      <c r="AO503" s="89" t="str">
        <f>HYPERLINK("https://www.motion.com/products/sku/00693734","https://www.motion.com/products/sku/00693734")</f>
        <v>https://www.motion.com/products/sku/00693734</v>
      </c>
      <c r="AP503" s="59" t="s">
        <v>74</v>
      </c>
      <c r="AQ503" s="68" t="s">
        <v>2874</v>
      </c>
      <c r="AR503" s="59" t="s">
        <v>2875</v>
      </c>
      <c r="AS503" s="68" t="s">
        <v>2876</v>
      </c>
      <c r="AT503" s="59" t="s">
        <v>2831</v>
      </c>
      <c r="AU503" s="68" t="s">
        <v>1077</v>
      </c>
    </row>
    <row r="504" spans="1:47" ht="108.75" customHeight="1">
      <c r="A504" s="3" t="s">
        <v>148</v>
      </c>
      <c r="B504" s="3" t="s">
        <v>2829</v>
      </c>
      <c r="C504" s="6">
        <v>46300</v>
      </c>
      <c r="D504" s="3" t="s">
        <v>2877</v>
      </c>
      <c r="E504" s="3" t="s">
        <v>2831</v>
      </c>
      <c r="F504" s="20">
        <f>LEN(G504)</f>
        <v>29</v>
      </c>
      <c r="G504" s="3" t="s">
        <v>2878</v>
      </c>
      <c r="H504" s="24">
        <v>235200</v>
      </c>
      <c r="I504" s="3" t="s">
        <v>2831</v>
      </c>
      <c r="J504" s="3" t="s">
        <v>154</v>
      </c>
      <c r="K504" s="3" t="s">
        <v>154</v>
      </c>
      <c r="L504" s="5"/>
      <c r="M504" s="3" t="s">
        <v>2831</v>
      </c>
      <c r="N504" s="20">
        <v>110889</v>
      </c>
      <c r="O504" s="3" t="s">
        <v>2877</v>
      </c>
      <c r="P504" s="3" t="s">
        <v>157</v>
      </c>
      <c r="Q504" s="5"/>
      <c r="R504" s="5"/>
      <c r="S504" s="5"/>
      <c r="T504" s="24"/>
      <c r="U504" s="3" t="b">
        <v>0</v>
      </c>
      <c r="V504" s="5"/>
      <c r="W504" s="64"/>
      <c r="X504" s="64"/>
      <c r="Y504" s="64" t="s">
        <v>2833</v>
      </c>
      <c r="Z504" s="64"/>
      <c r="AA504" s="59" t="s">
        <v>2868</v>
      </c>
      <c r="AB504" s="65"/>
      <c r="AC504" s="68" t="s">
        <v>213</v>
      </c>
      <c r="AD504" s="65" t="s">
        <v>2879</v>
      </c>
      <c r="AE504" s="68" t="s">
        <v>2880</v>
      </c>
      <c r="AF504" s="66" t="s">
        <v>2881</v>
      </c>
      <c r="AG504" s="68" t="s">
        <v>2872</v>
      </c>
      <c r="AH504" s="67" t="s">
        <v>2882</v>
      </c>
      <c r="AI504" s="69"/>
      <c r="AJ504" s="69"/>
      <c r="AK504" s="69"/>
      <c r="AL504" s="86" t="s">
        <v>218</v>
      </c>
      <c r="AM504" s="88"/>
      <c r="AN504" s="88"/>
      <c r="AO504" s="89" t="str">
        <f>HYPERLINK("https://www.motion.com/products/sku/00753074","https://www.motion.com/products/sku/00753074")</f>
        <v>https://www.motion.com/products/sku/00753074</v>
      </c>
      <c r="AP504" s="59" t="s">
        <v>74</v>
      </c>
      <c r="AQ504" s="68" t="s">
        <v>2883</v>
      </c>
      <c r="AR504" s="59" t="s">
        <v>2875</v>
      </c>
      <c r="AS504" s="68" t="s">
        <v>2884</v>
      </c>
      <c r="AT504" s="59" t="s">
        <v>2831</v>
      </c>
      <c r="AU504" s="68" t="s">
        <v>1077</v>
      </c>
    </row>
    <row r="505" spans="1:47" ht="108.75" customHeight="1">
      <c r="A505" s="3" t="s">
        <v>148</v>
      </c>
      <c r="B505" s="3" t="s">
        <v>2829</v>
      </c>
      <c r="C505" s="6">
        <v>46300</v>
      </c>
      <c r="D505" s="3" t="s">
        <v>2885</v>
      </c>
      <c r="E505" s="3" t="s">
        <v>2831</v>
      </c>
      <c r="F505" s="20">
        <f>LEN(G505)</f>
        <v>61</v>
      </c>
      <c r="G505" s="3" t="s">
        <v>2886</v>
      </c>
      <c r="H505" s="24">
        <v>235200</v>
      </c>
      <c r="I505" s="3" t="s">
        <v>2831</v>
      </c>
      <c r="J505" s="3" t="s">
        <v>154</v>
      </c>
      <c r="K505" s="3" t="s">
        <v>154</v>
      </c>
      <c r="L505" s="5"/>
      <c r="M505" s="3" t="s">
        <v>2831</v>
      </c>
      <c r="N505" s="20">
        <v>110889</v>
      </c>
      <c r="O505" s="3" t="s">
        <v>2885</v>
      </c>
      <c r="P505" s="3" t="s">
        <v>157</v>
      </c>
      <c r="Q505" s="5"/>
      <c r="R505" s="5"/>
      <c r="S505" s="5"/>
      <c r="T505" s="24"/>
      <c r="U505" s="3" t="b">
        <v>0</v>
      </c>
      <c r="V505" s="5"/>
      <c r="W505" s="64"/>
      <c r="X505" s="64"/>
      <c r="Y505" s="64" t="s">
        <v>2833</v>
      </c>
      <c r="Z505" s="64"/>
      <c r="AA505" s="59" t="s">
        <v>212</v>
      </c>
      <c r="AB505" s="65"/>
      <c r="AC505" s="68" t="s">
        <v>213</v>
      </c>
      <c r="AD505" s="65" t="s">
        <v>2887</v>
      </c>
      <c r="AE505" s="68" t="s">
        <v>2888</v>
      </c>
      <c r="AF505" s="66" t="s">
        <v>2889</v>
      </c>
      <c r="AG505" s="68" t="s">
        <v>2890</v>
      </c>
      <c r="AH505" s="67"/>
      <c r="AI505" s="69"/>
      <c r="AJ505" s="69"/>
      <c r="AK505" s="69"/>
      <c r="AL505" s="86" t="s">
        <v>218</v>
      </c>
      <c r="AM505" s="89" t="str">
        <f>HYPERLINK("https://www.chiorino.com/pdf/NA696_2M5U0-U2LFWA_EN.pdf","https://www.chiorino.com/pdf/NA696_2M5U0-U2LFWA_EN.pdf")</f>
        <v>https://www.chiorino.com/pdf/NA696_2M5U0-U2LFWA_EN.pdf</v>
      </c>
      <c r="AN505" s="89" t="str">
        <f>HYPERLINK("https://www.chiorino.com/pdf/NA696_2M5U0-U2LFWA_DE.pdf","https://www.chiorino.com/pdf/NA696_2M5U0-U2LFWA_DE.pdf")</f>
        <v>https://www.chiorino.com/pdf/NA696_2M5U0-U2LFWA_DE.pdf</v>
      </c>
      <c r="AO505" s="88"/>
      <c r="AP505" s="59" t="s">
        <v>74</v>
      </c>
      <c r="AQ505" s="68" t="s">
        <v>2891</v>
      </c>
      <c r="AR505" s="59" t="s">
        <v>2002</v>
      </c>
      <c r="AS505" s="68" t="s">
        <v>2892</v>
      </c>
      <c r="AT505" s="59" t="s">
        <v>2831</v>
      </c>
      <c r="AU505" s="68" t="s">
        <v>1077</v>
      </c>
    </row>
    <row r="506" spans="1:47" ht="108.75" customHeight="1">
      <c r="A506" s="3" t="s">
        <v>148</v>
      </c>
      <c r="B506" s="3" t="s">
        <v>2829</v>
      </c>
      <c r="C506" s="6">
        <v>46300</v>
      </c>
      <c r="D506" s="3" t="s">
        <v>2893</v>
      </c>
      <c r="E506" s="3" t="s">
        <v>2831</v>
      </c>
      <c r="F506" s="20">
        <f>LEN(G506)</f>
        <v>62</v>
      </c>
      <c r="G506" s="3" t="s">
        <v>2894</v>
      </c>
      <c r="H506" s="24">
        <v>235200</v>
      </c>
      <c r="I506" s="3" t="s">
        <v>2831</v>
      </c>
      <c r="J506" s="3" t="s">
        <v>154</v>
      </c>
      <c r="K506" s="3" t="s">
        <v>154</v>
      </c>
      <c r="L506" s="5"/>
      <c r="M506" s="3" t="s">
        <v>2831</v>
      </c>
      <c r="N506" s="20">
        <v>110889</v>
      </c>
      <c r="O506" s="3" t="s">
        <v>2893</v>
      </c>
      <c r="P506" s="3" t="s">
        <v>157</v>
      </c>
      <c r="Q506" s="5"/>
      <c r="R506" s="5"/>
      <c r="S506" s="5"/>
      <c r="T506" s="24"/>
      <c r="U506" s="3" t="b">
        <v>0</v>
      </c>
      <c r="V506" s="5"/>
      <c r="W506" s="64"/>
      <c r="X506" s="64"/>
      <c r="Y506" s="64" t="s">
        <v>2833</v>
      </c>
      <c r="Z506" s="64"/>
      <c r="AA506" s="59" t="s">
        <v>212</v>
      </c>
      <c r="AB506" s="65"/>
      <c r="AC506" s="68" t="s">
        <v>213</v>
      </c>
      <c r="AD506" s="65" t="s">
        <v>2895</v>
      </c>
      <c r="AE506" s="68" t="s">
        <v>2888</v>
      </c>
      <c r="AF506" s="66" t="s">
        <v>2896</v>
      </c>
      <c r="AG506" s="68" t="s">
        <v>2890</v>
      </c>
      <c r="AH506" s="67"/>
      <c r="AI506" s="69"/>
      <c r="AJ506" s="69"/>
      <c r="AK506" s="69"/>
      <c r="AL506" s="86" t="s">
        <v>218</v>
      </c>
      <c r="AM506" s="89" t="str">
        <f>HYPERLINK("https://www.chiorino.com/pdf/NA696_2M5U0-U2LFWA_EN.pdf","https://www.chiorino.com/pdf/NA696_2M5U0-U2LFWA_EN.pdf")</f>
        <v>https://www.chiorino.com/pdf/NA696_2M5U0-U2LFWA_EN.pdf</v>
      </c>
      <c r="AN506" s="89" t="str">
        <f>HYPERLINK("https://www.chiorino.com/pdf/NA696_2M5U0-U2LFWA_DE.pdf","https://www.chiorino.com/pdf/NA696_2M5U0-U2LFWA_DE.pdf")</f>
        <v>https://www.chiorino.com/pdf/NA696_2M5U0-U2LFWA_DE.pdf</v>
      </c>
      <c r="AO506" s="88"/>
      <c r="AP506" s="59" t="s">
        <v>74</v>
      </c>
      <c r="AQ506" s="68" t="s">
        <v>2897</v>
      </c>
      <c r="AR506" s="59" t="s">
        <v>2002</v>
      </c>
      <c r="AS506" s="68" t="s">
        <v>2892</v>
      </c>
      <c r="AT506" s="59" t="s">
        <v>2831</v>
      </c>
      <c r="AU506" s="68" t="s">
        <v>1077</v>
      </c>
    </row>
    <row r="507" spans="1:47" ht="108.75" customHeight="1">
      <c r="A507" s="3" t="s">
        <v>148</v>
      </c>
      <c r="B507" s="3" t="s">
        <v>2829</v>
      </c>
      <c r="C507" s="6">
        <v>46300</v>
      </c>
      <c r="D507" s="3" t="s">
        <v>2898</v>
      </c>
      <c r="E507" s="3" t="s">
        <v>2831</v>
      </c>
      <c r="F507" s="20">
        <f>LEN(G507)</f>
        <v>66</v>
      </c>
      <c r="G507" s="3" t="s">
        <v>2899</v>
      </c>
      <c r="H507" s="24">
        <v>235200</v>
      </c>
      <c r="I507" s="3" t="s">
        <v>2831</v>
      </c>
      <c r="J507" s="3" t="s">
        <v>154</v>
      </c>
      <c r="K507" s="3" t="s">
        <v>154</v>
      </c>
      <c r="L507" s="5"/>
      <c r="M507" s="3" t="s">
        <v>2831</v>
      </c>
      <c r="N507" s="20">
        <v>110889</v>
      </c>
      <c r="O507" s="3" t="s">
        <v>2898</v>
      </c>
      <c r="P507" s="3" t="s">
        <v>157</v>
      </c>
      <c r="Q507" s="5"/>
      <c r="R507" s="5"/>
      <c r="S507" s="5"/>
      <c r="T507" s="24"/>
      <c r="U507" s="3" t="b">
        <v>0</v>
      </c>
      <c r="V507" s="5"/>
      <c r="W507" s="64"/>
      <c r="X507" s="64"/>
      <c r="Y507" s="64" t="s">
        <v>2833</v>
      </c>
      <c r="Z507" s="64"/>
      <c r="AA507" s="59" t="s">
        <v>212</v>
      </c>
      <c r="AB507" s="65"/>
      <c r="AC507" s="68" t="s">
        <v>213</v>
      </c>
      <c r="AD507" s="65" t="s">
        <v>2900</v>
      </c>
      <c r="AE507" s="68" t="s">
        <v>2888</v>
      </c>
      <c r="AF507" s="66" t="s">
        <v>2901</v>
      </c>
      <c r="AG507" s="68" t="s">
        <v>2890</v>
      </c>
      <c r="AH507" s="67"/>
      <c r="AI507" s="69"/>
      <c r="AJ507" s="69"/>
      <c r="AK507" s="69"/>
      <c r="AL507" s="86" t="s">
        <v>218</v>
      </c>
      <c r="AM507" s="89" t="str">
        <f>HYPERLINK("https://www.chiorino.com/pdf/NA696_2M5U0-U2LFWA_EN.pdf","https://www.chiorino.com/pdf/NA696_2M5U0-U2LFWA_EN.pdf")</f>
        <v>https://www.chiorino.com/pdf/NA696_2M5U0-U2LFWA_EN.pdf</v>
      </c>
      <c r="AN507" s="89" t="str">
        <f>HYPERLINK("https://www.chiorino.com/pdf/NA696_2M5U0-U2LFWA_DE.pdf","https://www.chiorino.com/pdf/NA696_2M5U0-U2LFWA_DE.pdf")</f>
        <v>https://www.chiorino.com/pdf/NA696_2M5U0-U2LFWA_DE.pdf</v>
      </c>
      <c r="AO507" s="88"/>
      <c r="AP507" s="59" t="s">
        <v>74</v>
      </c>
      <c r="AQ507" s="68" t="s">
        <v>2891</v>
      </c>
      <c r="AR507" s="59" t="s">
        <v>2002</v>
      </c>
      <c r="AS507" s="68" t="s">
        <v>2892</v>
      </c>
      <c r="AT507" s="59" t="s">
        <v>2831</v>
      </c>
      <c r="AU507" s="68" t="s">
        <v>1077</v>
      </c>
    </row>
    <row r="508" spans="1:47" ht="80.25" customHeight="1">
      <c r="A508" s="3" t="s">
        <v>148</v>
      </c>
      <c r="B508" s="3" t="s">
        <v>2902</v>
      </c>
      <c r="C508" s="6">
        <v>46300</v>
      </c>
      <c r="D508" s="3" t="s">
        <v>2903</v>
      </c>
      <c r="E508" s="3" t="s">
        <v>2904</v>
      </c>
      <c r="F508" s="20">
        <f>LEN(G508)</f>
        <v>30</v>
      </c>
      <c r="G508" s="3" t="s">
        <v>2905</v>
      </c>
      <c r="H508" s="24" t="s">
        <v>2906</v>
      </c>
      <c r="I508" s="3" t="s">
        <v>2907</v>
      </c>
      <c r="J508" s="3" t="s">
        <v>615</v>
      </c>
      <c r="K508" s="3" t="s">
        <v>615</v>
      </c>
      <c r="L508" s="3" t="s">
        <v>155</v>
      </c>
      <c r="M508" s="3" t="s">
        <v>2904</v>
      </c>
      <c r="N508" s="20">
        <v>15446</v>
      </c>
      <c r="O508" s="3" t="s">
        <v>2903</v>
      </c>
      <c r="P508" s="3" t="s">
        <v>535</v>
      </c>
      <c r="Q508" s="3" t="s">
        <v>2908</v>
      </c>
      <c r="R508" s="5"/>
      <c r="S508" s="5"/>
      <c r="T508" s="24"/>
      <c r="U508" s="3" t="b">
        <v>0</v>
      </c>
      <c r="V508" s="5"/>
      <c r="W508" s="64"/>
      <c r="X508" s="64"/>
      <c r="Y508" s="64" t="s">
        <v>2904</v>
      </c>
      <c r="Z508" s="64" t="s">
        <v>2903</v>
      </c>
      <c r="AA508" s="59" t="s">
        <v>2909</v>
      </c>
      <c r="AB508" s="65"/>
      <c r="AC508" s="68" t="s">
        <v>213</v>
      </c>
      <c r="AD508" s="65" t="s">
        <v>2910</v>
      </c>
      <c r="AE508" s="68" t="s">
        <v>2911</v>
      </c>
      <c r="AF508" s="66" t="s">
        <v>2912</v>
      </c>
      <c r="AG508" s="68" t="s">
        <v>2913</v>
      </c>
      <c r="AH508" s="67"/>
      <c r="AI508" s="69"/>
      <c r="AJ508" s="69"/>
      <c r="AK508" s="69"/>
      <c r="AL508" s="86" t="s">
        <v>218</v>
      </c>
      <c r="AM508" s="89" t="str">
        <f>HYPERLINK("https://bonduelleprd-my.sharepoint.com/:b:/r/personal/cedric_bompay_bonduelle_com/Documents/CREATIONS%20ARTICLES%20COSWIN/RIDEAUX%20PLOMBES%20RX.pdf?d=w43a07b78a96c47c58a55dcf6f22eba2e&amp;csf=1&amp;web=1&amp;e=qLoC1i","https://bonduelleprd-my.sharepoint.com/:b:/r/personal/cedric_bompay_bonduelle_com/Documents/CREATIONS%20ARTICLES%20COSWIN/RIDEAUX%20PLOMBES%20RX.pdf?d=w43a07b78a96c47c58a55dcf6f22eba2e&amp;csf=1&amp;web=1&amp;e=qLoC1i")</f>
        <v>https://bonduelleprd-my.sharepoint.com/:b:/r/personal/cedric_bompay_bonduelle_com/Documents/CREATIONS%20ARTICLES%20COSWIN/RIDEAUX%20PLOMBES%20RX.pdf?d=w43a07b78a96c47c58a55dcf6f22eba2e&amp;csf=1&amp;web=1&amp;e=qLoC1i</v>
      </c>
      <c r="AN508" s="88"/>
      <c r="AO508" s="88"/>
      <c r="AP508" s="59" t="s">
        <v>72</v>
      </c>
      <c r="AQ508" s="68" t="s">
        <v>2914</v>
      </c>
      <c r="AR508" s="59"/>
      <c r="AS508" s="68" t="s">
        <v>746</v>
      </c>
      <c r="AT508" s="59" t="s">
        <v>2907</v>
      </c>
      <c r="AU508" s="68" t="s">
        <v>1077</v>
      </c>
    </row>
    <row r="509" spans="1:47" ht="80.25" customHeight="1">
      <c r="A509" s="3" t="s">
        <v>148</v>
      </c>
      <c r="B509" s="3" t="s">
        <v>666</v>
      </c>
      <c r="C509" s="6">
        <v>46300</v>
      </c>
      <c r="D509" s="3" t="s">
        <v>2915</v>
      </c>
      <c r="E509" s="3" t="s">
        <v>2916</v>
      </c>
      <c r="F509" s="20">
        <f>LEN(G509)</f>
        <v>22</v>
      </c>
      <c r="G509" s="3" t="s">
        <v>2917</v>
      </c>
      <c r="H509" s="24" t="s">
        <v>164</v>
      </c>
      <c r="I509" s="3" t="s">
        <v>2918</v>
      </c>
      <c r="J509" s="3" t="s">
        <v>154</v>
      </c>
      <c r="K509" s="3" t="s">
        <v>154</v>
      </c>
      <c r="L509" s="3" t="s">
        <v>155</v>
      </c>
      <c r="M509" s="3" t="s">
        <v>2919</v>
      </c>
      <c r="N509" s="20">
        <v>83667</v>
      </c>
      <c r="O509" s="3" t="s">
        <v>2920</v>
      </c>
      <c r="P509" s="3" t="s">
        <v>672</v>
      </c>
      <c r="Q509" s="5"/>
      <c r="R509" s="5"/>
      <c r="S509" s="5"/>
      <c r="T509" s="24"/>
      <c r="U509" s="5"/>
      <c r="V509" s="5"/>
      <c r="W509" s="64" t="s">
        <v>2921</v>
      </c>
      <c r="X509" s="64" t="s">
        <v>2916</v>
      </c>
      <c r="Y509" s="64"/>
      <c r="Z509" s="64"/>
      <c r="AA509" s="59" t="s">
        <v>1793</v>
      </c>
      <c r="AB509" s="65" t="s">
        <v>2922</v>
      </c>
      <c r="AC509" s="68" t="s">
        <v>2923</v>
      </c>
      <c r="AD509" s="65" t="s">
        <v>2924</v>
      </c>
      <c r="AE509" s="68" t="s">
        <v>2925</v>
      </c>
      <c r="AF509" s="66" t="s">
        <v>2926</v>
      </c>
      <c r="AG509" s="68" t="s">
        <v>1799</v>
      </c>
      <c r="AH509" s="67"/>
      <c r="AI509" s="69"/>
      <c r="AJ509" s="69"/>
      <c r="AK509" s="69"/>
      <c r="AL509" s="86" t="s">
        <v>218</v>
      </c>
      <c r="AM509" s="88"/>
      <c r="AN509" s="89" t="str">
        <f>HYPERLINK("https://www.bijurdelimon.com/default/b6085.html","https://www.bijurdelimon.com/default/b6085.html")</f>
        <v>https://www.bijurdelimon.com/default/b6085.html</v>
      </c>
      <c r="AO509" s="89" t="str">
        <f>HYPERLINK("https://ldewittlubrication.com/bijur-delimon-b6085-extra-slow-flow-fjd-3-0-meter-unit/","https://ldewittlubrication.com/bijur-delimon-b6085-extra-slow-flow-fjd-3-0-meter-unit/")</f>
        <v>https://ldewittlubrication.com/bijur-delimon-b6085-extra-slow-flow-fjd-3-0-meter-unit/</v>
      </c>
      <c r="AP509" s="59" t="s">
        <v>70</v>
      </c>
      <c r="AQ509" s="68" t="s">
        <v>2927</v>
      </c>
      <c r="AR509" s="59"/>
      <c r="AS509" s="68" t="s">
        <v>1801</v>
      </c>
      <c r="AT509" s="59" t="s">
        <v>2918</v>
      </c>
      <c r="AU509" s="68" t="s">
        <v>1077</v>
      </c>
    </row>
    <row r="510" spans="1:47" ht="80.25" customHeight="1">
      <c r="A510" s="3" t="s">
        <v>148</v>
      </c>
      <c r="B510" s="3" t="s">
        <v>905</v>
      </c>
      <c r="C510" s="6">
        <v>46300</v>
      </c>
      <c r="D510" s="3" t="s">
        <v>2928</v>
      </c>
      <c r="E510" s="3" t="s">
        <v>2929</v>
      </c>
      <c r="F510" s="20">
        <f>LEN(G510)</f>
        <v>23</v>
      </c>
      <c r="G510" s="3" t="s">
        <v>2930</v>
      </c>
      <c r="H510" s="24" t="s">
        <v>714</v>
      </c>
      <c r="I510" s="3" t="s">
        <v>2931</v>
      </c>
      <c r="J510" s="3" t="s">
        <v>154</v>
      </c>
      <c r="K510" s="3" t="s">
        <v>154</v>
      </c>
      <c r="L510" s="3" t="s">
        <v>155</v>
      </c>
      <c r="M510" s="3" t="s">
        <v>2932</v>
      </c>
      <c r="N510" s="20">
        <v>148161</v>
      </c>
      <c r="O510" s="3" t="s">
        <v>2928</v>
      </c>
      <c r="P510" s="3" t="s">
        <v>910</v>
      </c>
      <c r="Q510" s="5"/>
      <c r="R510" s="5" t="inlineStr">
        <is>
          <t xml:space="preserve">087336</t>
        </is>
      </c>
      <c r="S510" s="5">
        <v>46302</v>
      </c>
      <c r="T510" s="24"/>
      <c r="U510" s="3" t="b">
        <v>0</v>
      </c>
      <c r="V510" s="5"/>
      <c r="W510" s="64" t="s">
        <v>2928</v>
      </c>
      <c r="X510" s="64" t="s">
        <v>2933</v>
      </c>
      <c r="Y510" s="64"/>
      <c r="Z510" s="64"/>
      <c r="AA510" s="59" t="s">
        <v>2934</v>
      </c>
      <c r="AB510" s="65" t="s">
        <v>2935</v>
      </c>
      <c r="AC510" s="68" t="s">
        <v>2936</v>
      </c>
      <c r="AD510" s="65" t="s">
        <v>2937</v>
      </c>
      <c r="AE510" s="68" t="s">
        <v>2938</v>
      </c>
      <c r="AF510" s="66" t="s">
        <v>2930</v>
      </c>
      <c r="AG510" s="68" t="s">
        <v>2939</v>
      </c>
      <c r="AH510" s="67"/>
      <c r="AI510" s="69"/>
      <c r="AJ510" s="69"/>
      <c r="AK510" s="69"/>
      <c r="AL510" s="86" t="s">
        <v>218</v>
      </c>
      <c r="AM510" s="89" t="str">
        <f>HYPERLINK("https://www.prominent.fr/resources/ExplodedViewSpareParts/English/8960/Exploded-view-spare-parts-Beta-b-Solenoid-Diaphragm-Metering-Pumps.pdf","https://www.prominent.fr/resources/ExplodedViewSpareParts/English/8960/Exploded-view-spare-parts-Beta-b-Solenoid-Diaphragm-Metering-Pumps.pdf")</f>
        <v>https://www.prominent.fr/resources/ExplodedViewSpareParts/English/8960/Exploded-view-spare-parts-Beta-b-Solenoid-Diaphragm-Metering-Pumps.pdf</v>
      </c>
      <c r="AN510" s="88"/>
      <c r="AO510" s="89" t="str">
        <f>HYPERLINK("https://aquaproductsinc.com/product/prominent-1000248-diaphragm-gala/","https://aquaproductsinc.com/product/prominent-1000248-diaphragm-gala/")</f>
        <v>https://aquaproductsinc.com/product/prominent-1000248-diaphragm-gala/</v>
      </c>
      <c r="AP510" s="59" t="s">
        <v>70</v>
      </c>
      <c r="AQ510" s="68" t="s">
        <v>2940</v>
      </c>
      <c r="AR510" s="59"/>
      <c r="AS510" s="68" t="s">
        <v>746</v>
      </c>
      <c r="AT510" s="59"/>
      <c r="AU510" s="68" t="s">
        <v>1077</v>
      </c>
    </row>
    <row r="511" spans="1:47" ht="98.25" customHeight="1">
      <c r="A511" s="3" t="s">
        <v>148</v>
      </c>
      <c r="B511" s="3" t="s">
        <v>1026</v>
      </c>
      <c r="C511" s="6">
        <v>46301</v>
      </c>
      <c r="D511" s="3" t="s">
        <v>2941</v>
      </c>
      <c r="E511" s="3" t="s">
        <v>862</v>
      </c>
      <c r="F511" s="20">
        <f>LEN(G511)</f>
        <v>89</v>
      </c>
      <c r="G511" s="3" t="s">
        <v>2942</v>
      </c>
      <c r="H511" s="24" t="s">
        <v>275</v>
      </c>
      <c r="I511" s="5"/>
      <c r="J511" s="3" t="s">
        <v>154</v>
      </c>
      <c r="K511" s="3" t="s">
        <v>154</v>
      </c>
      <c r="L511" s="3" t="s">
        <v>155</v>
      </c>
      <c r="M511" s="3" t="s">
        <v>2943</v>
      </c>
      <c r="N511" s="20">
        <v>6874</v>
      </c>
      <c r="O511" s="3" t="s">
        <v>2941</v>
      </c>
      <c r="P511" s="3" t="s">
        <v>943</v>
      </c>
      <c r="Q511" s="5"/>
      <c r="R511" s="5"/>
      <c r="S511" s="5"/>
      <c r="T511" s="24"/>
      <c r="U511" s="3" t="b">
        <v>0</v>
      </c>
      <c r="V511" s="5"/>
      <c r="W511" s="64" t="s">
        <v>2944</v>
      </c>
      <c r="X511" s="64" t="s">
        <v>2945</v>
      </c>
      <c r="Y511" s="64" t="s">
        <v>2946</v>
      </c>
      <c r="Z511" s="64"/>
      <c r="AA511" s="59" t="s">
        <v>1519</v>
      </c>
      <c r="AB511" s="65"/>
      <c r="AC511" s="68" t="s">
        <v>213</v>
      </c>
      <c r="AD511" s="65" t="s">
        <v>2947</v>
      </c>
      <c r="AE511" s="68" t="s">
        <v>2948</v>
      </c>
      <c r="AF511" s="66" t="s">
        <v>2949</v>
      </c>
      <c r="AG511" s="68" t="s">
        <v>2950</v>
      </c>
      <c r="AH511" s="67"/>
      <c r="AI511" s="69"/>
      <c r="AJ511" s="69"/>
      <c r="AK511" s="69"/>
      <c r="AL511" s="86" t="s">
        <v>218</v>
      </c>
      <c r="AM511" s="88"/>
      <c r="AN511" s="89" t="str">
        <f>HYPERLINK("https://store.danfoss.com/en/Drives/Low-voltage-drives/VLT%C2%AE-HVAC-Drive-FC-102/FC-102P55KT4E55H1XGXXXXSXXXXA0BXCXXXXDX/p/131B9575","https://store.danfoss.com/en/Drives/Low-voltage-drives/VLT%C2%AE-HVAC-Drive-FC-102/FC-102P55KT4E55H1XGXXXXSXXXXA0BXCXXXXDX/p/131B9575")</f>
        <v>https://store.danfoss.com/en/Drives/Low-voltage-drives/VLT%C2%AE-HVAC-Drive-FC-102/FC-102P55KT4E55H1XGXXXXSXXXXA0BXCXXXXDX/p/131B9575</v>
      </c>
      <c r="AO511" s="89" t="str">
        <f>HYPERLINK("https://www.electricautomationnetwork.com/es/danfoss-drives/131h6685-fc-102p90kt4e21h2xgxxxxsxxxxa0bxcxxxxdx-danfoss-drives","https://www.electricautomationnetwork.com/es/danfoss-drives/131h6685-fc-102p90kt4e21h2xgxxxxsxxxxa0bxcxxxxdx-danfoss-drives")</f>
        <v>https://www.electricautomationnetwork.com/es/danfoss-drives/131h6685-fc-102p90kt4e21h2xgxxxxsxxxxa0bxcxxxxdx-danfoss-drives</v>
      </c>
      <c r="AP511" s="59" t="s">
        <v>72</v>
      </c>
      <c r="AQ511" s="68" t="s">
        <v>2951</v>
      </c>
      <c r="AR511" s="59"/>
      <c r="AS511" s="68" t="s">
        <v>746</v>
      </c>
      <c r="AT511" s="59"/>
      <c r="AU511" s="68" t="s">
        <v>747</v>
      </c>
    </row>
    <row r="512" spans="1:47" ht="98.25" customHeight="1">
      <c r="A512" s="3" t="s">
        <v>148</v>
      </c>
      <c r="B512" s="3" t="s">
        <v>1026</v>
      </c>
      <c r="C512" s="6">
        <v>46301</v>
      </c>
      <c r="D512" s="3" t="s">
        <v>2952</v>
      </c>
      <c r="E512" s="3" t="s">
        <v>862</v>
      </c>
      <c r="F512" s="20">
        <f>LEN(G512)</f>
        <v>90</v>
      </c>
      <c r="G512" s="3" t="s">
        <v>2953</v>
      </c>
      <c r="H512" s="24" t="s">
        <v>275</v>
      </c>
      <c r="I512" s="5"/>
      <c r="J512" s="3" t="s">
        <v>154</v>
      </c>
      <c r="K512" s="3" t="s">
        <v>154</v>
      </c>
      <c r="L512" s="3" t="s">
        <v>155</v>
      </c>
      <c r="M512" s="3" t="s">
        <v>2943</v>
      </c>
      <c r="N512" s="20">
        <v>6874</v>
      </c>
      <c r="O512" s="3" t="s">
        <v>2952</v>
      </c>
      <c r="P512" s="3" t="s">
        <v>943</v>
      </c>
      <c r="Q512" s="5"/>
      <c r="R512" s="5"/>
      <c r="S512" s="5"/>
      <c r="T512" s="24"/>
      <c r="U512" s="3" t="b">
        <v>0</v>
      </c>
      <c r="V512" s="5"/>
      <c r="W512" s="64" t="s">
        <v>2954</v>
      </c>
      <c r="X512" s="64" t="s">
        <v>2945</v>
      </c>
      <c r="Y512" s="64" t="s">
        <v>2946</v>
      </c>
      <c r="Z512" s="64"/>
      <c r="AA512" s="59" t="s">
        <v>1519</v>
      </c>
      <c r="AB512" s="65"/>
      <c r="AC512" s="68" t="s">
        <v>213</v>
      </c>
      <c r="AD512" s="65" t="s">
        <v>2955</v>
      </c>
      <c r="AE512" s="68" t="s">
        <v>2956</v>
      </c>
      <c r="AF512" s="66" t="s">
        <v>2957</v>
      </c>
      <c r="AG512" s="68" t="s">
        <v>2950</v>
      </c>
      <c r="AH512" s="67"/>
      <c r="AI512" s="69"/>
      <c r="AJ512" s="69"/>
      <c r="AK512" s="69"/>
      <c r="AL512" s="86" t="s">
        <v>218</v>
      </c>
      <c r="AM512" s="88"/>
      <c r="AN512" s="89" t="str">
        <f>HYPERLINK("https://store.danfoss.com/en/Drives/Low-voltage-drives/VLT%C2%AE-HVAC-Drive-FC-102/FC-102P55KT4E55H1XGXXXXSXXXXA0BXCXXXXDX/p/131B9575","https://store.danfoss.com/en/Drives/Low-voltage-drives/VLT%C2%AE-HVAC-Drive-FC-102/FC-102P55KT4E55H1XGXXXXSXXXXA0BXCXXXXDX/p/131B9575")</f>
        <v>https://store.danfoss.com/en/Drives/Low-voltage-drives/VLT%C2%AE-HVAC-Drive-FC-102/FC-102P55KT4E55H1XGXXXXSXXXXA0BXCXXXXDX/p/131B9575</v>
      </c>
      <c r="AO512" s="89" t="str">
        <f>HYPERLINK("https://www.electricautomationnetwork.com/en/danfoss-drives/134h3782-danfoss-drives-vlt-hvac-drive-fc-102-110-kw-150-hp-380-480-vac-no-brake-chopper-ip21-type-1","https://www.electricautomationnetwork.com/en/danfoss-drives/134h3782-danfoss-drives-vlt-hvac-drive-fc-102-110-kw-150-hp-380-480-vac-no-brake-chopper-ip21-type-1")</f>
        <v>https://www.electricautomationnetwork.com/en/danfoss-drives/134h3782-danfoss-drives-vlt-hvac-drive-fc-102-110-kw-150-hp-380-480-vac-no-brake-chopper-ip21-type-1</v>
      </c>
      <c r="AP512" s="59" t="s">
        <v>72</v>
      </c>
      <c r="AQ512" s="68" t="s">
        <v>2958</v>
      </c>
      <c r="AR512" s="59"/>
      <c r="AS512" s="68" t="s">
        <v>746</v>
      </c>
      <c r="AT512" s="59"/>
      <c r="AU512" s="68" t="s">
        <v>747</v>
      </c>
    </row>
    <row r="513" spans="1:47" ht="98.25" customHeight="1">
      <c r="A513" s="3" t="s">
        <v>148</v>
      </c>
      <c r="B513" s="3" t="s">
        <v>789</v>
      </c>
      <c r="C513" s="6">
        <v>46183</v>
      </c>
      <c r="D513" s="3" t="s">
        <v>2959</v>
      </c>
      <c r="E513" s="3" t="s">
        <v>2960</v>
      </c>
      <c r="F513" s="20">
        <f>LEN(G513)</f>
        <v>47</v>
      </c>
      <c r="G513" s="3" t="s">
        <v>2961</v>
      </c>
      <c r="H513" s="24" t="s">
        <v>2962</v>
      </c>
      <c r="I513" s="3" t="s">
        <v>2963</v>
      </c>
      <c r="J513" s="3" t="s">
        <v>154</v>
      </c>
      <c r="K513" s="3" t="s">
        <v>154</v>
      </c>
      <c r="L513" s="3" t="s">
        <v>155</v>
      </c>
      <c r="M513" s="3" t="s">
        <v>2960</v>
      </c>
      <c r="N513" s="20">
        <v>30612</v>
      </c>
      <c r="O513" s="3" t="s">
        <v>2959</v>
      </c>
      <c r="P513" s="3" t="s">
        <v>663</v>
      </c>
      <c r="Q513" s="5"/>
      <c r="R513" s="5"/>
      <c r="S513" s="5"/>
      <c r="T513" s="24"/>
      <c r="U513" s="3" t="b">
        <v>0</v>
      </c>
      <c r="V513" s="5"/>
      <c r="W513" s="64"/>
      <c r="X513" s="64"/>
      <c r="Y513" s="64" t="s">
        <v>2964</v>
      </c>
      <c r="Z513" s="64"/>
      <c r="AA513" s="59" t="s">
        <v>1072</v>
      </c>
      <c r="AB513" s="65"/>
      <c r="AC513" s="68" t="s">
        <v>213</v>
      </c>
      <c r="AD513" s="65" t="s">
        <v>2965</v>
      </c>
      <c r="AE513" s="68" t="s">
        <v>786</v>
      </c>
      <c r="AF513" s="66" t="s">
        <v>2966</v>
      </c>
      <c r="AG513" s="68" t="s">
        <v>2967</v>
      </c>
      <c r="AH513" s="67"/>
      <c r="AI513" s="69"/>
      <c r="AJ513" s="69"/>
      <c r="AK513" s="69"/>
      <c r="AL513" s="86" t="s">
        <v>218</v>
      </c>
      <c r="AM513" s="88"/>
      <c r="AN513" s="88"/>
      <c r="AO513" s="88"/>
      <c r="AP513" s="59" t="s">
        <v>74</v>
      </c>
      <c r="AQ513" s="68" t="s">
        <v>2968</v>
      </c>
      <c r="AR513" s="59"/>
      <c r="AS513" s="68" t="s">
        <v>788</v>
      </c>
      <c r="AT513" s="59" t="s">
        <v>2963</v>
      </c>
      <c r="AU513" s="68" t="s">
        <v>1077</v>
      </c>
    </row>
    <row r="514" spans="1:47" ht="108.75" customHeight="1">
      <c r="A514" s="3" t="s">
        <v>148</v>
      </c>
      <c r="B514" s="3" t="s">
        <v>2829</v>
      </c>
      <c r="C514" s="6">
        <v>46301</v>
      </c>
      <c r="D514" s="3" t="s">
        <v>2969</v>
      </c>
      <c r="E514" s="3" t="s">
        <v>2970</v>
      </c>
      <c r="F514" s="20">
        <f>LEN(G514)</f>
        <v>41</v>
      </c>
      <c r="G514" s="3" t="s">
        <v>2971</v>
      </c>
      <c r="H514" s="24" t="s">
        <v>2348</v>
      </c>
      <c r="I514" s="3" t="s">
        <v>2972</v>
      </c>
      <c r="J514" s="3" t="s">
        <v>154</v>
      </c>
      <c r="K514" s="3" t="s">
        <v>154</v>
      </c>
      <c r="L514" s="3" t="s">
        <v>155</v>
      </c>
      <c r="M514" s="3" t="s">
        <v>2973</v>
      </c>
      <c r="N514" s="20">
        <v>6248</v>
      </c>
      <c r="O514" s="3" t="s">
        <v>2974</v>
      </c>
      <c r="P514" s="3" t="s">
        <v>157</v>
      </c>
      <c r="Q514" s="3" t="s">
        <v>2975</v>
      </c>
      <c r="R514" s="5"/>
      <c r="S514" s="5"/>
      <c r="T514" s="24"/>
      <c r="U514" s="3" t="b">
        <v>0</v>
      </c>
      <c r="V514" s="5"/>
      <c r="W514" s="64"/>
      <c r="X514" s="64"/>
      <c r="Y514" s="64"/>
      <c r="Z514" s="64"/>
      <c r="AA514" s="59" t="s">
        <v>1072</v>
      </c>
      <c r="AB514" s="65"/>
      <c r="AC514" s="68" t="s">
        <v>213</v>
      </c>
      <c r="AD514" s="65" t="s">
        <v>2976</v>
      </c>
      <c r="AE514" s="68" t="s">
        <v>2977</v>
      </c>
      <c r="AF514" s="66" t="s">
        <v>2971</v>
      </c>
      <c r="AG514" s="68" t="s">
        <v>2978</v>
      </c>
      <c r="AH514" s="67"/>
      <c r="AI514" s="69"/>
      <c r="AJ514" s="69"/>
      <c r="AK514" s="69"/>
      <c r="AL514" s="86" t="s">
        <v>218</v>
      </c>
      <c r="AM514" s="89" t="str">
        <f>HYPERLINK("https://mayr.com.sg/wp-content/uploads/2025/03/k_405_v06_gb_16_04_2007.pdf","https://mayr.com.sg/wp-content/uploads/2025/03/k_405_v06_gb_16_04_2007.pdf")</f>
        <v>https://mayr.com.sg/wp-content/uploads/2025/03/k_405_v06_gb_16_04_2007.pdf</v>
      </c>
      <c r="AN514" s="89" t="str">
        <f>HYPERLINK("https://www.mayr.com/en/products/torque-limiters/eas-compact~478","https://www.mayr.com/en/products/torque-limiters/eas-compact~478")</f>
        <v>https://www.mayr.com/en/products/torque-limiters/eas-compact~478</v>
      </c>
      <c r="AO514" s="88"/>
      <c r="AP514" s="59" t="s">
        <v>74</v>
      </c>
      <c r="AQ514" s="68" t="s">
        <v>2979</v>
      </c>
      <c r="AR514" s="59"/>
      <c r="AS514" s="68" t="s">
        <v>746</v>
      </c>
      <c r="AT514" s="59" t="s">
        <v>2972</v>
      </c>
      <c r="AU514" s="68" t="s">
        <v>1077</v>
      </c>
    </row>
    <row r="515" spans="1:47" ht="87" customHeight="1">
      <c r="A515" s="3" t="s">
        <v>148</v>
      </c>
      <c r="B515" s="3" t="s">
        <v>936</v>
      </c>
      <c r="C515" s="6">
        <v>46301</v>
      </c>
      <c r="D515" s="3" t="s">
        <v>2980</v>
      </c>
      <c r="E515" s="3" t="s">
        <v>2981</v>
      </c>
      <c r="F515" s="20">
        <f>LEN(G515)</f>
        <v>93</v>
      </c>
      <c r="G515" s="3" t="s">
        <v>2982</v>
      </c>
      <c r="H515" s="24" t="s">
        <v>2983</v>
      </c>
      <c r="I515" s="3" t="s">
        <v>2984</v>
      </c>
      <c r="J515" s="3" t="s">
        <v>154</v>
      </c>
      <c r="K515" s="3" t="s">
        <v>154</v>
      </c>
      <c r="L515" s="3" t="s">
        <v>155</v>
      </c>
      <c r="M515" s="3" t="s">
        <v>2973</v>
      </c>
      <c r="N515" s="20">
        <v>6248</v>
      </c>
      <c r="O515" s="3" t="s">
        <v>2980</v>
      </c>
      <c r="P515" s="3" t="s">
        <v>943</v>
      </c>
      <c r="Q515" s="5"/>
      <c r="R515" s="5"/>
      <c r="S515" s="5"/>
      <c r="T515" s="24"/>
      <c r="U515" s="3" t="b">
        <v>0</v>
      </c>
      <c r="V515" s="5"/>
      <c r="W515" s="64"/>
      <c r="X515" s="64"/>
      <c r="Y515" s="64"/>
      <c r="Z515" s="64"/>
      <c r="AA515" s="87" t="s">
        <v>2985</v>
      </c>
      <c r="AB515" s="65"/>
      <c r="AC515" s="68" t="s">
        <v>213</v>
      </c>
      <c r="AD515" s="65" t="s">
        <v>2986</v>
      </c>
      <c r="AE515" s="68" t="s">
        <v>786</v>
      </c>
      <c r="AF515" s="66" t="s">
        <v>2987</v>
      </c>
      <c r="AG515" s="68" t="s">
        <v>2988</v>
      </c>
      <c r="AH515" s="67"/>
      <c r="AI515" s="69"/>
      <c r="AJ515" s="69"/>
      <c r="AK515" s="69"/>
      <c r="AL515" s="86" t="s">
        <v>218</v>
      </c>
      <c r="AM515" s="88"/>
      <c r="AN515" s="88"/>
      <c r="AO515" s="88"/>
      <c r="AP515" s="87" t="s">
        <v>76</v>
      </c>
      <c r="AQ515" s="68" t="s">
        <v>2989</v>
      </c>
      <c r="AR515" s="59"/>
      <c r="AS515" s="68" t="s">
        <v>788</v>
      </c>
      <c r="AT515" s="59" t="s">
        <v>2990</v>
      </c>
      <c r="AU515" s="68" t="s">
        <v>223</v>
      </c>
    </row>
    <row r="516" spans="1:47" ht="80.25" customHeight="1">
      <c r="A516" s="3" t="s">
        <v>148</v>
      </c>
      <c r="B516" s="3" t="s">
        <v>2829</v>
      </c>
      <c r="C516" s="6">
        <v>46301</v>
      </c>
      <c r="D516" s="15" t="s">
        <v>2991</v>
      </c>
      <c r="E516" s="3" t="s">
        <v>2992</v>
      </c>
      <c r="F516" s="20">
        <f>LEN(G516)</f>
        <v>40</v>
      </c>
      <c r="G516" s="3" t="s">
        <v>2993</v>
      </c>
      <c r="H516" s="24" t="s">
        <v>2994</v>
      </c>
      <c r="I516" s="3" t="s">
        <v>2995</v>
      </c>
      <c r="J516" s="3" t="s">
        <v>154</v>
      </c>
      <c r="K516" s="3" t="s">
        <v>154</v>
      </c>
      <c r="L516" s="3" t="s">
        <v>155</v>
      </c>
      <c r="M516" s="3" t="s">
        <v>2992</v>
      </c>
      <c r="N516" s="20">
        <v>125421</v>
      </c>
      <c r="O516" s="3" t="s">
        <v>2991</v>
      </c>
      <c r="P516" s="3" t="s">
        <v>157</v>
      </c>
      <c r="Q516" s="3" t="s">
        <v>2996</v>
      </c>
      <c r="R516" s="5"/>
      <c r="S516" s="5"/>
      <c r="T516" s="24"/>
      <c r="U516" s="3" t="b">
        <v>0</v>
      </c>
      <c r="V516" s="5"/>
      <c r="W516" s="64"/>
      <c r="X516" s="64"/>
      <c r="Y516" s="64"/>
      <c r="Z516" s="64"/>
      <c r="AA516" s="59" t="s">
        <v>784</v>
      </c>
      <c r="AB516" s="65"/>
      <c r="AC516" s="68" t="s">
        <v>213</v>
      </c>
      <c r="AD516" s="65" t="s">
        <v>2997</v>
      </c>
      <c r="AE516" s="68" t="s">
        <v>786</v>
      </c>
      <c r="AF516" s="66" t="s">
        <v>2993</v>
      </c>
      <c r="AG516" s="68" t="s">
        <v>2998</v>
      </c>
      <c r="AH516" s="67"/>
      <c r="AI516" s="69"/>
      <c r="AJ516" s="69"/>
      <c r="AK516" s="69"/>
      <c r="AL516" s="86" t="s">
        <v>218</v>
      </c>
      <c r="AM516" s="88"/>
      <c r="AN516" s="88"/>
      <c r="AO516" s="88"/>
      <c r="AP516" s="59" t="s">
        <v>74</v>
      </c>
      <c r="AQ516" s="68" t="s">
        <v>2999</v>
      </c>
      <c r="AR516" s="59"/>
      <c r="AS516" s="68" t="s">
        <v>788</v>
      </c>
      <c r="AT516" s="59" t="s">
        <v>2995</v>
      </c>
      <c r="AU516" s="68" t="s">
        <v>1077</v>
      </c>
    </row>
    <row r="517" spans="1:47" ht="153" customHeight="1">
      <c r="A517" s="3" t="s">
        <v>148</v>
      </c>
      <c r="B517" s="3" t="s">
        <v>2829</v>
      </c>
      <c r="C517" s="6">
        <v>46301</v>
      </c>
      <c r="D517" s="3" t="s">
        <v>3000</v>
      </c>
      <c r="E517" s="3" t="s">
        <v>3001</v>
      </c>
      <c r="F517" s="20">
        <f>LEN(G517)</f>
        <v>59</v>
      </c>
      <c r="G517" s="3" t="s">
        <v>3002</v>
      </c>
      <c r="H517" s="24" t="s">
        <v>3003</v>
      </c>
      <c r="I517" s="5"/>
      <c r="J517" s="3" t="s">
        <v>615</v>
      </c>
      <c r="K517" s="3" t="s">
        <v>615</v>
      </c>
      <c r="L517" s="3" t="s">
        <v>155</v>
      </c>
      <c r="M517" s="3" t="s">
        <v>3001</v>
      </c>
      <c r="N517" s="20">
        <v>144465</v>
      </c>
      <c r="O517" s="3" t="s">
        <v>3000</v>
      </c>
      <c r="P517" s="3" t="s">
        <v>157</v>
      </c>
      <c r="Q517" s="5"/>
      <c r="R517" s="5"/>
      <c r="S517" s="5"/>
      <c r="T517" s="24"/>
      <c r="U517" s="3" t="b">
        <v>0</v>
      </c>
      <c r="V517" s="5"/>
      <c r="W517" s="64"/>
      <c r="X517" s="64"/>
      <c r="Y517" s="64" t="s">
        <v>3004</v>
      </c>
      <c r="Z517" s="64"/>
      <c r="AA517" s="59" t="s">
        <v>3005</v>
      </c>
      <c r="AB517" s="65"/>
      <c r="AC517" s="68" t="s">
        <v>213</v>
      </c>
      <c r="AD517" s="65" t="s">
        <v>3006</v>
      </c>
      <c r="AE517" s="68" t="s">
        <v>3007</v>
      </c>
      <c r="AF517" s="66" t="s">
        <v>3002</v>
      </c>
      <c r="AG517" s="68" t="s">
        <v>1075</v>
      </c>
      <c r="AH517" s="67"/>
      <c r="AI517" s="69"/>
      <c r="AJ517" s="69"/>
      <c r="AK517" s="69"/>
      <c r="AL517" s="86" t="s">
        <v>218</v>
      </c>
      <c r="AM517" s="88"/>
      <c r="AN517" s="89" t="str">
        <f>HYPERLINK("https://www.intralox.com/de/belt-finder/modular-plastic-belting/series-2400/radius-flush-grid-2-2","https://www.intralox.com/de/belt-finder/modular-plastic-belting/series-2400/radius-flush-grid-2-2")</f>
        <v>https://www.intralox.com/de/belt-finder/modular-plastic-belting/series-2400/radius-flush-grid-2-2</v>
      </c>
      <c r="AO517" s="88"/>
      <c r="AP517" s="59" t="s">
        <v>74</v>
      </c>
      <c r="AQ517" s="68" t="s">
        <v>3008</v>
      </c>
      <c r="AR517" s="59" t="s">
        <v>2002</v>
      </c>
      <c r="AS517" s="68" t="s">
        <v>3009</v>
      </c>
      <c r="AT517" s="59"/>
      <c r="AU517" s="68" t="s">
        <v>747</v>
      </c>
    </row>
    <row r="518" spans="1:47" ht="45" customHeight="1">
      <c r="A518" s="3" t="s">
        <v>148</v>
      </c>
      <c r="B518" s="5"/>
      <c r="C518" s="6"/>
      <c r="D518" s="3"/>
      <c r="E518" s="5"/>
      <c r="F518" s="20">
        <f>LEN(G518)</f>
        <v>0</v>
      </c>
      <c r="G518" s="5"/>
      <c r="H518" s="24"/>
      <c r="I518" s="5"/>
      <c r="J518" s="5"/>
      <c r="K518" s="5"/>
      <c r="L518" s="3" t="s">
        <v>155</v>
      </c>
      <c r="M518" s="5"/>
      <c r="N518" s="4"/>
      <c r="O518" s="5"/>
      <c r="P518" s="5"/>
      <c r="Q518" s="5"/>
      <c r="R518" s="5"/>
      <c r="S518" s="5"/>
      <c r="T518" s="24"/>
      <c r="U518" s="3" t="b">
        <v>0</v>
      </c>
      <c r="V518" s="5"/>
    </row>
    <row r="519" spans="1:47" ht="45" customHeight="1">
      <c r="A519" s="3" t="s">
        <v>148</v>
      </c>
      <c r="B519" s="5"/>
      <c r="C519" s="6"/>
      <c r="D519" s="3"/>
      <c r="E519" s="5"/>
      <c r="F519" s="20">
        <f>LEN(G519)</f>
        <v>0</v>
      </c>
      <c r="G519" s="5"/>
      <c r="H519" s="24"/>
      <c r="I519" s="5"/>
      <c r="J519" s="5"/>
      <c r="K519" s="5"/>
      <c r="L519" s="3" t="s">
        <v>155</v>
      </c>
      <c r="M519" s="5"/>
      <c r="N519" s="4"/>
      <c r="O519" s="5"/>
      <c r="P519" s="5"/>
      <c r="Q519" s="5"/>
      <c r="R519" s="5"/>
      <c r="S519" s="5"/>
      <c r="T519" s="24"/>
      <c r="U519" s="3" t="b">
        <v>0</v>
      </c>
      <c r="V519" s="5"/>
    </row>
    <row r="520" spans="1:47" ht="45" customHeight="1">
      <c r="A520" s="3" t="s">
        <v>148</v>
      </c>
      <c r="B520" s="5"/>
      <c r="C520" s="6"/>
      <c r="D520" s="3"/>
      <c r="E520" s="5"/>
      <c r="F520" s="20">
        <f>LEN(G520)</f>
        <v>0</v>
      </c>
      <c r="G520" s="5"/>
      <c r="H520" s="24"/>
      <c r="I520" s="5"/>
      <c r="J520" s="5"/>
      <c r="K520" s="5"/>
      <c r="L520" s="3" t="s">
        <v>155</v>
      </c>
      <c r="M520" s="5"/>
      <c r="N520" s="4"/>
      <c r="O520" s="5"/>
      <c r="P520" s="5"/>
      <c r="Q520" s="5"/>
      <c r="R520" s="5"/>
      <c r="S520" s="5"/>
      <c r="T520" s="24"/>
      <c r="U520" s="3" t="b">
        <v>0</v>
      </c>
      <c r="V520" s="5"/>
    </row>
    <row r="521" spans="1:47" ht="45" customHeight="1">
      <c r="A521" s="3" t="s">
        <v>148</v>
      </c>
      <c r="B521" s="5"/>
      <c r="C521" s="6"/>
      <c r="D521" s="3"/>
      <c r="E521" s="5"/>
      <c r="F521" s="20">
        <f>LEN(G521)</f>
        <v>0</v>
      </c>
      <c r="G521" s="5"/>
      <c r="H521" s="24"/>
      <c r="I521" s="5"/>
      <c r="J521" s="5"/>
      <c r="K521" s="5"/>
      <c r="L521" s="3" t="s">
        <v>155</v>
      </c>
      <c r="M521" s="5"/>
      <c r="N521" s="4"/>
      <c r="O521" s="5"/>
      <c r="P521" s="5"/>
      <c r="Q521" s="5"/>
      <c r="R521" s="5"/>
      <c r="S521" s="5"/>
      <c r="T521" s="24"/>
      <c r="U521" s="3" t="b">
        <v>0</v>
      </c>
      <c r="V521" s="5"/>
    </row>
    <row r="522" spans="1:47" ht="45" customHeight="1">
      <c r="A522" s="3" t="s">
        <v>148</v>
      </c>
      <c r="B522" s="5"/>
      <c r="C522" s="6"/>
      <c r="D522" s="3"/>
      <c r="E522" s="5"/>
      <c r="F522" s="20">
        <f>LEN(G522)</f>
        <v>0</v>
      </c>
      <c r="G522" s="5"/>
      <c r="H522" s="24"/>
      <c r="I522" s="5"/>
      <c r="J522" s="5"/>
      <c r="K522" s="5"/>
      <c r="L522" s="3" t="s">
        <v>155</v>
      </c>
      <c r="M522" s="5"/>
      <c r="N522" s="4"/>
      <c r="O522" s="5"/>
      <c r="P522" s="5"/>
      <c r="Q522" s="5"/>
      <c r="R522" s="5"/>
      <c r="S522" s="5"/>
      <c r="T522" s="24"/>
      <c r="U522" s="3" t="b">
        <v>0</v>
      </c>
      <c r="V522" s="5"/>
    </row>
    <row r="523" spans="1:47" ht="45" customHeight="1">
      <c r="A523" s="3" t="s">
        <v>148</v>
      </c>
      <c r="B523" s="5"/>
      <c r="C523" s="6"/>
      <c r="D523" s="3"/>
      <c r="E523" s="5"/>
      <c r="F523" s="20">
        <f>LEN(G523)</f>
        <v>0</v>
      </c>
      <c r="G523" s="5"/>
      <c r="H523" s="24"/>
      <c r="I523" s="5"/>
      <c r="J523" s="5"/>
      <c r="K523" s="5"/>
      <c r="L523" s="3" t="s">
        <v>155</v>
      </c>
      <c r="M523" s="5"/>
      <c r="N523" s="4"/>
      <c r="O523" s="5"/>
      <c r="P523" s="5"/>
      <c r="Q523" s="5"/>
      <c r="R523" s="5"/>
      <c r="S523" s="5"/>
      <c r="T523" s="24"/>
      <c r="U523" s="3" t="b">
        <v>0</v>
      </c>
      <c r="V523" s="5"/>
    </row>
    <row r="524" spans="1:47" ht="45" customHeight="1">
      <c r="A524" s="3" t="s">
        <v>148</v>
      </c>
      <c r="B524" s="5"/>
      <c r="C524" s="6"/>
      <c r="D524" s="3"/>
      <c r="E524" s="5"/>
      <c r="F524" s="20">
        <f>LEN(G524)</f>
        <v>0</v>
      </c>
      <c r="G524" s="5"/>
      <c r="H524" s="24"/>
      <c r="I524" s="5"/>
      <c r="J524" s="5"/>
      <c r="K524" s="5"/>
      <c r="L524" s="3" t="s">
        <v>155</v>
      </c>
      <c r="M524" s="5"/>
      <c r="N524" s="4"/>
      <c r="O524" s="5"/>
      <c r="P524" s="5"/>
      <c r="Q524" s="5"/>
      <c r="R524" s="5"/>
      <c r="S524" s="5"/>
      <c r="T524" s="24"/>
      <c r="U524" s="3" t="b">
        <v>0</v>
      </c>
      <c r="V524" s="5"/>
    </row>
    <row r="525" spans="1:47" ht="45" customHeight="1">
      <c r="A525" s="3" t="s">
        <v>148</v>
      </c>
      <c r="B525" s="5"/>
      <c r="C525" s="6"/>
      <c r="D525" s="3"/>
      <c r="E525" s="5"/>
      <c r="F525" s="20">
        <f>LEN(G525)</f>
        <v>0</v>
      </c>
      <c r="G525" s="5"/>
      <c r="H525" s="24"/>
      <c r="I525" s="5"/>
      <c r="J525" s="5"/>
      <c r="K525" s="5"/>
      <c r="L525" s="3" t="s">
        <v>155</v>
      </c>
      <c r="M525" s="5"/>
      <c r="N525" s="4"/>
      <c r="O525" s="5"/>
      <c r="P525" s="5"/>
      <c r="Q525" s="5"/>
      <c r="R525" s="5"/>
      <c r="S525" s="5"/>
      <c r="T525" s="24"/>
      <c r="U525" s="3" t="b">
        <v>0</v>
      </c>
      <c r="V525" s="5"/>
    </row>
    <row r="526" spans="1:47" ht="45" customHeight="1">
      <c r="A526" s="3" t="s">
        <v>148</v>
      </c>
      <c r="B526" s="5"/>
      <c r="C526" s="6"/>
      <c r="D526" s="3"/>
      <c r="E526" s="5"/>
      <c r="F526" s="20">
        <f>LEN(G526)</f>
        <v>0</v>
      </c>
      <c r="G526" s="5"/>
      <c r="H526" s="24"/>
      <c r="I526" s="5"/>
      <c r="J526" s="5"/>
      <c r="K526" s="5"/>
      <c r="L526" s="3" t="s">
        <v>155</v>
      </c>
      <c r="M526" s="5"/>
      <c r="N526" s="4"/>
      <c r="O526" s="5"/>
      <c r="P526" s="5"/>
      <c r="Q526" s="5"/>
      <c r="R526" s="5"/>
      <c r="S526" s="5"/>
      <c r="T526" s="24"/>
      <c r="U526" s="3" t="b">
        <v>0</v>
      </c>
      <c r="V526" s="5"/>
    </row>
    <row r="527" spans="1:47" ht="45" customHeight="1">
      <c r="A527" s="3" t="s">
        <v>148</v>
      </c>
      <c r="B527" s="5"/>
      <c r="C527" s="6"/>
      <c r="D527" s="3"/>
      <c r="E527" s="5"/>
      <c r="F527" s="20">
        <f>LEN(G527)</f>
        <v>0</v>
      </c>
      <c r="G527" s="5"/>
      <c r="H527" s="24"/>
      <c r="I527" s="5"/>
      <c r="J527" s="5"/>
      <c r="K527" s="5"/>
      <c r="L527" s="3" t="s">
        <v>155</v>
      </c>
      <c r="M527" s="5"/>
      <c r="N527" s="4"/>
      <c r="O527" s="5"/>
      <c r="P527" s="5"/>
      <c r="Q527" s="5"/>
      <c r="R527" s="5"/>
      <c r="S527" s="5"/>
      <c r="T527" s="24"/>
      <c r="U527" s="3" t="b">
        <v>0</v>
      </c>
      <c r="V527" s="5"/>
    </row>
    <row r="528" spans="1:47" ht="45" customHeight="1">
      <c r="A528" s="3" t="s">
        <v>148</v>
      </c>
      <c r="B528" s="5"/>
      <c r="C528" s="6"/>
      <c r="D528" s="3"/>
      <c r="E528" s="5"/>
      <c r="F528" s="20">
        <f>LEN(G528)</f>
        <v>0</v>
      </c>
      <c r="G528" s="5"/>
      <c r="H528" s="24"/>
      <c r="I528" s="5"/>
      <c r="J528" s="5"/>
      <c r="K528" s="5"/>
      <c r="L528" s="3" t="s">
        <v>155</v>
      </c>
      <c r="M528" s="5"/>
      <c r="N528" s="4"/>
      <c r="O528" s="5"/>
      <c r="P528" s="5"/>
      <c r="Q528" s="5"/>
      <c r="R528" s="5"/>
      <c r="S528" s="5"/>
      <c r="T528" s="24"/>
      <c r="U528" s="3" t="b">
        <v>0</v>
      </c>
      <c r="V528" s="5"/>
    </row>
    <row r="529" spans="1:22" ht="45" customHeight="1">
      <c r="A529" s="3" t="s">
        <v>148</v>
      </c>
      <c r="B529" s="5"/>
      <c r="C529" s="6"/>
      <c r="D529" s="3"/>
      <c r="E529" s="5"/>
      <c r="F529" s="20">
        <f>LEN(G529)</f>
        <v>0</v>
      </c>
      <c r="G529" s="5"/>
      <c r="H529" s="24"/>
      <c r="I529" s="5"/>
      <c r="J529" s="5"/>
      <c r="K529" s="5"/>
      <c r="L529" s="3" t="s">
        <v>155</v>
      </c>
      <c r="M529" s="5"/>
      <c r="N529" s="4"/>
      <c r="O529" s="5"/>
      <c r="P529" s="5"/>
      <c r="Q529" s="5"/>
      <c r="R529" s="5"/>
      <c r="S529" s="5"/>
      <c r="T529" s="24"/>
      <c r="U529" s="3" t="b">
        <v>0</v>
      </c>
      <c r="V529" s="5"/>
    </row>
    <row r="530" spans="1:22" ht="45" customHeight="1">
      <c r="A530" s="3" t="s">
        <v>148</v>
      </c>
      <c r="B530" s="5"/>
      <c r="C530" s="6"/>
      <c r="D530" s="3"/>
      <c r="E530" s="5"/>
      <c r="F530" s="20">
        <f>LEN(G530)</f>
        <v>0</v>
      </c>
      <c r="G530" s="5"/>
      <c r="H530" s="24"/>
      <c r="I530" s="5"/>
      <c r="J530" s="5"/>
      <c r="K530" s="5"/>
      <c r="L530" s="3" t="s">
        <v>155</v>
      </c>
      <c r="M530" s="5"/>
      <c r="N530" s="4"/>
      <c r="O530" s="5"/>
      <c r="P530" s="5"/>
      <c r="Q530" s="5"/>
      <c r="R530" s="5"/>
      <c r="S530" s="5"/>
      <c r="T530" s="24"/>
      <c r="U530" s="3" t="b">
        <v>0</v>
      </c>
      <c r="V530" s="5"/>
    </row>
    <row r="531" spans="1:22" ht="45" customHeight="1">
      <c r="A531" s="3" t="s">
        <v>148</v>
      </c>
      <c r="B531" s="5"/>
      <c r="C531" s="6"/>
      <c r="D531" s="3"/>
      <c r="E531" s="5"/>
      <c r="F531" s="20">
        <f>LEN(G531)</f>
        <v>0</v>
      </c>
      <c r="G531" s="5"/>
      <c r="H531" s="24"/>
      <c r="I531" s="5"/>
      <c r="J531" s="5"/>
      <c r="K531" s="5"/>
      <c r="L531" s="3" t="s">
        <v>155</v>
      </c>
      <c r="M531" s="5"/>
      <c r="N531" s="4"/>
      <c r="O531" s="5"/>
      <c r="P531" s="5"/>
      <c r="Q531" s="5"/>
      <c r="R531" s="5"/>
      <c r="S531" s="5"/>
      <c r="T531" s="24"/>
      <c r="U531" s="3" t="b">
        <v>0</v>
      </c>
      <c r="V531" s="5"/>
    </row>
    <row r="532" spans="1:22" ht="45" customHeight="1">
      <c r="A532" s="3" t="s">
        <v>148</v>
      </c>
      <c r="B532" s="5"/>
      <c r="C532" s="6"/>
      <c r="D532" s="3"/>
      <c r="E532" s="5"/>
      <c r="F532" s="20">
        <f>LEN(G532)</f>
        <v>0</v>
      </c>
      <c r="G532" s="5"/>
      <c r="H532" s="24"/>
      <c r="I532" s="5"/>
      <c r="J532" s="5"/>
      <c r="K532" s="5"/>
      <c r="L532" s="3" t="s">
        <v>155</v>
      </c>
      <c r="M532" s="5"/>
      <c r="N532" s="4"/>
      <c r="O532" s="5"/>
      <c r="P532" s="5"/>
      <c r="Q532" s="5"/>
      <c r="R532" s="5"/>
      <c r="S532" s="5"/>
      <c r="T532" s="24"/>
      <c r="U532" s="3" t="b">
        <v>0</v>
      </c>
      <c r="V532" s="5"/>
    </row>
    <row r="533" spans="1:22" ht="45" customHeight="1">
      <c r="A533" s="3" t="s">
        <v>148</v>
      </c>
      <c r="B533" s="5"/>
      <c r="C533" s="6"/>
      <c r="D533" s="3"/>
      <c r="E533" s="5"/>
      <c r="F533" s="20">
        <f>LEN(G533)</f>
        <v>0</v>
      </c>
      <c r="G533" s="5"/>
      <c r="H533" s="24"/>
      <c r="I533" s="5"/>
      <c r="J533" s="5"/>
      <c r="K533" s="5"/>
      <c r="L533" s="3" t="s">
        <v>155</v>
      </c>
      <c r="M533" s="5"/>
      <c r="N533" s="4"/>
      <c r="O533" s="5"/>
      <c r="P533" s="5"/>
      <c r="Q533" s="5"/>
      <c r="R533" s="5"/>
      <c r="S533" s="5"/>
      <c r="T533" s="24"/>
      <c r="U533" s="3" t="b">
        <v>0</v>
      </c>
      <c r="V533" s="5"/>
    </row>
    <row r="534" spans="1:22" ht="45" customHeight="1">
      <c r="A534" s="3" t="s">
        <v>148</v>
      </c>
      <c r="B534" s="5"/>
      <c r="C534" s="6"/>
      <c r="D534" s="3"/>
      <c r="E534" s="5"/>
      <c r="F534" s="20">
        <f>LEN(G534)</f>
        <v>0</v>
      </c>
      <c r="G534" s="5"/>
      <c r="H534" s="24"/>
      <c r="I534" s="5"/>
      <c r="J534" s="5"/>
      <c r="K534" s="5"/>
      <c r="L534" s="3" t="s">
        <v>155</v>
      </c>
      <c r="M534" s="5"/>
      <c r="N534" s="4"/>
      <c r="O534" s="5"/>
      <c r="P534" s="5"/>
      <c r="Q534" s="5"/>
      <c r="R534" s="5"/>
      <c r="S534" s="5"/>
      <c r="T534" s="24"/>
      <c r="U534" s="3" t="b">
        <v>0</v>
      </c>
      <c r="V534" s="5"/>
    </row>
    <row r="535" spans="1:22" ht="45" customHeight="1">
      <c r="A535" s="3" t="s">
        <v>148</v>
      </c>
      <c r="B535" s="5"/>
      <c r="C535" s="6"/>
      <c r="D535" s="3"/>
      <c r="E535" s="5"/>
      <c r="F535" s="20">
        <f>LEN(G535)</f>
        <v>0</v>
      </c>
      <c r="G535" s="5"/>
      <c r="H535" s="24"/>
      <c r="I535" s="5"/>
      <c r="J535" s="5"/>
      <c r="K535" s="5"/>
      <c r="L535" s="3" t="s">
        <v>155</v>
      </c>
      <c r="M535" s="5"/>
      <c r="N535" s="4"/>
      <c r="O535" s="5"/>
      <c r="P535" s="5"/>
      <c r="Q535" s="5"/>
      <c r="R535" s="5"/>
      <c r="S535" s="5"/>
      <c r="T535" s="24"/>
      <c r="U535" s="3" t="b">
        <v>0</v>
      </c>
      <c r="V535" s="5"/>
    </row>
    <row r="536" spans="1:22" ht="45" customHeight="1">
      <c r="A536" s="3" t="s">
        <v>148</v>
      </c>
      <c r="B536" s="5"/>
      <c r="C536" s="6"/>
      <c r="D536" s="3"/>
      <c r="E536" s="5"/>
      <c r="F536" s="20">
        <f>LEN(G536)</f>
        <v>0</v>
      </c>
      <c r="G536" s="5"/>
      <c r="H536" s="24"/>
      <c r="I536" s="5"/>
      <c r="J536" s="5"/>
      <c r="K536" s="5"/>
      <c r="L536" s="3" t="s">
        <v>155</v>
      </c>
      <c r="M536" s="5"/>
      <c r="N536" s="4"/>
      <c r="O536" s="5"/>
      <c r="P536" s="5"/>
      <c r="Q536" s="5"/>
      <c r="R536" s="5"/>
      <c r="S536" s="5"/>
      <c r="T536" s="24"/>
      <c r="U536" s="3" t="b">
        <v>0</v>
      </c>
      <c r="V536" s="5"/>
    </row>
    <row r="537" spans="1:22" ht="45" customHeight="1">
      <c r="A537" s="3" t="s">
        <v>148</v>
      </c>
      <c r="B537" s="5"/>
      <c r="C537" s="6"/>
      <c r="D537" s="3"/>
      <c r="E537" s="5"/>
      <c r="F537" s="20">
        <f>LEN(G537)</f>
        <v>0</v>
      </c>
      <c r="G537" s="5"/>
      <c r="H537" s="24"/>
      <c r="I537" s="5"/>
      <c r="J537" s="5"/>
      <c r="K537" s="5"/>
      <c r="L537" s="3" t="s">
        <v>155</v>
      </c>
      <c r="M537" s="5"/>
      <c r="N537" s="4"/>
      <c r="O537" s="5"/>
      <c r="P537" s="5"/>
      <c r="Q537" s="5"/>
      <c r="R537" s="5"/>
      <c r="S537" s="5"/>
      <c r="T537" s="24"/>
      <c r="U537" s="3" t="b">
        <v>0</v>
      </c>
      <c r="V537" s="5"/>
    </row>
    <row r="538" spans="1:22" ht="45" customHeight="1">
      <c r="A538" s="3" t="s">
        <v>148</v>
      </c>
      <c r="B538" s="5"/>
      <c r="C538" s="6"/>
      <c r="D538" s="3"/>
      <c r="E538" s="5"/>
      <c r="F538" s="20">
        <f>LEN(G538)</f>
        <v>0</v>
      </c>
      <c r="G538" s="5"/>
      <c r="H538" s="24"/>
      <c r="I538" s="5"/>
      <c r="J538" s="5"/>
      <c r="K538" s="5"/>
      <c r="L538" s="3" t="s">
        <v>155</v>
      </c>
      <c r="M538" s="5"/>
      <c r="N538" s="4"/>
      <c r="O538" s="5"/>
      <c r="P538" s="5"/>
      <c r="Q538" s="5"/>
      <c r="R538" s="5"/>
      <c r="S538" s="5"/>
      <c r="T538" s="24"/>
      <c r="U538" s="3" t="b">
        <v>0</v>
      </c>
      <c r="V538" s="5"/>
    </row>
    <row r="539" spans="1:22" ht="45" customHeight="1">
      <c r="A539" s="3" t="s">
        <v>148</v>
      </c>
      <c r="B539" s="5"/>
      <c r="C539" s="6"/>
      <c r="D539" s="3"/>
      <c r="E539" s="5"/>
      <c r="F539" s="20">
        <f>LEN(G539)</f>
        <v>0</v>
      </c>
      <c r="G539" s="5"/>
      <c r="H539" s="24"/>
      <c r="I539" s="5"/>
      <c r="J539" s="5"/>
      <c r="K539" s="5"/>
      <c r="L539" s="3" t="s">
        <v>155</v>
      </c>
      <c r="M539" s="5"/>
      <c r="N539" s="4"/>
      <c r="O539" s="5"/>
      <c r="P539" s="5"/>
      <c r="Q539" s="5"/>
      <c r="R539" s="5"/>
      <c r="S539" s="5"/>
      <c r="T539" s="24"/>
      <c r="U539" s="3" t="b">
        <v>0</v>
      </c>
      <c r="V539" s="5"/>
    </row>
    <row r="540" spans="1:22" ht="45" customHeight="1">
      <c r="A540" s="3" t="s">
        <v>148</v>
      </c>
      <c r="B540" s="5"/>
      <c r="C540" s="6"/>
      <c r="D540" s="3"/>
      <c r="E540" s="5"/>
      <c r="F540" s="20">
        <f>LEN(G540)</f>
        <v>0</v>
      </c>
      <c r="G540" s="5"/>
      <c r="H540" s="24"/>
      <c r="I540" s="5"/>
      <c r="J540" s="5"/>
      <c r="K540" s="5"/>
      <c r="L540" s="3" t="s">
        <v>155</v>
      </c>
      <c r="M540" s="5"/>
      <c r="N540" s="4"/>
      <c r="O540" s="5"/>
      <c r="P540" s="5"/>
      <c r="Q540" s="5"/>
      <c r="R540" s="5"/>
      <c r="S540" s="5"/>
      <c r="T540" s="24"/>
      <c r="U540" s="3" t="b">
        <v>0</v>
      </c>
      <c r="V540" s="5"/>
    </row>
    <row r="541" spans="1:22" ht="45" customHeight="1">
      <c r="A541" s="3" t="s">
        <v>148</v>
      </c>
      <c r="B541" s="5"/>
      <c r="C541" s="6"/>
      <c r="D541" s="3"/>
      <c r="E541" s="5"/>
      <c r="F541" s="20">
        <f>LEN(G541)</f>
        <v>0</v>
      </c>
      <c r="G541" s="5"/>
      <c r="H541" s="24"/>
      <c r="I541" s="5"/>
      <c r="J541" s="5"/>
      <c r="K541" s="5"/>
      <c r="L541" s="3" t="s">
        <v>155</v>
      </c>
      <c r="M541" s="5"/>
      <c r="N541" s="4"/>
      <c r="O541" s="5"/>
      <c r="P541" s="5"/>
      <c r="Q541" s="5"/>
      <c r="R541" s="5"/>
      <c r="S541" s="5"/>
      <c r="T541" s="24"/>
      <c r="U541" s="3" t="b">
        <v>0</v>
      </c>
      <c r="V541" s="5"/>
    </row>
    <row r="542" spans="1:22" ht="45" customHeight="1">
      <c r="A542" s="3" t="s">
        <v>148</v>
      </c>
      <c r="B542" s="5"/>
      <c r="C542" s="6"/>
      <c r="D542" s="3"/>
      <c r="E542" s="5"/>
      <c r="F542" s="20">
        <f>LEN(G542)</f>
        <v>0</v>
      </c>
      <c r="G542" s="5"/>
      <c r="H542" s="24"/>
      <c r="I542" s="5"/>
      <c r="J542" s="5"/>
      <c r="K542" s="5"/>
      <c r="L542" s="3" t="s">
        <v>155</v>
      </c>
      <c r="M542" s="5"/>
      <c r="N542" s="4"/>
      <c r="O542" s="5"/>
      <c r="P542" s="5"/>
      <c r="Q542" s="5"/>
      <c r="R542" s="5"/>
      <c r="S542" s="5"/>
      <c r="T542" s="24"/>
      <c r="U542" s="3" t="b">
        <v>0</v>
      </c>
      <c r="V542" s="5"/>
    </row>
    <row r="543" spans="1:22" ht="45" customHeight="1">
      <c r="A543" s="3" t="s">
        <v>148</v>
      </c>
      <c r="B543" s="5"/>
      <c r="C543" s="6"/>
      <c r="D543" s="3"/>
      <c r="E543" s="5"/>
      <c r="F543" s="20">
        <f>LEN(G543)</f>
        <v>0</v>
      </c>
      <c r="G543" s="5"/>
      <c r="H543" s="24"/>
      <c r="I543" s="5"/>
      <c r="J543" s="5"/>
      <c r="K543" s="5"/>
      <c r="L543" s="3" t="s">
        <v>155</v>
      </c>
      <c r="M543" s="5"/>
      <c r="N543" s="4"/>
      <c r="O543" s="5"/>
      <c r="P543" s="5"/>
      <c r="Q543" s="5"/>
      <c r="R543" s="5"/>
      <c r="S543" s="5"/>
      <c r="T543" s="24"/>
      <c r="U543" s="3" t="b">
        <v>0</v>
      </c>
      <c r="V543" s="5"/>
    </row>
    <row r="544" spans="1:22" ht="45" customHeight="1">
      <c r="A544" s="3" t="s">
        <v>148</v>
      </c>
      <c r="B544" s="5"/>
      <c r="C544" s="6"/>
      <c r="D544" s="3"/>
      <c r="E544" s="5"/>
      <c r="F544" s="20">
        <f>LEN(G544)</f>
        <v>0</v>
      </c>
      <c r="G544" s="5"/>
      <c r="H544" s="24"/>
      <c r="I544" s="5"/>
      <c r="J544" s="5"/>
      <c r="K544" s="5"/>
      <c r="L544" s="3" t="s">
        <v>155</v>
      </c>
      <c r="M544" s="5"/>
      <c r="N544" s="4"/>
      <c r="O544" s="5"/>
      <c r="P544" s="5"/>
      <c r="Q544" s="5"/>
      <c r="R544" s="5"/>
      <c r="S544" s="5"/>
      <c r="T544" s="24"/>
      <c r="U544" s="3" t="b">
        <v>0</v>
      </c>
      <c r="V544" s="5"/>
    </row>
    <row r="545" spans="1:22" ht="45" customHeight="1">
      <c r="A545" s="3" t="s">
        <v>148</v>
      </c>
      <c r="B545" s="5"/>
      <c r="C545" s="6"/>
      <c r="D545" s="3"/>
      <c r="E545" s="5"/>
      <c r="F545" s="20">
        <f>LEN(G545)</f>
        <v>0</v>
      </c>
      <c r="G545" s="5"/>
      <c r="H545" s="24"/>
      <c r="I545" s="5"/>
      <c r="J545" s="5"/>
      <c r="K545" s="5"/>
      <c r="L545" s="3" t="s">
        <v>155</v>
      </c>
      <c r="M545" s="5"/>
      <c r="N545" s="4"/>
      <c r="O545" s="5"/>
      <c r="P545" s="5"/>
      <c r="Q545" s="5"/>
      <c r="R545" s="5"/>
      <c r="S545" s="5"/>
      <c r="T545" s="24"/>
      <c r="U545" s="3" t="b">
        <v>0</v>
      </c>
      <c r="V545" s="5"/>
    </row>
    <row r="546" spans="1:22" ht="45" customHeight="1">
      <c r="A546" s="3" t="s">
        <v>148</v>
      </c>
      <c r="B546" s="5"/>
      <c r="C546" s="6"/>
      <c r="D546" s="3"/>
      <c r="E546" s="5"/>
      <c r="F546" s="20">
        <f>LEN(G546)</f>
        <v>0</v>
      </c>
      <c r="G546" s="5"/>
      <c r="H546" s="24"/>
      <c r="I546" s="5"/>
      <c r="J546" s="5"/>
      <c r="K546" s="5"/>
      <c r="L546" s="3" t="s">
        <v>155</v>
      </c>
      <c r="M546" s="5"/>
      <c r="N546" s="4"/>
      <c r="O546" s="5"/>
      <c r="P546" s="5"/>
      <c r="Q546" s="5"/>
      <c r="R546" s="5"/>
      <c r="S546" s="5"/>
      <c r="T546" s="24"/>
      <c r="U546" s="3" t="b">
        <v>0</v>
      </c>
      <c r="V546" s="5"/>
    </row>
    <row r="547" spans="1:22" ht="45" customHeight="1">
      <c r="A547" s="3" t="s">
        <v>148</v>
      </c>
      <c r="B547" s="5"/>
      <c r="C547" s="6"/>
      <c r="D547" s="3"/>
      <c r="E547" s="5"/>
      <c r="F547" s="20">
        <f>LEN(G547)</f>
        <v>0</v>
      </c>
      <c r="G547" s="5"/>
      <c r="H547" s="24"/>
      <c r="I547" s="5"/>
      <c r="J547" s="5"/>
      <c r="K547" s="5"/>
      <c r="L547" s="3" t="s">
        <v>155</v>
      </c>
      <c r="M547" s="5"/>
      <c r="N547" s="4"/>
      <c r="O547" s="5"/>
      <c r="P547" s="5"/>
      <c r="Q547" s="5"/>
      <c r="R547" s="5"/>
      <c r="S547" s="5"/>
      <c r="T547" s="24"/>
      <c r="U547" s="3" t="b">
        <v>0</v>
      </c>
      <c r="V547" s="5"/>
    </row>
    <row r="548" spans="1:22" ht="45" customHeight="1">
      <c r="A548" s="3" t="s">
        <v>148</v>
      </c>
      <c r="B548" s="5"/>
      <c r="C548" s="6"/>
      <c r="D548" s="3"/>
      <c r="E548" s="5"/>
      <c r="F548" s="20">
        <f>LEN(G548)</f>
        <v>0</v>
      </c>
      <c r="G548" s="5"/>
      <c r="H548" s="24"/>
      <c r="I548" s="5"/>
      <c r="J548" s="5"/>
      <c r="K548" s="5"/>
      <c r="L548" s="3" t="s">
        <v>155</v>
      </c>
      <c r="M548" s="5"/>
      <c r="N548" s="4"/>
      <c r="O548" s="5"/>
      <c r="P548" s="5"/>
      <c r="Q548" s="5"/>
      <c r="R548" s="5"/>
      <c r="S548" s="5"/>
      <c r="T548" s="24"/>
      <c r="U548" s="3" t="b">
        <v>0</v>
      </c>
      <c r="V548" s="5"/>
    </row>
    <row r="549" spans="1:22" ht="45" customHeight="1">
      <c r="A549" s="3" t="s">
        <v>148</v>
      </c>
      <c r="B549" s="5"/>
      <c r="C549" s="6"/>
      <c r="D549" s="3"/>
      <c r="E549" s="5"/>
      <c r="F549" s="20">
        <f>LEN(G549)</f>
        <v>0</v>
      </c>
      <c r="G549" s="5"/>
      <c r="H549" s="24"/>
      <c r="I549" s="5"/>
      <c r="J549" s="5"/>
      <c r="K549" s="5"/>
      <c r="L549" s="3" t="s">
        <v>155</v>
      </c>
      <c r="M549" s="5"/>
      <c r="N549" s="4"/>
      <c r="O549" s="5"/>
      <c r="P549" s="5"/>
      <c r="Q549" s="5"/>
      <c r="R549" s="5"/>
      <c r="S549" s="5"/>
      <c r="T549" s="24"/>
      <c r="U549" s="3" t="b">
        <v>0</v>
      </c>
      <c r="V549" s="5"/>
    </row>
    <row r="550" spans="1:22" ht="45" customHeight="1">
      <c r="A550" s="3" t="s">
        <v>148</v>
      </c>
      <c r="B550" s="5"/>
      <c r="C550" s="6"/>
      <c r="D550" s="3"/>
      <c r="E550" s="5"/>
      <c r="F550" s="20">
        <f>LEN(G550)</f>
        <v>0</v>
      </c>
      <c r="G550" s="5"/>
      <c r="H550" s="24"/>
      <c r="I550" s="5"/>
      <c r="J550" s="5"/>
      <c r="K550" s="5"/>
      <c r="L550" s="3" t="s">
        <v>155</v>
      </c>
      <c r="M550" s="5"/>
      <c r="N550" s="4"/>
      <c r="O550" s="5"/>
      <c r="P550" s="5"/>
      <c r="Q550" s="5"/>
      <c r="R550" s="5"/>
      <c r="S550" s="5"/>
      <c r="T550" s="24"/>
      <c r="U550" s="3" t="b">
        <v>0</v>
      </c>
      <c r="V550" s="5"/>
    </row>
    <row r="551" spans="1:22" ht="45" customHeight="1">
      <c r="A551" s="3" t="s">
        <v>148</v>
      </c>
      <c r="B551" s="5"/>
      <c r="C551" s="6"/>
      <c r="D551" s="3"/>
      <c r="E551" s="5"/>
      <c r="F551" s="20">
        <f>LEN(G551)</f>
        <v>0</v>
      </c>
      <c r="G551" s="5"/>
      <c r="H551" s="24"/>
      <c r="I551" s="5"/>
      <c r="J551" s="5"/>
      <c r="K551" s="5"/>
      <c r="L551" s="3" t="s">
        <v>155</v>
      </c>
      <c r="M551" s="5"/>
      <c r="N551" s="4"/>
      <c r="O551" s="5"/>
      <c r="P551" s="5"/>
      <c r="Q551" s="5"/>
      <c r="R551" s="5"/>
      <c r="S551" s="5"/>
      <c r="T551" s="24"/>
      <c r="U551" s="3" t="b">
        <v>0</v>
      </c>
      <c r="V551" s="5"/>
    </row>
    <row r="552" spans="1:22" ht="45" customHeight="1">
      <c r="A552" s="3" t="s">
        <v>148</v>
      </c>
      <c r="B552" s="5"/>
      <c r="C552" s="6"/>
      <c r="D552" s="3"/>
      <c r="E552" s="5"/>
      <c r="F552" s="20">
        <f>LEN(G552)</f>
        <v>0</v>
      </c>
      <c r="G552" s="5"/>
      <c r="H552" s="24"/>
      <c r="I552" s="5"/>
      <c r="J552" s="5"/>
      <c r="K552" s="5"/>
      <c r="L552" s="3" t="s">
        <v>155</v>
      </c>
      <c r="M552" s="5"/>
      <c r="N552" s="4"/>
      <c r="O552" s="5"/>
      <c r="P552" s="5"/>
      <c r="Q552" s="5"/>
      <c r="R552" s="5"/>
      <c r="S552" s="5"/>
      <c r="T552" s="24"/>
      <c r="U552" s="3" t="b">
        <v>0</v>
      </c>
      <c r="V552" s="5"/>
    </row>
    <row r="553" spans="1:22" ht="45" customHeight="1">
      <c r="A553" s="3" t="s">
        <v>148</v>
      </c>
      <c r="B553" s="5"/>
      <c r="C553" s="6"/>
      <c r="D553" s="3"/>
      <c r="E553" s="5"/>
      <c r="F553" s="20">
        <f>LEN(G553)</f>
        <v>0</v>
      </c>
      <c r="G553" s="5"/>
      <c r="H553" s="24"/>
      <c r="I553" s="5"/>
      <c r="J553" s="5"/>
      <c r="K553" s="5"/>
      <c r="L553" s="3" t="s">
        <v>155</v>
      </c>
      <c r="M553" s="5"/>
      <c r="N553" s="4"/>
      <c r="O553" s="5"/>
      <c r="P553" s="5"/>
      <c r="Q553" s="5"/>
      <c r="R553" s="5"/>
      <c r="S553" s="5"/>
      <c r="T553" s="24"/>
      <c r="U553" s="3" t="b">
        <v>0</v>
      </c>
      <c r="V553" s="5"/>
    </row>
    <row r="554" spans="1:22" ht="45" customHeight="1">
      <c r="A554" s="3" t="s">
        <v>148</v>
      </c>
      <c r="B554" s="5"/>
      <c r="C554" s="6"/>
      <c r="D554" s="3"/>
      <c r="E554" s="5"/>
      <c r="F554" s="20">
        <f>LEN(G554)</f>
        <v>0</v>
      </c>
      <c r="G554" s="5"/>
      <c r="H554" s="24"/>
      <c r="I554" s="5"/>
      <c r="J554" s="5"/>
      <c r="K554" s="5"/>
      <c r="L554" s="3" t="s">
        <v>155</v>
      </c>
      <c r="M554" s="5"/>
      <c r="N554" s="4"/>
      <c r="O554" s="5"/>
      <c r="P554" s="5"/>
      <c r="Q554" s="5"/>
      <c r="R554" s="5"/>
      <c r="S554" s="5"/>
      <c r="T554" s="24"/>
      <c r="U554" s="3" t="b">
        <v>0</v>
      </c>
      <c r="V554" s="5"/>
    </row>
    <row r="555" spans="1:22" ht="45" customHeight="1">
      <c r="A555" s="3" t="s">
        <v>148</v>
      </c>
      <c r="B555" s="5"/>
      <c r="C555" s="6"/>
      <c r="D555" s="3"/>
      <c r="E555" s="5"/>
      <c r="F555" s="20">
        <f>LEN(G555)</f>
        <v>0</v>
      </c>
      <c r="G555" s="5"/>
      <c r="H555" s="24"/>
      <c r="I555" s="5"/>
      <c r="J555" s="5"/>
      <c r="K555" s="5"/>
      <c r="L555" s="3" t="s">
        <v>155</v>
      </c>
      <c r="M555" s="5"/>
      <c r="N555" s="4"/>
      <c r="O555" s="5"/>
      <c r="P555" s="5"/>
      <c r="Q555" s="5"/>
      <c r="R555" s="5"/>
      <c r="S555" s="5"/>
      <c r="T555" s="24"/>
      <c r="U555" s="3" t="b">
        <v>0</v>
      </c>
      <c r="V555" s="5"/>
    </row>
    <row r="556" spans="1:22" ht="45" customHeight="1">
      <c r="A556" s="3" t="s">
        <v>148</v>
      </c>
      <c r="B556" s="5"/>
      <c r="C556" s="6"/>
      <c r="D556" s="3"/>
      <c r="E556" s="5"/>
      <c r="F556" s="20">
        <f>LEN(G556)</f>
        <v>0</v>
      </c>
      <c r="G556" s="5"/>
      <c r="H556" s="24"/>
      <c r="I556" s="5"/>
      <c r="J556" s="5"/>
      <c r="K556" s="5"/>
      <c r="L556" s="3" t="s">
        <v>155</v>
      </c>
      <c r="M556" s="5"/>
      <c r="N556" s="4"/>
      <c r="O556" s="5"/>
      <c r="P556" s="5"/>
      <c r="Q556" s="5"/>
      <c r="R556" s="5"/>
      <c r="S556" s="5"/>
      <c r="T556" s="24"/>
      <c r="U556" s="3" t="b">
        <v>0</v>
      </c>
      <c r="V556" s="5"/>
    </row>
    <row r="557" spans="1:22" ht="45" customHeight="1">
      <c r="A557" s="3" t="s">
        <v>148</v>
      </c>
      <c r="B557" s="5"/>
      <c r="C557" s="6"/>
      <c r="D557" s="3"/>
      <c r="E557" s="5"/>
      <c r="F557" s="20">
        <f>LEN(G557)</f>
        <v>0</v>
      </c>
      <c r="G557" s="5"/>
      <c r="H557" s="24"/>
      <c r="I557" s="5"/>
      <c r="J557" s="5"/>
      <c r="K557" s="5"/>
      <c r="L557" s="3" t="s">
        <v>155</v>
      </c>
      <c r="M557" s="5"/>
      <c r="N557" s="4"/>
      <c r="O557" s="5"/>
      <c r="P557" s="5"/>
      <c r="Q557" s="5"/>
      <c r="R557" s="5"/>
      <c r="S557" s="5"/>
      <c r="T557" s="24"/>
      <c r="U557" s="3" t="b">
        <v>0</v>
      </c>
      <c r="V557" s="5"/>
    </row>
    <row r="558" spans="1:22" ht="45" customHeight="1">
      <c r="A558" s="3" t="s">
        <v>148</v>
      </c>
      <c r="B558" s="5"/>
      <c r="C558" s="6"/>
      <c r="D558" s="3"/>
      <c r="E558" s="5"/>
      <c r="F558" s="20">
        <f>LEN(G558)</f>
        <v>0</v>
      </c>
      <c r="G558" s="5"/>
      <c r="H558" s="24"/>
      <c r="I558" s="5"/>
      <c r="J558" s="5"/>
      <c r="K558" s="5"/>
      <c r="L558" s="3" t="s">
        <v>155</v>
      </c>
      <c r="M558" s="5"/>
      <c r="N558" s="4"/>
      <c r="O558" s="5"/>
      <c r="P558" s="5"/>
      <c r="Q558" s="5"/>
      <c r="R558" s="5"/>
      <c r="S558" s="5"/>
      <c r="T558" s="24"/>
      <c r="U558" s="3" t="b">
        <v>0</v>
      </c>
      <c r="V558" s="5"/>
    </row>
    <row r="559" spans="1:22" ht="45" customHeight="1">
      <c r="A559" s="3" t="s">
        <v>148</v>
      </c>
      <c r="B559" s="5"/>
      <c r="C559" s="6"/>
      <c r="D559" s="3"/>
      <c r="E559" s="5"/>
      <c r="F559" s="20">
        <f>LEN(G559)</f>
        <v>0</v>
      </c>
      <c r="G559" s="5"/>
      <c r="H559" s="24"/>
      <c r="I559" s="5"/>
      <c r="J559" s="5"/>
      <c r="K559" s="5"/>
      <c r="L559" s="3" t="s">
        <v>155</v>
      </c>
      <c r="M559" s="5"/>
      <c r="N559" s="4"/>
      <c r="O559" s="5"/>
      <c r="P559" s="5"/>
      <c r="Q559" s="5"/>
      <c r="R559" s="5"/>
      <c r="S559" s="5"/>
      <c r="T559" s="24"/>
      <c r="U559" s="3" t="b">
        <v>0</v>
      </c>
      <c r="V559" s="5"/>
    </row>
    <row r="560" spans="1:22" ht="45" customHeight="1">
      <c r="A560" s="3" t="s">
        <v>148</v>
      </c>
      <c r="B560" s="5"/>
      <c r="C560" s="6"/>
      <c r="D560" s="3"/>
      <c r="E560" s="5"/>
      <c r="F560" s="20">
        <f>LEN(G560)</f>
        <v>0</v>
      </c>
      <c r="G560" s="5"/>
      <c r="H560" s="24"/>
      <c r="I560" s="5"/>
      <c r="J560" s="5"/>
      <c r="K560" s="5"/>
      <c r="L560" s="3" t="s">
        <v>155</v>
      </c>
      <c r="M560" s="5"/>
      <c r="N560" s="4"/>
      <c r="O560" s="5"/>
      <c r="P560" s="5"/>
      <c r="Q560" s="5"/>
      <c r="R560" s="5"/>
      <c r="S560" s="5"/>
      <c r="T560" s="24"/>
      <c r="U560" s="3" t="b">
        <v>0</v>
      </c>
      <c r="V560" s="5"/>
    </row>
    <row r="561" spans="1:22" ht="45" customHeight="1">
      <c r="A561" s="3" t="s">
        <v>148</v>
      </c>
      <c r="B561" s="5"/>
      <c r="C561" s="6"/>
      <c r="D561" s="3"/>
      <c r="E561" s="5"/>
      <c r="F561" s="20">
        <f>LEN(G561)</f>
        <v>0</v>
      </c>
      <c r="G561" s="5"/>
      <c r="H561" s="24"/>
      <c r="I561" s="5"/>
      <c r="J561" s="5"/>
      <c r="K561" s="5"/>
      <c r="L561" s="3" t="s">
        <v>155</v>
      </c>
      <c r="M561" s="5"/>
      <c r="N561" s="4"/>
      <c r="O561" s="5"/>
      <c r="P561" s="5"/>
      <c r="Q561" s="5"/>
      <c r="R561" s="5"/>
      <c r="S561" s="5"/>
      <c r="T561" s="24"/>
      <c r="U561" s="3" t="b">
        <v>0</v>
      </c>
      <c r="V561" s="5"/>
    </row>
    <row r="562" spans="1:22" ht="45" customHeight="1">
      <c r="A562" s="3" t="s">
        <v>148</v>
      </c>
      <c r="B562" s="5"/>
      <c r="C562" s="6"/>
      <c r="D562" s="3"/>
      <c r="E562" s="5"/>
      <c r="F562" s="20">
        <f>LEN(G562)</f>
        <v>0</v>
      </c>
      <c r="G562" s="5"/>
      <c r="H562" s="24"/>
      <c r="I562" s="5"/>
      <c r="J562" s="5"/>
      <c r="K562" s="5"/>
      <c r="L562" s="3" t="s">
        <v>155</v>
      </c>
      <c r="M562" s="5"/>
      <c r="N562" s="4"/>
      <c r="O562" s="5"/>
      <c r="P562" s="5"/>
      <c r="Q562" s="5"/>
      <c r="R562" s="5"/>
      <c r="S562" s="5"/>
      <c r="T562" s="24"/>
      <c r="U562" s="3" t="b">
        <v>0</v>
      </c>
      <c r="V562" s="5"/>
    </row>
    <row r="563" spans="1:22" ht="45" customHeight="1">
      <c r="A563" s="3" t="s">
        <v>148</v>
      </c>
      <c r="B563" s="5"/>
      <c r="C563" s="6"/>
      <c r="D563" s="3"/>
      <c r="E563" s="5"/>
      <c r="F563" s="20">
        <f>LEN(G563)</f>
        <v>0</v>
      </c>
      <c r="G563" s="5"/>
      <c r="H563" s="24"/>
      <c r="I563" s="5"/>
      <c r="J563" s="5"/>
      <c r="K563" s="5"/>
      <c r="L563" s="3" t="s">
        <v>155</v>
      </c>
      <c r="M563" s="5"/>
      <c r="N563" s="4"/>
      <c r="O563" s="5"/>
      <c r="P563" s="5"/>
      <c r="Q563" s="5"/>
      <c r="R563" s="5"/>
      <c r="S563" s="5"/>
      <c r="T563" s="24"/>
      <c r="U563" s="3" t="b">
        <v>0</v>
      </c>
      <c r="V563" s="5"/>
    </row>
    <row r="564" spans="1:22" ht="45" customHeight="1">
      <c r="A564" s="3" t="s">
        <v>148</v>
      </c>
      <c r="B564" s="5"/>
      <c r="C564" s="6"/>
      <c r="D564" s="3"/>
      <c r="E564" s="5"/>
      <c r="F564" s="20">
        <f>LEN(G564)</f>
        <v>0</v>
      </c>
      <c r="G564" s="5"/>
      <c r="H564" s="24"/>
      <c r="I564" s="5"/>
      <c r="J564" s="5"/>
      <c r="K564" s="5"/>
      <c r="L564" s="3" t="s">
        <v>155</v>
      </c>
      <c r="M564" s="5"/>
      <c r="N564" s="4"/>
      <c r="O564" s="5"/>
      <c r="P564" s="5"/>
      <c r="Q564" s="5"/>
      <c r="R564" s="5"/>
      <c r="S564" s="5"/>
      <c r="T564" s="24"/>
      <c r="U564" s="3" t="b">
        <v>0</v>
      </c>
      <c r="V564" s="5"/>
    </row>
    <row r="565" spans="1:22" ht="45" customHeight="1">
      <c r="A565" s="3" t="s">
        <v>148</v>
      </c>
      <c r="B565" s="5"/>
      <c r="C565" s="6"/>
      <c r="D565" s="3"/>
      <c r="E565" s="5"/>
      <c r="F565" s="20">
        <f>LEN(G565)</f>
        <v>0</v>
      </c>
      <c r="G565" s="5"/>
      <c r="H565" s="24"/>
      <c r="I565" s="5"/>
      <c r="J565" s="5"/>
      <c r="K565" s="5"/>
      <c r="L565" s="3" t="s">
        <v>155</v>
      </c>
      <c r="M565" s="5"/>
      <c r="N565" s="4"/>
      <c r="O565" s="5"/>
      <c r="P565" s="5"/>
      <c r="Q565" s="5"/>
      <c r="R565" s="5"/>
      <c r="S565" s="5"/>
      <c r="T565" s="24"/>
      <c r="U565" s="3" t="b">
        <v>0</v>
      </c>
      <c r="V565" s="5"/>
    </row>
    <row r="566" spans="1:22" ht="45" customHeight="1">
      <c r="A566" s="3" t="s">
        <v>148</v>
      </c>
      <c r="B566" s="5"/>
      <c r="C566" s="6"/>
      <c r="D566" s="3"/>
      <c r="E566" s="5"/>
      <c r="F566" s="20">
        <f>LEN(G566)</f>
        <v>0</v>
      </c>
      <c r="G566" s="5"/>
      <c r="H566" s="24"/>
      <c r="I566" s="5"/>
      <c r="J566" s="5"/>
      <c r="K566" s="5"/>
      <c r="L566" s="3" t="s">
        <v>155</v>
      </c>
      <c r="M566" s="5"/>
      <c r="N566" s="4"/>
      <c r="O566" s="5"/>
      <c r="P566" s="5"/>
      <c r="Q566" s="5"/>
      <c r="R566" s="5"/>
      <c r="S566" s="5"/>
      <c r="T566" s="24"/>
      <c r="U566" s="3" t="b">
        <v>0</v>
      </c>
      <c r="V566" s="5"/>
    </row>
    <row r="567" spans="1:22" ht="45" customHeight="1">
      <c r="A567" s="3" t="s">
        <v>148</v>
      </c>
      <c r="B567" s="5"/>
      <c r="C567" s="6"/>
      <c r="D567" s="3"/>
      <c r="E567" s="5"/>
      <c r="F567" s="20">
        <f>LEN(G567)</f>
        <v>0</v>
      </c>
      <c r="G567" s="5"/>
      <c r="H567" s="24"/>
      <c r="I567" s="5"/>
      <c r="J567" s="5"/>
      <c r="K567" s="5"/>
      <c r="L567" s="3" t="s">
        <v>155</v>
      </c>
      <c r="M567" s="5"/>
      <c r="N567" s="4"/>
      <c r="O567" s="5"/>
      <c r="P567" s="5"/>
      <c r="Q567" s="5"/>
      <c r="R567" s="5"/>
      <c r="S567" s="5"/>
      <c r="T567" s="24"/>
      <c r="U567" s="3" t="b">
        <v>0</v>
      </c>
      <c r="V567" s="5"/>
    </row>
    <row r="568" spans="1:22" ht="45" customHeight="1">
      <c r="A568" s="3" t="s">
        <v>148</v>
      </c>
      <c r="B568" s="5"/>
      <c r="C568" s="6"/>
      <c r="D568" s="3"/>
      <c r="E568" s="5"/>
      <c r="F568" s="20">
        <f>LEN(G568)</f>
        <v>0</v>
      </c>
      <c r="G568" s="5"/>
      <c r="H568" s="24"/>
      <c r="I568" s="5"/>
      <c r="J568" s="5"/>
      <c r="K568" s="5"/>
      <c r="L568" s="3" t="s">
        <v>155</v>
      </c>
      <c r="M568" s="5"/>
      <c r="N568" s="4"/>
      <c r="O568" s="5"/>
      <c r="P568" s="5"/>
      <c r="Q568" s="5"/>
      <c r="R568" s="5"/>
      <c r="S568" s="5"/>
      <c r="T568" s="24"/>
      <c r="U568" s="3" t="b">
        <v>0</v>
      </c>
      <c r="V568" s="5"/>
    </row>
    <row r="569" spans="1:22" ht="45" customHeight="1">
      <c r="A569" s="3" t="s">
        <v>148</v>
      </c>
      <c r="B569" s="5"/>
      <c r="C569" s="6"/>
      <c r="D569" s="3"/>
      <c r="E569" s="5"/>
      <c r="F569" s="20">
        <f>LEN(G569)</f>
        <v>0</v>
      </c>
      <c r="G569" s="5"/>
      <c r="H569" s="24"/>
      <c r="I569" s="5"/>
      <c r="J569" s="5"/>
      <c r="K569" s="5"/>
      <c r="L569" s="3" t="s">
        <v>155</v>
      </c>
      <c r="M569" s="5"/>
      <c r="N569" s="4"/>
      <c r="O569" s="5"/>
      <c r="P569" s="5"/>
      <c r="Q569" s="5"/>
      <c r="R569" s="5"/>
      <c r="S569" s="5"/>
      <c r="T569" s="24"/>
      <c r="U569" s="3" t="b">
        <v>0</v>
      </c>
      <c r="V569" s="5"/>
    </row>
    <row r="570" spans="1:22" ht="45" customHeight="1">
      <c r="A570" s="3" t="s">
        <v>148</v>
      </c>
      <c r="B570" s="5"/>
      <c r="C570" s="6"/>
      <c r="D570" s="3"/>
      <c r="E570" s="5"/>
      <c r="F570" s="20">
        <f>LEN(G570)</f>
        <v>0</v>
      </c>
      <c r="G570" s="5"/>
      <c r="H570" s="24"/>
      <c r="I570" s="5"/>
      <c r="J570" s="5"/>
      <c r="K570" s="5"/>
      <c r="L570" s="3" t="s">
        <v>155</v>
      </c>
      <c r="M570" s="5"/>
      <c r="N570" s="4"/>
      <c r="O570" s="5"/>
      <c r="P570" s="5"/>
      <c r="Q570" s="5"/>
      <c r="R570" s="5"/>
      <c r="S570" s="5"/>
      <c r="T570" s="24"/>
      <c r="U570" s="3" t="b">
        <v>0</v>
      </c>
      <c r="V570" s="5"/>
    </row>
    <row r="571" spans="1:22" ht="45" customHeight="1">
      <c r="A571" s="3" t="s">
        <v>148</v>
      </c>
      <c r="B571" s="5"/>
      <c r="C571" s="6"/>
      <c r="D571" s="3"/>
      <c r="E571" s="5"/>
      <c r="F571" s="20">
        <f>LEN(G571)</f>
        <v>0</v>
      </c>
      <c r="G571" s="5"/>
      <c r="H571" s="24"/>
      <c r="I571" s="5"/>
      <c r="J571" s="5"/>
      <c r="K571" s="5"/>
      <c r="L571" s="3" t="s">
        <v>155</v>
      </c>
      <c r="M571" s="5"/>
      <c r="N571" s="4"/>
      <c r="O571" s="5"/>
      <c r="P571" s="5"/>
      <c r="Q571" s="5"/>
      <c r="R571" s="5"/>
      <c r="S571" s="5"/>
      <c r="T571" s="24"/>
      <c r="U571" s="3" t="b">
        <v>0</v>
      </c>
      <c r="V571" s="5"/>
    </row>
    <row r="572" spans="1:22" ht="45" customHeight="1">
      <c r="A572" s="3" t="s">
        <v>148</v>
      </c>
      <c r="B572" s="5"/>
      <c r="C572" s="6"/>
      <c r="D572" s="3"/>
      <c r="E572" s="5"/>
      <c r="F572" s="20">
        <f>LEN(G572)</f>
        <v>0</v>
      </c>
      <c r="G572" s="5"/>
      <c r="H572" s="24"/>
      <c r="I572" s="5"/>
      <c r="J572" s="5"/>
      <c r="K572" s="5"/>
      <c r="L572" s="3" t="s">
        <v>155</v>
      </c>
      <c r="M572" s="5"/>
      <c r="N572" s="4"/>
      <c r="O572" s="5"/>
      <c r="P572" s="5"/>
      <c r="Q572" s="5"/>
      <c r="R572" s="5"/>
      <c r="S572" s="5"/>
      <c r="T572" s="24"/>
      <c r="U572" s="3" t="b">
        <v>0</v>
      </c>
      <c r="V572" s="5"/>
    </row>
    <row r="573" spans="1:22" ht="45" customHeight="1">
      <c r="A573" s="3" t="s">
        <v>148</v>
      </c>
      <c r="B573" s="5"/>
      <c r="C573" s="6"/>
      <c r="D573" s="3"/>
      <c r="E573" s="5"/>
      <c r="F573" s="20">
        <f>LEN(G573)</f>
        <v>0</v>
      </c>
      <c r="G573" s="5"/>
      <c r="H573" s="24"/>
      <c r="I573" s="5"/>
      <c r="J573" s="5"/>
      <c r="K573" s="5"/>
      <c r="L573" s="3" t="s">
        <v>155</v>
      </c>
      <c r="M573" s="5"/>
      <c r="N573" s="4"/>
      <c r="O573" s="5"/>
      <c r="P573" s="5"/>
      <c r="Q573" s="5"/>
      <c r="R573" s="5"/>
      <c r="S573" s="5"/>
      <c r="T573" s="24"/>
      <c r="U573" s="3" t="b">
        <v>0</v>
      </c>
      <c r="V573" s="5"/>
    </row>
    <row r="574" spans="1:22" ht="45" customHeight="1">
      <c r="A574" s="3" t="s">
        <v>148</v>
      </c>
      <c r="B574" s="5"/>
      <c r="C574" s="6"/>
      <c r="D574" s="3"/>
      <c r="E574" s="5"/>
      <c r="F574" s="20">
        <f>LEN(G574)</f>
        <v>0</v>
      </c>
      <c r="G574" s="5"/>
      <c r="H574" s="24"/>
      <c r="I574" s="5"/>
      <c r="J574" s="5"/>
      <c r="K574" s="5"/>
      <c r="L574" s="3" t="s">
        <v>155</v>
      </c>
      <c r="M574" s="5"/>
      <c r="N574" s="4"/>
      <c r="O574" s="5"/>
      <c r="P574" s="5"/>
      <c r="Q574" s="5"/>
      <c r="R574" s="5"/>
      <c r="S574" s="5"/>
      <c r="T574" s="24"/>
      <c r="U574" s="3" t="b">
        <v>0</v>
      </c>
      <c r="V574" s="5"/>
    </row>
    <row r="575" spans="1:22" ht="45" customHeight="1">
      <c r="A575" s="3" t="s">
        <v>148</v>
      </c>
      <c r="B575" s="5"/>
      <c r="C575" s="6"/>
      <c r="D575" s="3"/>
      <c r="E575" s="5"/>
      <c r="F575" s="20">
        <f>LEN(G575)</f>
        <v>0</v>
      </c>
      <c r="G575" s="5"/>
      <c r="H575" s="24"/>
      <c r="I575" s="5"/>
      <c r="J575" s="5"/>
      <c r="K575" s="5"/>
      <c r="L575" s="3" t="s">
        <v>155</v>
      </c>
      <c r="M575" s="5"/>
      <c r="N575" s="4"/>
      <c r="O575" s="5"/>
      <c r="P575" s="5"/>
      <c r="Q575" s="5"/>
      <c r="R575" s="5"/>
      <c r="S575" s="5"/>
      <c r="T575" s="24"/>
      <c r="U575" s="3" t="b">
        <v>0</v>
      </c>
      <c r="V575" s="5"/>
    </row>
    <row r="576" spans="1:22" ht="45" customHeight="1">
      <c r="A576" s="3" t="s">
        <v>148</v>
      </c>
      <c r="B576" s="5"/>
      <c r="C576" s="6"/>
      <c r="D576" s="3"/>
      <c r="E576" s="5"/>
      <c r="F576" s="20">
        <f>LEN(G576)</f>
        <v>0</v>
      </c>
      <c r="G576" s="5"/>
      <c r="H576" s="24"/>
      <c r="I576" s="5"/>
      <c r="J576" s="5"/>
      <c r="K576" s="5"/>
      <c r="L576" s="3" t="s">
        <v>155</v>
      </c>
      <c r="M576" s="5"/>
      <c r="N576" s="4"/>
      <c r="O576" s="5"/>
      <c r="P576" s="5"/>
      <c r="Q576" s="5"/>
      <c r="R576" s="5"/>
      <c r="S576" s="5"/>
      <c r="T576" s="24"/>
      <c r="U576" s="3" t="b">
        <v>0</v>
      </c>
      <c r="V576" s="5"/>
    </row>
    <row r="577" spans="1:22" ht="45" customHeight="1">
      <c r="A577" s="3" t="s">
        <v>148</v>
      </c>
      <c r="B577" s="5"/>
      <c r="C577" s="6"/>
      <c r="D577" s="3"/>
      <c r="E577" s="5"/>
      <c r="F577" s="20">
        <f>LEN(G577)</f>
        <v>0</v>
      </c>
      <c r="G577" s="5"/>
      <c r="H577" s="24"/>
      <c r="I577" s="5"/>
      <c r="J577" s="5"/>
      <c r="K577" s="5"/>
      <c r="L577" s="3" t="s">
        <v>155</v>
      </c>
      <c r="M577" s="5"/>
      <c r="N577" s="4"/>
      <c r="O577" s="5"/>
      <c r="P577" s="5"/>
      <c r="Q577" s="5"/>
      <c r="R577" s="5"/>
      <c r="S577" s="5"/>
      <c r="T577" s="24"/>
      <c r="U577" s="3" t="b">
        <v>0</v>
      </c>
      <c r="V577" s="5"/>
    </row>
    <row r="578" spans="1:22" ht="45" customHeight="1">
      <c r="A578" s="3" t="s">
        <v>148</v>
      </c>
      <c r="B578" s="5"/>
      <c r="C578" s="6"/>
      <c r="D578" s="3"/>
      <c r="E578" s="5"/>
      <c r="F578" s="20">
        <f>LEN(G578)</f>
        <v>0</v>
      </c>
      <c r="G578" s="5"/>
      <c r="H578" s="24"/>
      <c r="I578" s="5"/>
      <c r="J578" s="5"/>
      <c r="K578" s="5"/>
      <c r="L578" s="3" t="s">
        <v>155</v>
      </c>
      <c r="M578" s="5"/>
      <c r="N578" s="4"/>
      <c r="O578" s="5"/>
      <c r="P578" s="5"/>
      <c r="Q578" s="5"/>
      <c r="R578" s="5"/>
      <c r="S578" s="5"/>
      <c r="T578" s="24"/>
      <c r="U578" s="3" t="b">
        <v>0</v>
      </c>
      <c r="V578" s="5"/>
    </row>
    <row r="579" spans="1:22" ht="45" customHeight="1">
      <c r="A579" s="3" t="s">
        <v>148</v>
      </c>
      <c r="B579" s="5"/>
      <c r="C579" s="6"/>
      <c r="D579" s="3"/>
      <c r="E579" s="5"/>
      <c r="F579" s="20">
        <f>LEN(G579)</f>
        <v>0</v>
      </c>
      <c r="G579" s="5"/>
      <c r="H579" s="24"/>
      <c r="I579" s="5"/>
      <c r="J579" s="5"/>
      <c r="K579" s="5"/>
      <c r="L579" s="3" t="s">
        <v>155</v>
      </c>
      <c r="M579" s="5"/>
      <c r="N579" s="4"/>
      <c r="O579" s="5"/>
      <c r="P579" s="5"/>
      <c r="Q579" s="5"/>
      <c r="R579" s="5"/>
      <c r="S579" s="5"/>
      <c r="T579" s="24"/>
      <c r="U579" s="3" t="b">
        <v>0</v>
      </c>
      <c r="V579" s="5"/>
    </row>
    <row r="580" spans="1:22" ht="45" customHeight="1">
      <c r="A580" s="3" t="s">
        <v>148</v>
      </c>
      <c r="B580" s="5"/>
      <c r="C580" s="6"/>
      <c r="D580" s="3"/>
      <c r="E580" s="5"/>
      <c r="F580" s="20">
        <f>LEN(G580)</f>
        <v>0</v>
      </c>
      <c r="G580" s="5"/>
      <c r="H580" s="24"/>
      <c r="I580" s="5"/>
      <c r="J580" s="5"/>
      <c r="K580" s="5"/>
      <c r="L580" s="3" t="s">
        <v>155</v>
      </c>
      <c r="M580" s="5"/>
      <c r="N580" s="4"/>
      <c r="O580" s="5"/>
      <c r="P580" s="5"/>
      <c r="Q580" s="5"/>
      <c r="R580" s="5"/>
      <c r="S580" s="5"/>
      <c r="T580" s="24"/>
      <c r="U580" s="3" t="b">
        <v>0</v>
      </c>
      <c r="V580" s="5"/>
    </row>
    <row r="581" spans="1:22" ht="45" customHeight="1">
      <c r="A581" s="3" t="s">
        <v>148</v>
      </c>
      <c r="B581" s="5"/>
      <c r="C581" s="6"/>
      <c r="D581" s="3"/>
      <c r="E581" s="5"/>
      <c r="F581" s="20">
        <f>LEN(G581)</f>
        <v>0</v>
      </c>
      <c r="G581" s="5"/>
      <c r="H581" s="24"/>
      <c r="I581" s="5"/>
      <c r="J581" s="5"/>
      <c r="K581" s="5"/>
      <c r="L581" s="3" t="s">
        <v>155</v>
      </c>
      <c r="M581" s="5"/>
      <c r="N581" s="4"/>
      <c r="O581" s="5"/>
      <c r="P581" s="5"/>
      <c r="Q581" s="5"/>
      <c r="R581" s="5"/>
      <c r="S581" s="5"/>
      <c r="T581" s="24"/>
      <c r="U581" s="3" t="b">
        <v>0</v>
      </c>
      <c r="V581" s="5"/>
    </row>
    <row r="582" spans="1:22" ht="45" customHeight="1">
      <c r="A582" s="3" t="s">
        <v>148</v>
      </c>
      <c r="B582" s="5"/>
      <c r="C582" s="6"/>
      <c r="D582" s="3"/>
      <c r="E582" s="5"/>
      <c r="F582" s="20">
        <f>LEN(G582)</f>
        <v>0</v>
      </c>
      <c r="G582" s="5"/>
      <c r="H582" s="24"/>
      <c r="I582" s="5"/>
      <c r="J582" s="5"/>
      <c r="K582" s="5"/>
      <c r="L582" s="3" t="s">
        <v>155</v>
      </c>
      <c r="M582" s="5"/>
      <c r="N582" s="4"/>
      <c r="O582" s="5"/>
      <c r="P582" s="5"/>
      <c r="Q582" s="5"/>
      <c r="R582" s="5"/>
      <c r="S582" s="5"/>
      <c r="T582" s="24"/>
      <c r="U582" s="3" t="b">
        <v>0</v>
      </c>
      <c r="V582" s="5"/>
    </row>
    <row r="583" spans="1:22" ht="45" customHeight="1">
      <c r="A583" s="3" t="s">
        <v>148</v>
      </c>
      <c r="B583" s="5"/>
      <c r="C583" s="6"/>
      <c r="D583" s="3"/>
      <c r="E583" s="5"/>
      <c r="F583" s="20">
        <f>LEN(G583)</f>
        <v>0</v>
      </c>
      <c r="G583" s="5"/>
      <c r="H583" s="24"/>
      <c r="I583" s="5"/>
      <c r="J583" s="5"/>
      <c r="K583" s="5"/>
      <c r="L583" s="3" t="s">
        <v>155</v>
      </c>
      <c r="M583" s="5"/>
      <c r="N583" s="4"/>
      <c r="O583" s="5"/>
      <c r="P583" s="5"/>
      <c r="Q583" s="5"/>
      <c r="R583" s="5"/>
      <c r="S583" s="5"/>
      <c r="T583" s="24"/>
      <c r="U583" s="3" t="b">
        <v>0</v>
      </c>
      <c r="V583" s="5"/>
    </row>
    <row r="584" spans="1:22" ht="45" customHeight="1">
      <c r="A584" s="3" t="s">
        <v>148</v>
      </c>
      <c r="B584" s="5"/>
      <c r="C584" s="6"/>
      <c r="D584" s="3"/>
      <c r="E584" s="5"/>
      <c r="F584" s="20">
        <f>LEN(G584)</f>
        <v>0</v>
      </c>
      <c r="G584" s="5"/>
      <c r="H584" s="24"/>
      <c r="I584" s="5"/>
      <c r="J584" s="5"/>
      <c r="K584" s="5"/>
      <c r="L584" s="3" t="s">
        <v>155</v>
      </c>
      <c r="M584" s="5"/>
      <c r="N584" s="4"/>
      <c r="O584" s="5"/>
      <c r="P584" s="5"/>
      <c r="Q584" s="5"/>
      <c r="R584" s="5"/>
      <c r="S584" s="5"/>
      <c r="T584" s="24"/>
      <c r="U584" s="3" t="b">
        <v>0</v>
      </c>
      <c r="V584" s="5"/>
    </row>
    <row r="585" spans="1:22" ht="45" customHeight="1">
      <c r="A585" s="3" t="s">
        <v>148</v>
      </c>
      <c r="B585" s="5"/>
      <c r="C585" s="6"/>
      <c r="D585" s="3"/>
      <c r="E585" s="5"/>
      <c r="F585" s="20">
        <f>LEN(G585)</f>
        <v>0</v>
      </c>
      <c r="G585" s="5"/>
      <c r="H585" s="24"/>
      <c r="I585" s="5"/>
      <c r="J585" s="5"/>
      <c r="K585" s="5"/>
      <c r="L585" s="3" t="s">
        <v>155</v>
      </c>
      <c r="M585" s="5"/>
      <c r="N585" s="4"/>
      <c r="O585" s="5"/>
      <c r="P585" s="5"/>
      <c r="Q585" s="5"/>
      <c r="R585" s="5"/>
      <c r="S585" s="5"/>
      <c r="T585" s="24"/>
      <c r="U585" s="3" t="b">
        <v>0</v>
      </c>
      <c r="V585" s="5"/>
    </row>
    <row r="586" spans="1:22" ht="45" customHeight="1">
      <c r="A586" s="3" t="s">
        <v>148</v>
      </c>
      <c r="B586" s="5"/>
      <c r="C586" s="6"/>
      <c r="D586" s="3"/>
      <c r="E586" s="5"/>
      <c r="F586" s="20">
        <f>LEN(G586)</f>
        <v>0</v>
      </c>
      <c r="G586" s="5"/>
      <c r="H586" s="24"/>
      <c r="I586" s="5"/>
      <c r="J586" s="5"/>
      <c r="K586" s="5"/>
      <c r="L586" s="3" t="s">
        <v>155</v>
      </c>
      <c r="M586" s="5"/>
      <c r="N586" s="4"/>
      <c r="O586" s="5"/>
      <c r="P586" s="5"/>
      <c r="Q586" s="5"/>
      <c r="R586" s="5"/>
      <c r="S586" s="5"/>
      <c r="T586" s="24"/>
      <c r="U586" s="3" t="b">
        <v>0</v>
      </c>
      <c r="V586" s="5"/>
    </row>
    <row r="587" spans="1:22" ht="45" customHeight="1">
      <c r="A587" s="3" t="s">
        <v>148</v>
      </c>
      <c r="B587" s="5"/>
      <c r="C587" s="6"/>
      <c r="D587" s="3"/>
      <c r="E587" s="5"/>
      <c r="F587" s="20">
        <f>LEN(G587)</f>
        <v>0</v>
      </c>
      <c r="G587" s="5"/>
      <c r="H587" s="24"/>
      <c r="I587" s="5"/>
      <c r="J587" s="5"/>
      <c r="K587" s="5"/>
      <c r="L587" s="3" t="s">
        <v>155</v>
      </c>
      <c r="M587" s="5"/>
      <c r="N587" s="4"/>
      <c r="O587" s="5"/>
      <c r="P587" s="5"/>
      <c r="Q587" s="5"/>
      <c r="R587" s="5"/>
      <c r="S587" s="5"/>
      <c r="T587" s="24"/>
      <c r="U587" s="3" t="b">
        <v>0</v>
      </c>
      <c r="V587" s="5"/>
    </row>
    <row r="588" spans="1:22" ht="45" customHeight="1">
      <c r="A588" s="3" t="s">
        <v>148</v>
      </c>
      <c r="B588" s="5"/>
      <c r="C588" s="6"/>
      <c r="D588" s="3"/>
      <c r="E588" s="5"/>
      <c r="F588" s="20">
        <f>LEN(G588)</f>
        <v>0</v>
      </c>
      <c r="G588" s="5"/>
      <c r="H588" s="24"/>
      <c r="I588" s="5"/>
      <c r="J588" s="5"/>
      <c r="K588" s="5"/>
      <c r="L588" s="3" t="s">
        <v>155</v>
      </c>
      <c r="M588" s="5"/>
      <c r="N588" s="4"/>
      <c r="O588" s="5"/>
      <c r="P588" s="5"/>
      <c r="Q588" s="5"/>
      <c r="R588" s="5"/>
      <c r="S588" s="5"/>
      <c r="T588" s="24"/>
      <c r="U588" s="3" t="b">
        <v>0</v>
      </c>
      <c r="V588" s="5"/>
    </row>
    <row r="589" spans="1:22" ht="45" customHeight="1">
      <c r="A589" s="3" t="s">
        <v>148</v>
      </c>
      <c r="B589" s="5"/>
      <c r="C589" s="6"/>
      <c r="D589" s="3"/>
      <c r="E589" s="5"/>
      <c r="F589" s="20">
        <f>LEN(G589)</f>
        <v>0</v>
      </c>
      <c r="G589" s="5"/>
      <c r="H589" s="24"/>
      <c r="I589" s="5"/>
      <c r="J589" s="5"/>
      <c r="K589" s="5"/>
      <c r="L589" s="3" t="s">
        <v>155</v>
      </c>
      <c r="M589" s="5"/>
      <c r="N589" s="4"/>
      <c r="O589" s="5"/>
      <c r="P589" s="5"/>
      <c r="Q589" s="5"/>
      <c r="R589" s="5"/>
      <c r="S589" s="5"/>
      <c r="T589" s="24"/>
      <c r="U589" s="3" t="b">
        <v>0</v>
      </c>
      <c r="V589" s="5"/>
    </row>
    <row r="590" spans="1:22" ht="45" customHeight="1">
      <c r="A590" s="3" t="s">
        <v>148</v>
      </c>
      <c r="B590" s="5"/>
      <c r="C590" s="6"/>
      <c r="D590" s="3"/>
      <c r="E590" s="5"/>
      <c r="F590" s="20">
        <f>LEN(G590)</f>
        <v>0</v>
      </c>
      <c r="G590" s="5"/>
      <c r="H590" s="24"/>
      <c r="I590" s="5"/>
      <c r="J590" s="5"/>
      <c r="K590" s="5"/>
      <c r="L590" s="3" t="s">
        <v>155</v>
      </c>
      <c r="M590" s="5"/>
      <c r="N590" s="4"/>
      <c r="O590" s="5"/>
      <c r="P590" s="5"/>
      <c r="Q590" s="5"/>
      <c r="R590" s="5"/>
      <c r="S590" s="5"/>
      <c r="T590" s="24"/>
      <c r="U590" s="3" t="b">
        <v>0</v>
      </c>
      <c r="V590" s="5"/>
    </row>
    <row r="591" spans="1:22" ht="45" customHeight="1">
      <c r="A591" s="3" t="s">
        <v>148</v>
      </c>
      <c r="B591" s="5"/>
      <c r="C591" s="6"/>
      <c r="D591" s="3"/>
      <c r="E591" s="5"/>
      <c r="F591" s="20">
        <f>LEN(G591)</f>
        <v>0</v>
      </c>
      <c r="G591" s="5"/>
      <c r="H591" s="24"/>
      <c r="I591" s="5"/>
      <c r="J591" s="5"/>
      <c r="K591" s="5"/>
      <c r="L591" s="3" t="s">
        <v>155</v>
      </c>
      <c r="M591" s="5"/>
      <c r="N591" s="4"/>
      <c r="O591" s="5"/>
      <c r="P591" s="5"/>
      <c r="Q591" s="5"/>
      <c r="R591" s="5"/>
      <c r="S591" s="5"/>
      <c r="T591" s="24"/>
      <c r="U591" s="3" t="b">
        <v>0</v>
      </c>
      <c r="V591" s="5"/>
    </row>
    <row r="592" spans="1:22" ht="45" customHeight="1">
      <c r="A592" s="3" t="s">
        <v>148</v>
      </c>
      <c r="B592" s="5"/>
      <c r="C592" s="6"/>
      <c r="D592" s="3"/>
      <c r="E592" s="5"/>
      <c r="F592" s="20">
        <f>LEN(G592)</f>
        <v>0</v>
      </c>
      <c r="G592" s="5"/>
      <c r="H592" s="24"/>
      <c r="I592" s="5"/>
      <c r="J592" s="5"/>
      <c r="K592" s="5"/>
      <c r="L592" s="3" t="s">
        <v>155</v>
      </c>
      <c r="M592" s="5"/>
      <c r="N592" s="4"/>
      <c r="O592" s="5"/>
      <c r="P592" s="5"/>
      <c r="Q592" s="5"/>
      <c r="R592" s="5"/>
      <c r="S592" s="5"/>
      <c r="T592" s="24"/>
      <c r="U592" s="3" t="b">
        <v>0</v>
      </c>
      <c r="V592" s="5"/>
    </row>
    <row r="593" spans="1:22" ht="45" customHeight="1">
      <c r="A593" s="3" t="s">
        <v>148</v>
      </c>
      <c r="B593" s="5"/>
      <c r="C593" s="6"/>
      <c r="D593" s="3"/>
      <c r="E593" s="5"/>
      <c r="F593" s="20">
        <f>LEN(G593)</f>
        <v>0</v>
      </c>
      <c r="G593" s="5"/>
      <c r="H593" s="24"/>
      <c r="I593" s="5"/>
      <c r="J593" s="5"/>
      <c r="K593" s="5"/>
      <c r="L593" s="3" t="s">
        <v>155</v>
      </c>
      <c r="M593" s="5"/>
      <c r="N593" s="4"/>
      <c r="O593" s="5"/>
      <c r="P593" s="5"/>
      <c r="Q593" s="5"/>
      <c r="R593" s="5"/>
      <c r="S593" s="5"/>
      <c r="T593" s="24"/>
      <c r="U593" s="3" t="b">
        <v>0</v>
      </c>
      <c r="V593" s="5"/>
    </row>
    <row r="594" spans="1:22" ht="45" customHeight="1">
      <c r="A594" s="3" t="s">
        <v>148</v>
      </c>
      <c r="B594" s="5"/>
      <c r="C594" s="6"/>
      <c r="D594" s="3"/>
      <c r="E594" s="5"/>
      <c r="F594" s="20">
        <f>LEN(G594)</f>
        <v>0</v>
      </c>
      <c r="G594" s="5"/>
      <c r="H594" s="24"/>
      <c r="I594" s="5"/>
      <c r="J594" s="5"/>
      <c r="K594" s="5"/>
      <c r="L594" s="3" t="s">
        <v>155</v>
      </c>
      <c r="M594" s="5"/>
      <c r="N594" s="4"/>
      <c r="O594" s="5"/>
      <c r="P594" s="5"/>
      <c r="Q594" s="5"/>
      <c r="R594" s="5"/>
      <c r="S594" s="5"/>
      <c r="T594" s="24"/>
      <c r="U594" s="3" t="b">
        <v>0</v>
      </c>
      <c r="V594" s="5"/>
    </row>
    <row r="595" spans="1:22" ht="45" customHeight="1">
      <c r="A595" s="3" t="s">
        <v>148</v>
      </c>
      <c r="B595" s="5"/>
      <c r="C595" s="6"/>
      <c r="D595" s="3"/>
      <c r="E595" s="5"/>
      <c r="F595" s="20">
        <f>LEN(G595)</f>
        <v>0</v>
      </c>
      <c r="G595" s="5"/>
      <c r="H595" s="24"/>
      <c r="I595" s="5"/>
      <c r="J595" s="5"/>
      <c r="K595" s="5"/>
      <c r="L595" s="3" t="s">
        <v>155</v>
      </c>
      <c r="M595" s="5"/>
      <c r="N595" s="4"/>
      <c r="O595" s="5"/>
      <c r="P595" s="5"/>
      <c r="Q595" s="5"/>
      <c r="R595" s="5"/>
      <c r="S595" s="5"/>
      <c r="T595" s="24"/>
      <c r="U595" s="3" t="b">
        <v>0</v>
      </c>
      <c r="V595" s="5"/>
    </row>
    <row r="596" spans="1:22" ht="45" customHeight="1">
      <c r="A596" s="3" t="s">
        <v>148</v>
      </c>
      <c r="B596" s="5"/>
      <c r="C596" s="6"/>
      <c r="D596" s="3"/>
      <c r="E596" s="5"/>
      <c r="F596" s="20">
        <f>LEN(G596)</f>
        <v>0</v>
      </c>
      <c r="G596" s="5"/>
      <c r="H596" s="24"/>
      <c r="I596" s="5"/>
      <c r="J596" s="5"/>
      <c r="K596" s="5"/>
      <c r="L596" s="3" t="s">
        <v>155</v>
      </c>
      <c r="M596" s="5"/>
      <c r="N596" s="4"/>
      <c r="O596" s="5"/>
      <c r="P596" s="5"/>
      <c r="Q596" s="5"/>
      <c r="R596" s="5"/>
      <c r="S596" s="5"/>
      <c r="T596" s="24"/>
      <c r="U596" s="3" t="b">
        <v>0</v>
      </c>
      <c r="V596" s="5"/>
    </row>
    <row r="597" spans="1:22" ht="45" customHeight="1">
      <c r="A597" s="3" t="s">
        <v>148</v>
      </c>
      <c r="B597" s="5"/>
      <c r="C597" s="6"/>
      <c r="D597" s="3"/>
      <c r="E597" s="5"/>
      <c r="F597" s="20">
        <f>LEN(G597)</f>
        <v>0</v>
      </c>
      <c r="G597" s="5"/>
      <c r="H597" s="24"/>
      <c r="I597" s="5"/>
      <c r="J597" s="5"/>
      <c r="K597" s="5"/>
      <c r="L597" s="3" t="s">
        <v>155</v>
      </c>
      <c r="M597" s="5"/>
      <c r="N597" s="4"/>
      <c r="O597" s="5"/>
      <c r="P597" s="5"/>
      <c r="Q597" s="5"/>
      <c r="R597" s="5"/>
      <c r="S597" s="5"/>
      <c r="T597" s="24"/>
      <c r="U597" s="3" t="b">
        <v>0</v>
      </c>
      <c r="V597" s="5"/>
    </row>
    <row r="598" spans="1:22" ht="45" customHeight="1">
      <c r="A598" s="3" t="s">
        <v>148</v>
      </c>
      <c r="B598" s="5"/>
      <c r="C598" s="6"/>
      <c r="D598" s="3"/>
      <c r="E598" s="5"/>
      <c r="F598" s="20">
        <f>LEN(G598)</f>
        <v>0</v>
      </c>
      <c r="G598" s="5"/>
      <c r="H598" s="24"/>
      <c r="I598" s="5"/>
      <c r="J598" s="5"/>
      <c r="K598" s="5"/>
      <c r="L598" s="3" t="s">
        <v>155</v>
      </c>
      <c r="M598" s="5"/>
      <c r="N598" s="4"/>
      <c r="O598" s="5"/>
      <c r="P598" s="5"/>
      <c r="Q598" s="5"/>
      <c r="R598" s="5"/>
      <c r="S598" s="5"/>
      <c r="T598" s="24"/>
      <c r="U598" s="3" t="b">
        <v>0</v>
      </c>
      <c r="V598" s="5"/>
    </row>
    <row r="599" spans="1:22" ht="45" customHeight="1">
      <c r="A599" s="3" t="s">
        <v>148</v>
      </c>
      <c r="B599" s="5"/>
      <c r="C599" s="6"/>
      <c r="D599" s="3"/>
      <c r="E599" s="5"/>
      <c r="F599" s="20">
        <f>LEN(G599)</f>
        <v>0</v>
      </c>
      <c r="G599" s="5"/>
      <c r="H599" s="24"/>
      <c r="I599" s="5"/>
      <c r="J599" s="5"/>
      <c r="K599" s="5"/>
      <c r="L599" s="3" t="s">
        <v>155</v>
      </c>
      <c r="M599" s="5"/>
      <c r="N599" s="4"/>
      <c r="O599" s="5"/>
      <c r="P599" s="5"/>
      <c r="Q599" s="5"/>
      <c r="R599" s="5"/>
      <c r="S599" s="5"/>
      <c r="T599" s="24"/>
      <c r="U599" s="3" t="b">
        <v>0</v>
      </c>
      <c r="V599" s="5"/>
    </row>
    <row r="600" spans="1:22" ht="45" customHeight="1">
      <c r="A600" s="3" t="s">
        <v>148</v>
      </c>
      <c r="B600" s="5"/>
      <c r="C600" s="6"/>
      <c r="D600" s="3"/>
      <c r="E600" s="5"/>
      <c r="F600" s="20">
        <f>LEN(G600)</f>
        <v>0</v>
      </c>
      <c r="G600" s="5"/>
      <c r="H600" s="24"/>
      <c r="I600" s="5"/>
      <c r="J600" s="5"/>
      <c r="K600" s="5"/>
      <c r="L600" s="3" t="s">
        <v>155</v>
      </c>
      <c r="M600" s="5"/>
      <c r="N600" s="4"/>
      <c r="O600" s="5"/>
      <c r="P600" s="5"/>
      <c r="Q600" s="5"/>
      <c r="R600" s="5"/>
      <c r="S600" s="5"/>
      <c r="T600" s="24"/>
      <c r="U600" s="3" t="b">
        <v>0</v>
      </c>
      <c r="V600" s="5"/>
    </row>
    <row r="601" spans="1:22" ht="45" customHeight="1">
      <c r="A601" s="3" t="s">
        <v>148</v>
      </c>
      <c r="B601" s="5"/>
      <c r="C601" s="6"/>
      <c r="D601" s="3"/>
      <c r="E601" s="5"/>
      <c r="F601" s="20">
        <f>LEN(G601)</f>
        <v>0</v>
      </c>
      <c r="G601" s="5"/>
      <c r="H601" s="24"/>
      <c r="I601" s="5"/>
      <c r="J601" s="5"/>
      <c r="K601" s="5"/>
      <c r="L601" s="3" t="s">
        <v>155</v>
      </c>
      <c r="M601" s="5"/>
      <c r="N601" s="4"/>
      <c r="O601" s="5"/>
      <c r="P601" s="5"/>
      <c r="Q601" s="5"/>
      <c r="R601" s="5"/>
      <c r="S601" s="5"/>
      <c r="T601" s="24"/>
      <c r="U601" s="3" t="b">
        <v>0</v>
      </c>
      <c r="V601" s="5"/>
    </row>
    <row r="602" spans="1:22" ht="45" customHeight="1">
      <c r="A602" s="3" t="s">
        <v>148</v>
      </c>
      <c r="B602" s="5"/>
      <c r="C602" s="6"/>
      <c r="D602" s="3"/>
      <c r="E602" s="5"/>
      <c r="F602" s="20">
        <f>LEN(G602)</f>
        <v>0</v>
      </c>
      <c r="G602" s="5"/>
      <c r="H602" s="24"/>
      <c r="I602" s="5"/>
      <c r="J602" s="5"/>
      <c r="K602" s="5"/>
      <c r="L602" s="3" t="s">
        <v>155</v>
      </c>
      <c r="M602" s="5"/>
      <c r="N602" s="4"/>
      <c r="O602" s="5"/>
      <c r="P602" s="5"/>
      <c r="Q602" s="5"/>
      <c r="R602" s="5"/>
      <c r="S602" s="5"/>
      <c r="T602" s="24"/>
      <c r="U602" s="3" t="b">
        <v>0</v>
      </c>
      <c r="V602" s="5"/>
    </row>
    <row r="603" spans="1:22" ht="45" customHeight="1">
      <c r="A603" s="3" t="s">
        <v>148</v>
      </c>
      <c r="B603" s="5"/>
      <c r="C603" s="6"/>
      <c r="D603" s="3"/>
      <c r="E603" s="5"/>
      <c r="F603" s="20">
        <f>LEN(G603)</f>
        <v>0</v>
      </c>
      <c r="G603" s="5"/>
      <c r="H603" s="24"/>
      <c r="I603" s="5"/>
      <c r="J603" s="5"/>
      <c r="K603" s="5"/>
      <c r="L603" s="3" t="s">
        <v>155</v>
      </c>
      <c r="M603" s="5"/>
      <c r="N603" s="4"/>
      <c r="O603" s="5"/>
      <c r="P603" s="5"/>
      <c r="Q603" s="5"/>
      <c r="R603" s="5"/>
      <c r="S603" s="5"/>
      <c r="T603" s="24"/>
      <c r="U603" s="3" t="b">
        <v>0</v>
      </c>
      <c r="V603" s="5"/>
    </row>
    <row r="604" spans="1:22" ht="45" customHeight="1">
      <c r="A604" s="3" t="s">
        <v>148</v>
      </c>
      <c r="B604" s="5"/>
      <c r="C604" s="6"/>
      <c r="D604" s="3"/>
      <c r="E604" s="5"/>
      <c r="F604" s="20">
        <f>LEN(G604)</f>
        <v>0</v>
      </c>
      <c r="G604" s="5"/>
      <c r="H604" s="24"/>
      <c r="I604" s="5"/>
      <c r="J604" s="5"/>
      <c r="K604" s="5"/>
      <c r="L604" s="3" t="s">
        <v>155</v>
      </c>
      <c r="M604" s="5"/>
      <c r="N604" s="4"/>
      <c r="O604" s="5"/>
      <c r="P604" s="5"/>
      <c r="Q604" s="5"/>
      <c r="R604" s="5"/>
      <c r="S604" s="5"/>
      <c r="T604" s="24"/>
      <c r="U604" s="3" t="b">
        <v>0</v>
      </c>
      <c r="V604" s="5"/>
    </row>
    <row r="605" spans="1:22" ht="45" customHeight="1">
      <c r="A605" s="3" t="s">
        <v>148</v>
      </c>
      <c r="B605" s="5"/>
      <c r="C605" s="6"/>
      <c r="D605" s="3"/>
      <c r="E605" s="5"/>
      <c r="F605" s="20">
        <f>LEN(G605)</f>
        <v>0</v>
      </c>
      <c r="G605" s="5"/>
      <c r="H605" s="24"/>
      <c r="I605" s="5"/>
      <c r="J605" s="5"/>
      <c r="K605" s="5"/>
      <c r="L605" s="3" t="s">
        <v>155</v>
      </c>
      <c r="M605" s="5"/>
      <c r="N605" s="4"/>
      <c r="O605" s="5"/>
      <c r="P605" s="5"/>
      <c r="Q605" s="5"/>
      <c r="R605" s="5"/>
      <c r="S605" s="5"/>
      <c r="T605" s="24"/>
      <c r="U605" s="3" t="b">
        <v>0</v>
      </c>
      <c r="V605" s="5"/>
    </row>
    <row r="606" spans="1:22" ht="45" customHeight="1">
      <c r="A606" s="3" t="s">
        <v>148</v>
      </c>
      <c r="B606" s="5"/>
      <c r="C606" s="6"/>
      <c r="D606" s="3"/>
      <c r="E606" s="5"/>
      <c r="F606" s="20">
        <f>LEN(G606)</f>
        <v>0</v>
      </c>
      <c r="G606" s="5"/>
      <c r="H606" s="24"/>
      <c r="I606" s="5"/>
      <c r="J606" s="5"/>
      <c r="K606" s="5"/>
      <c r="L606" s="3" t="s">
        <v>155</v>
      </c>
      <c r="M606" s="5"/>
      <c r="N606" s="4"/>
      <c r="O606" s="5"/>
      <c r="P606" s="5"/>
      <c r="Q606" s="5"/>
      <c r="R606" s="5"/>
      <c r="S606" s="5"/>
      <c r="T606" s="24"/>
      <c r="U606" s="3" t="b">
        <v>0</v>
      </c>
      <c r="V606" s="5"/>
    </row>
    <row r="607" spans="1:22" ht="45" customHeight="1">
      <c r="A607" s="3" t="s">
        <v>148</v>
      </c>
      <c r="B607" s="5"/>
      <c r="C607" s="6"/>
      <c r="D607" s="3"/>
      <c r="E607" s="5"/>
      <c r="F607" s="20">
        <f>LEN(G607)</f>
        <v>0</v>
      </c>
      <c r="G607" s="5"/>
      <c r="H607" s="24"/>
      <c r="I607" s="5"/>
      <c r="J607" s="5"/>
      <c r="K607" s="5"/>
      <c r="L607" s="3" t="s">
        <v>155</v>
      </c>
      <c r="M607" s="5"/>
      <c r="N607" s="4"/>
      <c r="O607" s="5"/>
      <c r="P607" s="5"/>
      <c r="Q607" s="5"/>
      <c r="R607" s="5"/>
      <c r="S607" s="5"/>
      <c r="T607" s="24"/>
      <c r="U607" s="3" t="b">
        <v>0</v>
      </c>
      <c r="V607" s="5"/>
    </row>
    <row r="608" spans="1:22" ht="45" customHeight="1">
      <c r="A608" s="3" t="s">
        <v>148</v>
      </c>
      <c r="B608" s="5"/>
      <c r="C608" s="6"/>
      <c r="D608" s="3"/>
      <c r="E608" s="5"/>
      <c r="F608" s="20">
        <f>LEN(G608)</f>
        <v>0</v>
      </c>
      <c r="G608" s="5"/>
      <c r="H608" s="24"/>
      <c r="I608" s="5"/>
      <c r="J608" s="5"/>
      <c r="K608" s="5"/>
      <c r="L608" s="3" t="s">
        <v>155</v>
      </c>
      <c r="M608" s="5"/>
      <c r="N608" s="4"/>
      <c r="O608" s="5"/>
      <c r="P608" s="5"/>
      <c r="Q608" s="5"/>
      <c r="R608" s="5"/>
      <c r="S608" s="5"/>
      <c r="T608" s="24"/>
      <c r="U608" s="3" t="b">
        <v>0</v>
      </c>
      <c r="V608" s="5"/>
    </row>
    <row r="609" spans="1:22" ht="45" customHeight="1">
      <c r="A609" s="3" t="s">
        <v>148</v>
      </c>
      <c r="B609" s="5"/>
      <c r="C609" s="6"/>
      <c r="D609" s="3"/>
      <c r="E609" s="5"/>
      <c r="F609" s="20">
        <f>LEN(G609)</f>
        <v>0</v>
      </c>
      <c r="G609" s="5"/>
      <c r="H609" s="24"/>
      <c r="I609" s="5"/>
      <c r="J609" s="5"/>
      <c r="K609" s="5"/>
      <c r="L609" s="3" t="s">
        <v>155</v>
      </c>
      <c r="M609" s="5"/>
      <c r="N609" s="4"/>
      <c r="O609" s="5"/>
      <c r="P609" s="5"/>
      <c r="Q609" s="5"/>
      <c r="R609" s="5"/>
      <c r="S609" s="5"/>
      <c r="T609" s="24"/>
      <c r="U609" s="3" t="b">
        <v>0</v>
      </c>
      <c r="V609" s="5"/>
    </row>
    <row r="610" spans="1:22" ht="45" customHeight="1">
      <c r="A610" s="3" t="s">
        <v>148</v>
      </c>
      <c r="B610" s="5"/>
      <c r="C610" s="6"/>
      <c r="D610" s="3"/>
      <c r="E610" s="5"/>
      <c r="F610" s="20">
        <f>LEN(G610)</f>
        <v>0</v>
      </c>
      <c r="G610" s="5"/>
      <c r="H610" s="24"/>
      <c r="I610" s="5"/>
      <c r="J610" s="5"/>
      <c r="K610" s="5"/>
      <c r="L610" s="3" t="s">
        <v>155</v>
      </c>
      <c r="M610" s="5"/>
      <c r="N610" s="4"/>
      <c r="O610" s="5"/>
      <c r="P610" s="5"/>
      <c r="Q610" s="5"/>
      <c r="R610" s="5"/>
      <c r="S610" s="5"/>
      <c r="T610" s="24"/>
      <c r="U610" s="3" t="b">
        <v>0</v>
      </c>
      <c r="V610" s="5"/>
    </row>
    <row r="611" spans="1:22" ht="45" customHeight="1">
      <c r="A611" s="3" t="s">
        <v>148</v>
      </c>
      <c r="B611" s="5"/>
      <c r="C611" s="6"/>
      <c r="D611" s="3"/>
      <c r="E611" s="5"/>
      <c r="F611" s="20">
        <f>LEN(G611)</f>
        <v>0</v>
      </c>
      <c r="G611" s="5"/>
      <c r="H611" s="24"/>
      <c r="I611" s="5"/>
      <c r="J611" s="5"/>
      <c r="K611" s="5"/>
      <c r="L611" s="3" t="s">
        <v>155</v>
      </c>
      <c r="M611" s="5"/>
      <c r="N611" s="4"/>
      <c r="O611" s="5"/>
      <c r="P611" s="5"/>
      <c r="Q611" s="5"/>
      <c r="R611" s="5"/>
      <c r="S611" s="5"/>
      <c r="T611" s="24"/>
      <c r="U611" s="3" t="b">
        <v>0</v>
      </c>
      <c r="V611" s="5"/>
    </row>
    <row r="612" spans="1:22" ht="45" customHeight="1">
      <c r="A612" s="3" t="s">
        <v>148</v>
      </c>
      <c r="B612" s="5"/>
      <c r="C612" s="6"/>
      <c r="D612" s="3"/>
      <c r="E612" s="5"/>
      <c r="F612" s="20">
        <f>LEN(G612)</f>
        <v>0</v>
      </c>
      <c r="G612" s="5"/>
      <c r="H612" s="24"/>
      <c r="I612" s="5"/>
      <c r="J612" s="5"/>
      <c r="K612" s="5"/>
      <c r="L612" s="3" t="s">
        <v>155</v>
      </c>
      <c r="M612" s="5"/>
      <c r="N612" s="4"/>
      <c r="O612" s="5"/>
      <c r="P612" s="5"/>
      <c r="Q612" s="5"/>
      <c r="R612" s="5"/>
      <c r="S612" s="5"/>
      <c r="T612" s="24"/>
      <c r="U612" s="3" t="b">
        <v>0</v>
      </c>
      <c r="V612" s="5"/>
    </row>
    <row r="613" spans="1:22" ht="45" customHeight="1">
      <c r="A613" s="3" t="s">
        <v>148</v>
      </c>
      <c r="B613" s="5"/>
      <c r="C613" s="6"/>
      <c r="D613" s="3"/>
      <c r="E613" s="5"/>
      <c r="F613" s="20">
        <f>LEN(G613)</f>
        <v>0</v>
      </c>
      <c r="G613" s="5"/>
      <c r="H613" s="24"/>
      <c r="I613" s="5"/>
      <c r="J613" s="5"/>
      <c r="K613" s="5"/>
      <c r="L613" s="3" t="s">
        <v>155</v>
      </c>
      <c r="M613" s="5"/>
      <c r="N613" s="4"/>
      <c r="O613" s="5"/>
      <c r="P613" s="5"/>
      <c r="Q613" s="5"/>
      <c r="R613" s="5"/>
      <c r="S613" s="5"/>
      <c r="T613" s="24"/>
      <c r="U613" s="3" t="b">
        <v>0</v>
      </c>
      <c r="V613" s="5"/>
    </row>
    <row r="614" spans="1:22" ht="45" customHeight="1">
      <c r="A614" s="3" t="s">
        <v>148</v>
      </c>
      <c r="B614" s="5"/>
      <c r="C614" s="6"/>
      <c r="D614" s="3"/>
      <c r="E614" s="5"/>
      <c r="F614" s="20">
        <f>LEN(G614)</f>
        <v>0</v>
      </c>
      <c r="G614" s="5"/>
      <c r="H614" s="24"/>
      <c r="I614" s="5"/>
      <c r="J614" s="5"/>
      <c r="K614" s="5"/>
      <c r="L614" s="3" t="s">
        <v>155</v>
      </c>
      <c r="M614" s="5"/>
      <c r="N614" s="4"/>
      <c r="O614" s="5"/>
      <c r="P614" s="5"/>
      <c r="Q614" s="5"/>
      <c r="R614" s="5"/>
      <c r="S614" s="5"/>
      <c r="T614" s="24"/>
      <c r="U614" s="3" t="b">
        <v>0</v>
      </c>
      <c r="V614" s="5"/>
    </row>
    <row r="615" spans="1:22" ht="45" customHeight="1">
      <c r="A615" s="3" t="s">
        <v>148</v>
      </c>
      <c r="B615" s="5"/>
      <c r="C615" s="6"/>
      <c r="D615" s="3"/>
      <c r="E615" s="5"/>
      <c r="F615" s="20">
        <f>LEN(G615)</f>
        <v>0</v>
      </c>
      <c r="G615" s="5"/>
      <c r="H615" s="24"/>
      <c r="I615" s="5"/>
      <c r="J615" s="5"/>
      <c r="K615" s="5"/>
      <c r="L615" s="3" t="s">
        <v>155</v>
      </c>
      <c r="M615" s="5"/>
      <c r="N615" s="4"/>
      <c r="O615" s="5"/>
      <c r="P615" s="5"/>
      <c r="Q615" s="5"/>
      <c r="R615" s="5"/>
      <c r="S615" s="5"/>
      <c r="T615" s="24"/>
      <c r="U615" s="3" t="b">
        <v>0</v>
      </c>
      <c r="V615" s="5"/>
    </row>
    <row r="616" spans="1:22" ht="45" customHeight="1">
      <c r="A616" s="3" t="s">
        <v>148</v>
      </c>
      <c r="B616" s="5"/>
      <c r="C616" s="6"/>
      <c r="D616" s="3"/>
      <c r="E616" s="5"/>
      <c r="F616" s="20">
        <f>LEN(G616)</f>
        <v>0</v>
      </c>
      <c r="G616" s="5"/>
      <c r="H616" s="24"/>
      <c r="I616" s="5"/>
      <c r="J616" s="5"/>
      <c r="K616" s="5"/>
      <c r="L616" s="3" t="s">
        <v>155</v>
      </c>
      <c r="M616" s="5"/>
      <c r="N616" s="4"/>
      <c r="O616" s="5"/>
      <c r="P616" s="5"/>
      <c r="Q616" s="5"/>
      <c r="R616" s="5"/>
      <c r="S616" s="5"/>
      <c r="T616" s="24"/>
      <c r="U616" s="3" t="b">
        <v>0</v>
      </c>
      <c r="V616" s="5"/>
    </row>
    <row r="617" spans="1:22" ht="45" customHeight="1">
      <c r="A617" s="3" t="s">
        <v>148</v>
      </c>
      <c r="B617" s="5"/>
      <c r="C617" s="6"/>
      <c r="D617" s="3"/>
      <c r="E617" s="5"/>
      <c r="F617" s="20">
        <f>LEN(G617)</f>
        <v>0</v>
      </c>
      <c r="G617" s="5"/>
      <c r="H617" s="24"/>
      <c r="I617" s="5"/>
      <c r="J617" s="5"/>
      <c r="K617" s="5"/>
      <c r="L617" s="3" t="s">
        <v>155</v>
      </c>
      <c r="M617" s="5"/>
      <c r="N617" s="4"/>
      <c r="O617" s="5"/>
      <c r="P617" s="5"/>
      <c r="Q617" s="5"/>
      <c r="R617" s="5"/>
      <c r="S617" s="5"/>
      <c r="T617" s="24"/>
      <c r="U617" s="3" t="b">
        <v>0</v>
      </c>
      <c r="V617" s="5"/>
    </row>
    <row r="618" spans="1:22" ht="45" customHeight="1">
      <c r="A618" s="3" t="s">
        <v>148</v>
      </c>
      <c r="B618" s="5"/>
      <c r="C618" s="6"/>
      <c r="D618" s="3"/>
      <c r="E618" s="5"/>
      <c r="F618" s="20">
        <f>LEN(G618)</f>
        <v>0</v>
      </c>
      <c r="G618" s="5"/>
      <c r="H618" s="24"/>
      <c r="I618" s="5"/>
      <c r="J618" s="5"/>
      <c r="K618" s="5"/>
      <c r="L618" s="3" t="s">
        <v>155</v>
      </c>
      <c r="M618" s="5"/>
      <c r="N618" s="4"/>
      <c r="O618" s="5"/>
      <c r="P618" s="5"/>
      <c r="Q618" s="5"/>
      <c r="R618" s="5"/>
      <c r="S618" s="5"/>
      <c r="T618" s="24"/>
      <c r="U618" s="3" t="b">
        <v>0</v>
      </c>
      <c r="V618" s="5"/>
    </row>
    <row r="619" spans="1:22" ht="45" customHeight="1">
      <c r="A619" s="3" t="s">
        <v>148</v>
      </c>
      <c r="B619" s="5"/>
      <c r="C619" s="6"/>
      <c r="D619" s="3"/>
      <c r="E619" s="5"/>
      <c r="F619" s="20">
        <f>LEN(G619)</f>
        <v>0</v>
      </c>
      <c r="G619" s="5"/>
      <c r="H619" s="24"/>
      <c r="I619" s="5"/>
      <c r="J619" s="5"/>
      <c r="K619" s="5"/>
      <c r="L619" s="3" t="s">
        <v>155</v>
      </c>
      <c r="M619" s="5"/>
      <c r="N619" s="4"/>
      <c r="O619" s="5"/>
      <c r="P619" s="5"/>
      <c r="Q619" s="5"/>
      <c r="R619" s="5"/>
      <c r="S619" s="5"/>
      <c r="T619" s="24"/>
      <c r="U619" s="3" t="b">
        <v>0</v>
      </c>
      <c r="V619" s="5"/>
    </row>
    <row r="620" spans="1:22" ht="45" customHeight="1">
      <c r="A620" s="3" t="s">
        <v>148</v>
      </c>
      <c r="B620" s="5"/>
      <c r="C620" s="6"/>
      <c r="D620" s="3"/>
      <c r="E620" s="5"/>
      <c r="F620" s="20">
        <f>LEN(G620)</f>
        <v>0</v>
      </c>
      <c r="G620" s="5"/>
      <c r="H620" s="24"/>
      <c r="I620" s="5"/>
      <c r="J620" s="5"/>
      <c r="K620" s="5"/>
      <c r="L620" s="3" t="s">
        <v>155</v>
      </c>
      <c r="M620" s="5"/>
      <c r="N620" s="4"/>
      <c r="O620" s="5"/>
      <c r="P620" s="5"/>
      <c r="Q620" s="5"/>
      <c r="R620" s="5"/>
      <c r="S620" s="5"/>
      <c r="T620" s="24"/>
      <c r="U620" s="3" t="b">
        <v>0</v>
      </c>
      <c r="V620" s="5"/>
    </row>
    <row r="621" spans="1:22" ht="45" customHeight="1">
      <c r="A621" s="3" t="s">
        <v>148</v>
      </c>
      <c r="B621" s="5"/>
      <c r="C621" s="6"/>
      <c r="D621" s="3"/>
      <c r="E621" s="5"/>
      <c r="F621" s="20">
        <f>LEN(G621)</f>
        <v>0</v>
      </c>
      <c r="G621" s="5"/>
      <c r="H621" s="24"/>
      <c r="I621" s="5"/>
      <c r="J621" s="5"/>
      <c r="K621" s="5"/>
      <c r="L621" s="3" t="s">
        <v>155</v>
      </c>
      <c r="M621" s="5"/>
      <c r="N621" s="4"/>
      <c r="O621" s="5"/>
      <c r="P621" s="5"/>
      <c r="Q621" s="5"/>
      <c r="R621" s="5"/>
      <c r="S621" s="5"/>
      <c r="T621" s="24"/>
      <c r="U621" s="3" t="b">
        <v>0</v>
      </c>
      <c r="V621" s="5"/>
    </row>
    <row r="622" spans="1:22" ht="45" customHeight="1">
      <c r="A622" s="3" t="s">
        <v>148</v>
      </c>
      <c r="B622" s="5"/>
      <c r="C622" s="6"/>
      <c r="D622" s="3"/>
      <c r="E622" s="5"/>
      <c r="F622" s="20">
        <f>LEN(G622)</f>
        <v>0</v>
      </c>
      <c r="G622" s="5"/>
      <c r="H622" s="24"/>
      <c r="I622" s="5"/>
      <c r="J622" s="5"/>
      <c r="K622" s="5"/>
      <c r="L622" s="3" t="s">
        <v>155</v>
      </c>
      <c r="M622" s="5"/>
      <c r="N622" s="4"/>
      <c r="O622" s="5"/>
      <c r="P622" s="5"/>
      <c r="Q622" s="5"/>
      <c r="R622" s="5"/>
      <c r="S622" s="5"/>
      <c r="T622" s="24"/>
      <c r="U622" s="3" t="b">
        <v>0</v>
      </c>
      <c r="V622" s="5"/>
    </row>
    <row r="623" spans="1:22" ht="45" customHeight="1">
      <c r="A623" s="3" t="s">
        <v>148</v>
      </c>
      <c r="B623" s="5"/>
      <c r="C623" s="6"/>
      <c r="D623" s="3"/>
      <c r="E623" s="5"/>
      <c r="F623" s="20">
        <f>LEN(G623)</f>
        <v>0</v>
      </c>
      <c r="G623" s="5"/>
      <c r="H623" s="24"/>
      <c r="I623" s="5"/>
      <c r="J623" s="5"/>
      <c r="K623" s="5"/>
      <c r="L623" s="3" t="s">
        <v>155</v>
      </c>
      <c r="M623" s="5"/>
      <c r="N623" s="4"/>
      <c r="O623" s="5"/>
      <c r="P623" s="5"/>
      <c r="Q623" s="5"/>
      <c r="R623" s="5"/>
      <c r="S623" s="5"/>
      <c r="T623" s="24"/>
      <c r="U623" s="3" t="b">
        <v>0</v>
      </c>
      <c r="V623" s="5"/>
    </row>
    <row r="624" spans="1:22" ht="45" customHeight="1">
      <c r="A624" s="3" t="s">
        <v>148</v>
      </c>
      <c r="B624" s="5"/>
      <c r="C624" s="6"/>
      <c r="D624" s="3"/>
      <c r="E624" s="5"/>
      <c r="F624" s="20">
        <f>LEN(G624)</f>
        <v>0</v>
      </c>
      <c r="G624" s="5"/>
      <c r="H624" s="24"/>
      <c r="I624" s="5"/>
      <c r="J624" s="5"/>
      <c r="K624" s="5"/>
      <c r="L624" s="3" t="s">
        <v>155</v>
      </c>
      <c r="M624" s="5"/>
      <c r="N624" s="4"/>
      <c r="O624" s="5"/>
      <c r="P624" s="5"/>
      <c r="Q624" s="5"/>
      <c r="R624" s="5"/>
      <c r="S624" s="5"/>
      <c r="T624" s="24"/>
      <c r="U624" s="3" t="b">
        <v>0</v>
      </c>
      <c r="V624" s="5"/>
    </row>
    <row r="625" spans="1:22" ht="45" customHeight="1">
      <c r="A625" s="3" t="s">
        <v>148</v>
      </c>
      <c r="B625" s="5"/>
      <c r="C625" s="6"/>
      <c r="D625" s="3"/>
      <c r="E625" s="5"/>
      <c r="F625" s="20">
        <f>LEN(G625)</f>
        <v>0</v>
      </c>
      <c r="G625" s="5"/>
      <c r="H625" s="24"/>
      <c r="I625" s="5"/>
      <c r="J625" s="5"/>
      <c r="K625" s="5"/>
      <c r="L625" s="3" t="s">
        <v>155</v>
      </c>
      <c r="M625" s="5"/>
      <c r="N625" s="4"/>
      <c r="O625" s="5"/>
      <c r="P625" s="5"/>
      <c r="Q625" s="5"/>
      <c r="R625" s="5"/>
      <c r="S625" s="5"/>
      <c r="T625" s="24"/>
      <c r="U625" s="3" t="b">
        <v>0</v>
      </c>
      <c r="V625" s="5"/>
    </row>
    <row r="626" spans="1:22" ht="45" customHeight="1">
      <c r="A626" s="3" t="s">
        <v>148</v>
      </c>
      <c r="B626" s="5"/>
      <c r="C626" s="6"/>
      <c r="D626" s="3"/>
      <c r="E626" s="5"/>
      <c r="F626" s="20">
        <f>LEN(G626)</f>
        <v>0</v>
      </c>
      <c r="G626" s="5"/>
      <c r="H626" s="24"/>
      <c r="I626" s="5"/>
      <c r="J626" s="5"/>
      <c r="K626" s="5"/>
      <c r="L626" s="3" t="s">
        <v>155</v>
      </c>
      <c r="M626" s="5"/>
      <c r="N626" s="4"/>
      <c r="O626" s="5"/>
      <c r="P626" s="5"/>
      <c r="Q626" s="5"/>
      <c r="R626" s="5"/>
      <c r="S626" s="5"/>
      <c r="T626" s="24"/>
      <c r="U626" s="3" t="b">
        <v>0</v>
      </c>
      <c r="V626" s="5"/>
    </row>
    <row r="627" spans="1:22" ht="45" customHeight="1">
      <c r="A627" s="3" t="s">
        <v>148</v>
      </c>
      <c r="B627" s="5"/>
      <c r="C627" s="6"/>
      <c r="D627" s="3"/>
      <c r="E627" s="5"/>
      <c r="F627" s="20">
        <f>LEN(G627)</f>
        <v>0</v>
      </c>
      <c r="G627" s="5"/>
      <c r="H627" s="24"/>
      <c r="I627" s="5"/>
      <c r="J627" s="5"/>
      <c r="K627" s="5"/>
      <c r="L627" s="3" t="s">
        <v>155</v>
      </c>
      <c r="M627" s="5"/>
      <c r="N627" s="4"/>
      <c r="O627" s="5"/>
      <c r="P627" s="5"/>
      <c r="Q627" s="5"/>
      <c r="R627" s="5"/>
      <c r="S627" s="5"/>
      <c r="T627" s="24"/>
      <c r="U627" s="3" t="b">
        <v>0</v>
      </c>
      <c r="V627" s="5"/>
    </row>
    <row r="628" spans="1:22" ht="45" customHeight="1">
      <c r="A628" s="3" t="s">
        <v>148</v>
      </c>
      <c r="B628" s="5"/>
      <c r="C628" s="6"/>
      <c r="D628" s="3"/>
      <c r="E628" s="5"/>
      <c r="F628" s="20">
        <f>LEN(G628)</f>
        <v>0</v>
      </c>
      <c r="G628" s="5"/>
      <c r="H628" s="24"/>
      <c r="I628" s="5"/>
      <c r="J628" s="5"/>
      <c r="K628" s="5"/>
      <c r="L628" s="3" t="s">
        <v>155</v>
      </c>
      <c r="M628" s="5"/>
      <c r="N628" s="4"/>
      <c r="O628" s="5"/>
      <c r="P628" s="5"/>
      <c r="Q628" s="5"/>
      <c r="R628" s="5"/>
      <c r="S628" s="5"/>
      <c r="T628" s="24"/>
      <c r="U628" s="3" t="b">
        <v>0</v>
      </c>
      <c r="V628" s="5"/>
    </row>
    <row r="629" spans="1:22" ht="45" customHeight="1">
      <c r="A629" s="3" t="s">
        <v>148</v>
      </c>
      <c r="B629" s="5"/>
      <c r="C629" s="6"/>
      <c r="D629" s="3"/>
      <c r="E629" s="5"/>
      <c r="F629" s="20">
        <f>LEN(G629)</f>
        <v>0</v>
      </c>
      <c r="G629" s="5"/>
      <c r="H629" s="24"/>
      <c r="I629" s="5"/>
      <c r="J629" s="5"/>
      <c r="K629" s="5"/>
      <c r="L629" s="3" t="s">
        <v>155</v>
      </c>
      <c r="M629" s="5"/>
      <c r="N629" s="4"/>
      <c r="O629" s="5"/>
      <c r="P629" s="5"/>
      <c r="Q629" s="5"/>
      <c r="R629" s="5"/>
      <c r="S629" s="5"/>
      <c r="T629" s="24"/>
      <c r="U629" s="3" t="b">
        <v>0</v>
      </c>
      <c r="V629" s="5"/>
    </row>
    <row r="630" spans="1:22" ht="45" customHeight="1">
      <c r="A630" s="3" t="s">
        <v>148</v>
      </c>
      <c r="B630" s="5"/>
      <c r="C630" s="6"/>
      <c r="D630" s="3"/>
      <c r="E630" s="5"/>
      <c r="F630" s="20">
        <f>LEN(G630)</f>
        <v>0</v>
      </c>
      <c r="G630" s="5"/>
      <c r="H630" s="24"/>
      <c r="I630" s="5"/>
      <c r="J630" s="5"/>
      <c r="K630" s="5"/>
      <c r="L630" s="3" t="s">
        <v>155</v>
      </c>
      <c r="M630" s="5"/>
      <c r="N630" s="4"/>
      <c r="O630" s="5"/>
      <c r="P630" s="5"/>
      <c r="Q630" s="5"/>
      <c r="R630" s="5"/>
      <c r="S630" s="5"/>
      <c r="T630" s="24"/>
      <c r="U630" s="3" t="b">
        <v>0</v>
      </c>
      <c r="V630" s="5"/>
    </row>
    <row r="631" spans="1:22" ht="45" customHeight="1">
      <c r="A631" s="3" t="s">
        <v>148</v>
      </c>
      <c r="B631" s="5"/>
      <c r="C631" s="6"/>
      <c r="D631" s="3"/>
      <c r="E631" s="5"/>
      <c r="F631" s="20">
        <f>LEN(G631)</f>
        <v>0</v>
      </c>
      <c r="G631" s="5"/>
      <c r="H631" s="24"/>
      <c r="I631" s="5"/>
      <c r="J631" s="5"/>
      <c r="K631" s="5"/>
      <c r="L631" s="3" t="s">
        <v>155</v>
      </c>
      <c r="M631" s="5"/>
      <c r="N631" s="4"/>
      <c r="O631" s="5"/>
      <c r="P631" s="5"/>
      <c r="Q631" s="5"/>
      <c r="R631" s="5"/>
      <c r="S631" s="5"/>
      <c r="T631" s="24"/>
      <c r="U631" s="3" t="b">
        <v>0</v>
      </c>
      <c r="V631" s="5"/>
    </row>
    <row r="632" spans="1:22" ht="45" customHeight="1">
      <c r="A632" s="3" t="s">
        <v>148</v>
      </c>
      <c r="B632" s="5"/>
      <c r="C632" s="6"/>
      <c r="D632" s="3"/>
      <c r="E632" s="5"/>
      <c r="F632" s="20">
        <f>LEN(G632)</f>
        <v>0</v>
      </c>
      <c r="G632" s="5"/>
      <c r="H632" s="24"/>
      <c r="I632" s="5"/>
      <c r="J632" s="5"/>
      <c r="K632" s="5"/>
      <c r="L632" s="3" t="s">
        <v>155</v>
      </c>
      <c r="M632" s="5"/>
      <c r="N632" s="4"/>
      <c r="O632" s="5"/>
      <c r="P632" s="5"/>
      <c r="Q632" s="5"/>
      <c r="R632" s="5"/>
      <c r="S632" s="5"/>
      <c r="T632" s="24"/>
      <c r="U632" s="3" t="b">
        <v>0</v>
      </c>
      <c r="V632" s="5"/>
    </row>
    <row r="633" spans="1:22" ht="45" customHeight="1">
      <c r="A633" s="3" t="s">
        <v>148</v>
      </c>
      <c r="B633" s="5"/>
      <c r="C633" s="6"/>
      <c r="D633" s="3"/>
      <c r="E633" s="5"/>
      <c r="F633" s="20">
        <f>LEN(G633)</f>
        <v>0</v>
      </c>
      <c r="G633" s="5"/>
      <c r="H633" s="24"/>
      <c r="I633" s="5"/>
      <c r="J633" s="5"/>
      <c r="K633" s="5"/>
      <c r="L633" s="3" t="s">
        <v>155</v>
      </c>
      <c r="M633" s="5"/>
      <c r="N633" s="4"/>
      <c r="O633" s="5"/>
      <c r="P633" s="5"/>
      <c r="Q633" s="5"/>
      <c r="R633" s="5"/>
      <c r="S633" s="5"/>
      <c r="T633" s="24"/>
      <c r="U633" s="3" t="b">
        <v>0</v>
      </c>
      <c r="V633" s="5"/>
    </row>
    <row r="634" spans="1:22" ht="45" customHeight="1">
      <c r="A634" s="3" t="s">
        <v>148</v>
      </c>
      <c r="B634" s="5"/>
      <c r="C634" s="6"/>
      <c r="D634" s="3"/>
      <c r="E634" s="5"/>
      <c r="F634" s="20">
        <f>LEN(G634)</f>
        <v>0</v>
      </c>
      <c r="G634" s="5"/>
      <c r="H634" s="24"/>
      <c r="I634" s="5"/>
      <c r="J634" s="5"/>
      <c r="K634" s="5"/>
      <c r="L634" s="3" t="s">
        <v>155</v>
      </c>
      <c r="M634" s="5"/>
      <c r="N634" s="4"/>
      <c r="O634" s="5"/>
      <c r="P634" s="5"/>
      <c r="Q634" s="5"/>
      <c r="R634" s="5"/>
      <c r="S634" s="5"/>
      <c r="T634" s="24"/>
      <c r="U634" s="3" t="b">
        <v>0</v>
      </c>
      <c r="V634" s="5"/>
    </row>
    <row r="635" spans="1:22" ht="45" customHeight="1">
      <c r="A635" s="3" t="s">
        <v>148</v>
      </c>
      <c r="B635" s="5"/>
      <c r="C635" s="6"/>
      <c r="D635" s="3"/>
      <c r="E635" s="5"/>
      <c r="F635" s="20">
        <f>LEN(G635)</f>
        <v>0</v>
      </c>
      <c r="G635" s="5"/>
      <c r="H635" s="24"/>
      <c r="I635" s="5"/>
      <c r="J635" s="5"/>
      <c r="K635" s="5"/>
      <c r="L635" s="3" t="s">
        <v>155</v>
      </c>
      <c r="M635" s="5"/>
      <c r="N635" s="4"/>
      <c r="O635" s="5"/>
      <c r="P635" s="5"/>
      <c r="Q635" s="5"/>
      <c r="R635" s="5"/>
      <c r="S635" s="5"/>
      <c r="T635" s="24"/>
      <c r="U635" s="3" t="b">
        <v>0</v>
      </c>
      <c r="V635" s="5"/>
    </row>
    <row r="636" spans="1:22" ht="45" customHeight="1">
      <c r="A636" s="3" t="s">
        <v>148</v>
      </c>
      <c r="B636" s="5"/>
      <c r="C636" s="6"/>
      <c r="D636" s="3"/>
      <c r="E636" s="5"/>
      <c r="F636" s="20">
        <f>LEN(G636)</f>
        <v>0</v>
      </c>
      <c r="G636" s="5"/>
      <c r="H636" s="24"/>
      <c r="I636" s="5"/>
      <c r="J636" s="5"/>
      <c r="K636" s="5"/>
      <c r="L636" s="3" t="s">
        <v>155</v>
      </c>
      <c r="M636" s="5"/>
      <c r="N636" s="4"/>
      <c r="O636" s="5"/>
      <c r="P636" s="5"/>
      <c r="Q636" s="5"/>
      <c r="R636" s="5"/>
      <c r="S636" s="5"/>
      <c r="T636" s="24"/>
      <c r="U636" s="3" t="b">
        <v>0</v>
      </c>
      <c r="V636" s="5"/>
    </row>
    <row r="637" spans="1:22" ht="45" customHeight="1">
      <c r="A637" s="3" t="s">
        <v>148</v>
      </c>
      <c r="B637" s="5"/>
      <c r="C637" s="6"/>
      <c r="D637" s="3"/>
      <c r="E637" s="5"/>
      <c r="F637" s="20">
        <f>LEN(G637)</f>
        <v>0</v>
      </c>
      <c r="G637" s="5"/>
      <c r="H637" s="24"/>
      <c r="I637" s="5"/>
      <c r="J637" s="5"/>
      <c r="K637" s="5"/>
      <c r="L637" s="3" t="s">
        <v>155</v>
      </c>
      <c r="M637" s="5"/>
      <c r="N637" s="4"/>
      <c r="O637" s="5"/>
      <c r="P637" s="5"/>
      <c r="Q637" s="5"/>
      <c r="R637" s="5"/>
      <c r="S637" s="5"/>
      <c r="T637" s="24"/>
      <c r="U637" s="3" t="b">
        <v>0</v>
      </c>
      <c r="V637" s="5"/>
    </row>
    <row r="638" spans="1:22" ht="45" customHeight="1">
      <c r="A638" s="3" t="s">
        <v>148</v>
      </c>
      <c r="B638" s="5"/>
      <c r="C638" s="6"/>
      <c r="D638" s="3"/>
      <c r="E638" s="5"/>
      <c r="F638" s="20">
        <f>LEN(G638)</f>
        <v>0</v>
      </c>
      <c r="G638" s="5"/>
      <c r="H638" s="24"/>
      <c r="I638" s="5"/>
      <c r="J638" s="5"/>
      <c r="K638" s="5"/>
      <c r="L638" s="3" t="s">
        <v>155</v>
      </c>
      <c r="M638" s="5"/>
      <c r="N638" s="4"/>
      <c r="O638" s="5"/>
      <c r="P638" s="5"/>
      <c r="Q638" s="5"/>
      <c r="R638" s="5"/>
      <c r="S638" s="5"/>
      <c r="T638" s="24"/>
      <c r="U638" s="3" t="b">
        <v>0</v>
      </c>
      <c r="V638" s="5"/>
    </row>
    <row r="639" spans="1:22" ht="45" customHeight="1">
      <c r="A639" s="3" t="s">
        <v>148</v>
      </c>
      <c r="B639" s="5"/>
      <c r="C639" s="6"/>
      <c r="D639" s="3"/>
      <c r="E639" s="5"/>
      <c r="F639" s="20">
        <f>LEN(G639)</f>
        <v>0</v>
      </c>
      <c r="G639" s="5"/>
      <c r="H639" s="24"/>
      <c r="I639" s="5"/>
      <c r="J639" s="5"/>
      <c r="K639" s="5"/>
      <c r="L639" s="3" t="s">
        <v>155</v>
      </c>
      <c r="M639" s="5"/>
      <c r="N639" s="4"/>
      <c r="O639" s="5"/>
      <c r="P639" s="5"/>
      <c r="Q639" s="5"/>
      <c r="R639" s="5"/>
      <c r="S639" s="5"/>
      <c r="T639" s="24"/>
      <c r="U639" s="3" t="b">
        <v>0</v>
      </c>
      <c r="V639" s="5"/>
    </row>
    <row r="640" spans="1:22" ht="45" customHeight="1">
      <c r="A640" s="3" t="s">
        <v>148</v>
      </c>
      <c r="B640" s="5"/>
      <c r="C640" s="6"/>
      <c r="D640" s="3"/>
      <c r="E640" s="5"/>
      <c r="F640" s="20">
        <f>LEN(G640)</f>
        <v>0</v>
      </c>
      <c r="G640" s="5"/>
      <c r="H640" s="24"/>
      <c r="I640" s="5"/>
      <c r="J640" s="5"/>
      <c r="K640" s="5"/>
      <c r="L640" s="3" t="s">
        <v>155</v>
      </c>
      <c r="M640" s="5"/>
      <c r="N640" s="4"/>
      <c r="O640" s="5"/>
      <c r="P640" s="5"/>
      <c r="Q640" s="5"/>
      <c r="R640" s="5"/>
      <c r="S640" s="5"/>
      <c r="T640" s="24"/>
      <c r="U640" s="3" t="b">
        <v>0</v>
      </c>
      <c r="V640" s="5"/>
    </row>
    <row r="641" spans="1:22" ht="45" customHeight="1">
      <c r="A641" s="3" t="s">
        <v>148</v>
      </c>
      <c r="B641" s="5"/>
      <c r="C641" s="6"/>
      <c r="D641" s="3"/>
      <c r="E641" s="5"/>
      <c r="F641" s="20">
        <f>LEN(G641)</f>
        <v>0</v>
      </c>
      <c r="G641" s="5"/>
      <c r="H641" s="24"/>
      <c r="I641" s="5"/>
      <c r="J641" s="5"/>
      <c r="K641" s="5"/>
      <c r="L641" s="3" t="s">
        <v>155</v>
      </c>
      <c r="M641" s="5"/>
      <c r="N641" s="4"/>
      <c r="O641" s="5"/>
      <c r="P641" s="5"/>
      <c r="Q641" s="5"/>
      <c r="R641" s="5"/>
      <c r="S641" s="5"/>
      <c r="T641" s="24"/>
      <c r="U641" s="3" t="b">
        <v>0</v>
      </c>
      <c r="V641" s="5"/>
    </row>
    <row r="642" spans="1:22" ht="45" customHeight="1">
      <c r="A642" s="3" t="s">
        <v>148</v>
      </c>
      <c r="B642" s="5"/>
      <c r="C642" s="6"/>
      <c r="D642" s="3"/>
      <c r="E642" s="5"/>
      <c r="F642" s="20">
        <f>LEN(G642)</f>
        <v>0</v>
      </c>
      <c r="G642" s="5"/>
      <c r="H642" s="24"/>
      <c r="I642" s="5"/>
      <c r="J642" s="5"/>
      <c r="K642" s="5"/>
      <c r="L642" s="3" t="s">
        <v>155</v>
      </c>
      <c r="M642" s="5"/>
      <c r="N642" s="4"/>
      <c r="O642" s="5"/>
      <c r="P642" s="5"/>
      <c r="Q642" s="5"/>
      <c r="R642" s="5"/>
      <c r="S642" s="5"/>
      <c r="T642" s="24"/>
      <c r="U642" s="3" t="b">
        <v>0</v>
      </c>
      <c r="V642" s="5"/>
    </row>
    <row r="643" spans="1:22" ht="45" customHeight="1">
      <c r="A643" s="3" t="s">
        <v>148</v>
      </c>
      <c r="B643" s="5"/>
      <c r="C643" s="6"/>
      <c r="D643" s="3"/>
      <c r="E643" s="5"/>
      <c r="F643" s="20">
        <f>LEN(G643)</f>
        <v>0</v>
      </c>
      <c r="G643" s="5"/>
      <c r="H643" s="24"/>
      <c r="I643" s="5"/>
      <c r="J643" s="5"/>
      <c r="K643" s="5"/>
      <c r="L643" s="3" t="s">
        <v>155</v>
      </c>
      <c r="M643" s="5"/>
      <c r="N643" s="4"/>
      <c r="O643" s="5"/>
      <c r="P643" s="5"/>
      <c r="Q643" s="5"/>
      <c r="R643" s="5"/>
      <c r="S643" s="5"/>
      <c r="T643" s="24"/>
      <c r="U643" s="3" t="b">
        <v>0</v>
      </c>
      <c r="V643" s="5"/>
    </row>
    <row r="644" spans="1:22" ht="45" customHeight="1">
      <c r="A644" s="3" t="s">
        <v>148</v>
      </c>
      <c r="B644" s="5"/>
      <c r="C644" s="6"/>
      <c r="D644" s="3"/>
      <c r="E644" s="5"/>
      <c r="F644" s="20">
        <f>LEN(G644)</f>
        <v>0</v>
      </c>
      <c r="G644" s="5"/>
      <c r="H644" s="24"/>
      <c r="I644" s="5"/>
      <c r="J644" s="5"/>
      <c r="K644" s="5"/>
      <c r="L644" s="3" t="s">
        <v>155</v>
      </c>
      <c r="M644" s="5"/>
      <c r="N644" s="4"/>
      <c r="O644" s="5"/>
      <c r="P644" s="5"/>
      <c r="Q644" s="5"/>
      <c r="R644" s="5"/>
      <c r="S644" s="5"/>
      <c r="T644" s="24"/>
      <c r="U644" s="3" t="b">
        <v>0</v>
      </c>
      <c r="V644" s="5"/>
    </row>
    <row r="645" spans="1:22" ht="45" customHeight="1">
      <c r="A645" s="3" t="s">
        <v>148</v>
      </c>
      <c r="B645" s="5"/>
      <c r="C645" s="6"/>
      <c r="D645" s="3"/>
      <c r="E645" s="5"/>
      <c r="F645" s="20">
        <f>LEN(G645)</f>
        <v>0</v>
      </c>
      <c r="G645" s="5"/>
      <c r="H645" s="24"/>
      <c r="I645" s="5"/>
      <c r="J645" s="5"/>
      <c r="K645" s="5"/>
      <c r="L645" s="3" t="s">
        <v>155</v>
      </c>
      <c r="M645" s="5"/>
      <c r="N645" s="4"/>
      <c r="O645" s="5"/>
      <c r="P645" s="5"/>
      <c r="Q645" s="5"/>
      <c r="R645" s="5"/>
      <c r="S645" s="5"/>
      <c r="T645" s="24"/>
      <c r="U645" s="3" t="b">
        <v>0</v>
      </c>
      <c r="V645" s="5"/>
    </row>
    <row r="646" spans="1:22" ht="45" customHeight="1">
      <c r="A646" s="3" t="s">
        <v>148</v>
      </c>
      <c r="B646" s="5"/>
      <c r="C646" s="6"/>
      <c r="D646" s="3"/>
      <c r="E646" s="5"/>
      <c r="F646" s="20">
        <f>LEN(G646)</f>
        <v>0</v>
      </c>
      <c r="G646" s="5"/>
      <c r="H646" s="24"/>
      <c r="I646" s="5"/>
      <c r="J646" s="5"/>
      <c r="K646" s="5"/>
      <c r="L646" s="3" t="s">
        <v>155</v>
      </c>
      <c r="M646" s="5"/>
      <c r="N646" s="4"/>
      <c r="O646" s="5"/>
      <c r="P646" s="5"/>
      <c r="Q646" s="5"/>
      <c r="R646" s="5"/>
      <c r="S646" s="5"/>
      <c r="T646" s="24"/>
      <c r="U646" s="3" t="b">
        <v>0</v>
      </c>
      <c r="V646" s="5"/>
    </row>
    <row r="647" spans="1:22" ht="45" customHeight="1">
      <c r="A647" s="3" t="s">
        <v>148</v>
      </c>
      <c r="B647" s="5"/>
      <c r="C647" s="6"/>
      <c r="D647" s="3"/>
      <c r="E647" s="5"/>
      <c r="F647" s="20">
        <f>LEN(G647)</f>
        <v>0</v>
      </c>
      <c r="G647" s="5"/>
      <c r="H647" s="24"/>
      <c r="I647" s="5"/>
      <c r="J647" s="5"/>
      <c r="K647" s="5"/>
      <c r="L647" s="3" t="s">
        <v>155</v>
      </c>
      <c r="M647" s="5"/>
      <c r="N647" s="4"/>
      <c r="O647" s="5"/>
      <c r="P647" s="5"/>
      <c r="Q647" s="5"/>
      <c r="R647" s="5"/>
      <c r="S647" s="5"/>
      <c r="T647" s="24"/>
      <c r="U647" s="3" t="b">
        <v>0</v>
      </c>
      <c r="V647" s="5"/>
    </row>
    <row r="648" spans="1:22" ht="45" customHeight="1">
      <c r="A648" s="3" t="s">
        <v>148</v>
      </c>
      <c r="B648" s="5"/>
      <c r="C648" s="6"/>
      <c r="D648" s="3"/>
      <c r="E648" s="5"/>
      <c r="F648" s="20">
        <f>LEN(G648)</f>
        <v>0</v>
      </c>
      <c r="G648" s="5"/>
      <c r="H648" s="24"/>
      <c r="I648" s="5"/>
      <c r="J648" s="5"/>
      <c r="K648" s="5"/>
      <c r="L648" s="3" t="s">
        <v>155</v>
      </c>
      <c r="M648" s="5"/>
      <c r="N648" s="4"/>
      <c r="O648" s="5"/>
      <c r="P648" s="5"/>
      <c r="Q648" s="5"/>
      <c r="R648" s="5"/>
      <c r="S648" s="5"/>
      <c r="T648" s="24"/>
      <c r="U648" s="3" t="b">
        <v>0</v>
      </c>
      <c r="V648" s="5"/>
    </row>
    <row r="649" spans="1:22" ht="45" customHeight="1">
      <c r="A649" s="3" t="s">
        <v>148</v>
      </c>
      <c r="B649" s="5"/>
      <c r="C649" s="6"/>
      <c r="D649" s="3"/>
      <c r="E649" s="5"/>
      <c r="F649" s="20">
        <f>LEN(G649)</f>
        <v>0</v>
      </c>
      <c r="G649" s="5"/>
      <c r="H649" s="24"/>
      <c r="I649" s="5"/>
      <c r="J649" s="5"/>
      <c r="K649" s="5"/>
      <c r="L649" s="3" t="s">
        <v>155</v>
      </c>
      <c r="M649" s="5"/>
      <c r="N649" s="4"/>
      <c r="O649" s="5"/>
      <c r="P649" s="5"/>
      <c r="Q649" s="5"/>
      <c r="R649" s="5"/>
      <c r="S649" s="5"/>
      <c r="T649" s="24"/>
      <c r="U649" s="3" t="b">
        <v>0</v>
      </c>
      <c r="V649" s="5"/>
    </row>
    <row r="650" spans="1:22" ht="45" customHeight="1">
      <c r="A650" s="3" t="s">
        <v>148</v>
      </c>
      <c r="B650" s="5"/>
      <c r="C650" s="6"/>
      <c r="D650" s="3"/>
      <c r="E650" s="5"/>
      <c r="F650" s="20">
        <f>LEN(G650)</f>
        <v>0</v>
      </c>
      <c r="G650" s="5"/>
      <c r="H650" s="24"/>
      <c r="I650" s="5"/>
      <c r="J650" s="5"/>
      <c r="K650" s="5"/>
      <c r="L650" s="3" t="s">
        <v>155</v>
      </c>
      <c r="M650" s="5"/>
      <c r="N650" s="4"/>
      <c r="O650" s="5"/>
      <c r="P650" s="5"/>
      <c r="Q650" s="5"/>
      <c r="R650" s="5"/>
      <c r="S650" s="5"/>
      <c r="T650" s="24"/>
      <c r="U650" s="3" t="b">
        <v>0</v>
      </c>
      <c r="V650" s="5"/>
    </row>
    <row r="651" spans="1:22" ht="45" customHeight="1">
      <c r="A651" s="3" t="s">
        <v>148</v>
      </c>
      <c r="B651" s="5"/>
      <c r="C651" s="6"/>
      <c r="D651" s="3"/>
      <c r="E651" s="5"/>
      <c r="F651" s="20">
        <f>LEN(G651)</f>
        <v>0</v>
      </c>
      <c r="G651" s="5"/>
      <c r="H651" s="24"/>
      <c r="I651" s="5"/>
      <c r="J651" s="5"/>
      <c r="K651" s="5"/>
      <c r="L651" s="3" t="s">
        <v>155</v>
      </c>
      <c r="M651" s="5"/>
      <c r="N651" s="4"/>
      <c r="O651" s="5"/>
      <c r="P651" s="5"/>
      <c r="Q651" s="5"/>
      <c r="R651" s="5"/>
      <c r="S651" s="5"/>
      <c r="T651" s="24"/>
      <c r="U651" s="3" t="b">
        <v>0</v>
      </c>
      <c r="V651" s="5"/>
    </row>
    <row r="652" spans="1:22" ht="45" customHeight="1">
      <c r="A652" s="3" t="s">
        <v>148</v>
      </c>
      <c r="B652" s="5"/>
      <c r="C652" s="6"/>
      <c r="D652" s="3"/>
      <c r="E652" s="5"/>
      <c r="F652" s="20">
        <f>LEN(G652)</f>
        <v>0</v>
      </c>
      <c r="G652" s="5"/>
      <c r="H652" s="24"/>
      <c r="I652" s="5"/>
      <c r="J652" s="5"/>
      <c r="K652" s="5"/>
      <c r="L652" s="3" t="s">
        <v>155</v>
      </c>
      <c r="M652" s="5"/>
      <c r="N652" s="4"/>
      <c r="O652" s="5"/>
      <c r="P652" s="5"/>
      <c r="Q652" s="5"/>
      <c r="R652" s="5"/>
      <c r="S652" s="5"/>
      <c r="T652" s="24"/>
      <c r="U652" s="3" t="b">
        <v>0</v>
      </c>
      <c r="V652" s="5"/>
    </row>
    <row r="653" spans="1:22" ht="45" customHeight="1">
      <c r="A653" s="3" t="s">
        <v>148</v>
      </c>
      <c r="B653" s="5"/>
      <c r="C653" s="6"/>
      <c r="D653" s="3"/>
      <c r="E653" s="5"/>
      <c r="F653" s="20">
        <f>LEN(G653)</f>
        <v>0</v>
      </c>
      <c r="G653" s="5"/>
      <c r="H653" s="24"/>
      <c r="I653" s="5"/>
      <c r="J653" s="5"/>
      <c r="K653" s="5"/>
      <c r="L653" s="3" t="s">
        <v>155</v>
      </c>
      <c r="M653" s="5"/>
      <c r="N653" s="4"/>
      <c r="O653" s="5"/>
      <c r="P653" s="5"/>
      <c r="Q653" s="5"/>
      <c r="R653" s="5"/>
      <c r="S653" s="5"/>
      <c r="T653" s="24"/>
      <c r="U653" s="3" t="b">
        <v>0</v>
      </c>
      <c r="V653" s="5"/>
    </row>
    <row r="654" spans="1:22" ht="45" customHeight="1">
      <c r="A654" s="3" t="s">
        <v>148</v>
      </c>
      <c r="B654" s="5"/>
      <c r="C654" s="6"/>
      <c r="D654" s="3"/>
      <c r="E654" s="5"/>
      <c r="F654" s="20">
        <f>LEN(G654)</f>
        <v>0</v>
      </c>
      <c r="G654" s="5"/>
      <c r="H654" s="24"/>
      <c r="I654" s="5"/>
      <c r="J654" s="5"/>
      <c r="K654" s="5"/>
      <c r="L654" s="3" t="s">
        <v>155</v>
      </c>
      <c r="M654" s="5"/>
      <c r="N654" s="4"/>
      <c r="O654" s="5"/>
      <c r="P654" s="5"/>
      <c r="Q654" s="5"/>
      <c r="R654" s="5"/>
      <c r="S654" s="5"/>
      <c r="T654" s="24"/>
      <c r="U654" s="3" t="b">
        <v>0</v>
      </c>
      <c r="V654" s="5"/>
    </row>
    <row r="655" spans="1:22" ht="45" customHeight="1">
      <c r="A655" s="3" t="s">
        <v>148</v>
      </c>
      <c r="B655" s="5"/>
      <c r="C655" s="6"/>
      <c r="D655" s="3"/>
      <c r="E655" s="5"/>
      <c r="F655" s="20">
        <f>LEN(G655)</f>
        <v>0</v>
      </c>
      <c r="G655" s="5"/>
      <c r="H655" s="24"/>
      <c r="I655" s="5"/>
      <c r="J655" s="5"/>
      <c r="K655" s="5"/>
      <c r="L655" s="3" t="s">
        <v>155</v>
      </c>
      <c r="M655" s="5"/>
      <c r="N655" s="4"/>
      <c r="O655" s="5"/>
      <c r="P655" s="5"/>
      <c r="Q655" s="5"/>
      <c r="R655" s="5"/>
      <c r="S655" s="5"/>
      <c r="T655" s="24"/>
      <c r="U655" s="3" t="b">
        <v>0</v>
      </c>
      <c r="V655" s="5"/>
    </row>
    <row r="656" spans="1:22" ht="45" customHeight="1">
      <c r="A656" s="3" t="s">
        <v>148</v>
      </c>
      <c r="B656" s="5"/>
      <c r="C656" s="6"/>
      <c r="D656" s="3"/>
      <c r="E656" s="5"/>
      <c r="F656" s="20">
        <f>LEN(G656)</f>
        <v>0</v>
      </c>
      <c r="G656" s="5"/>
      <c r="H656" s="24"/>
      <c r="I656" s="5"/>
      <c r="J656" s="5"/>
      <c r="K656" s="5"/>
      <c r="L656" s="3" t="s">
        <v>155</v>
      </c>
      <c r="M656" s="5"/>
      <c r="N656" s="4"/>
      <c r="O656" s="5"/>
      <c r="P656" s="5"/>
      <c r="Q656" s="5"/>
      <c r="R656" s="5"/>
      <c r="S656" s="5"/>
      <c r="T656" s="24"/>
      <c r="U656" s="3" t="b">
        <v>0</v>
      </c>
      <c r="V656" s="5"/>
    </row>
    <row r="657" spans="1:22" ht="45" customHeight="1">
      <c r="A657" s="3" t="s">
        <v>148</v>
      </c>
      <c r="B657" s="5"/>
      <c r="C657" s="6"/>
      <c r="D657" s="3"/>
      <c r="E657" s="5"/>
      <c r="F657" s="20">
        <f>LEN(G657)</f>
        <v>0</v>
      </c>
      <c r="G657" s="5"/>
      <c r="H657" s="24"/>
      <c r="I657" s="5"/>
      <c r="J657" s="5"/>
      <c r="K657" s="5"/>
      <c r="L657" s="3" t="s">
        <v>155</v>
      </c>
      <c r="M657" s="5"/>
      <c r="N657" s="4"/>
      <c r="O657" s="5"/>
      <c r="P657" s="5"/>
      <c r="Q657" s="5"/>
      <c r="R657" s="5"/>
      <c r="S657" s="5"/>
      <c r="T657" s="24"/>
      <c r="U657" s="3" t="b">
        <v>0</v>
      </c>
      <c r="V657" s="5"/>
    </row>
    <row r="658" spans="1:22" ht="45" customHeight="1">
      <c r="A658" s="3" t="s">
        <v>148</v>
      </c>
      <c r="B658" s="5"/>
      <c r="C658" s="6"/>
      <c r="D658" s="3"/>
      <c r="E658" s="5"/>
      <c r="F658" s="20">
        <f>LEN(G658)</f>
        <v>0</v>
      </c>
      <c r="G658" s="5"/>
      <c r="H658" s="24"/>
      <c r="I658" s="5"/>
      <c r="J658" s="5"/>
      <c r="K658" s="5"/>
      <c r="L658" s="3" t="s">
        <v>155</v>
      </c>
      <c r="M658" s="5"/>
      <c r="N658" s="4"/>
      <c r="O658" s="5"/>
      <c r="P658" s="5"/>
      <c r="Q658" s="5"/>
      <c r="R658" s="5"/>
      <c r="S658" s="5"/>
      <c r="T658" s="24"/>
      <c r="U658" s="3" t="b">
        <v>0</v>
      </c>
      <c r="V658" s="5"/>
    </row>
    <row r="659" spans="1:22" ht="45" customHeight="1">
      <c r="A659" s="3" t="s">
        <v>148</v>
      </c>
      <c r="B659" s="5"/>
      <c r="C659" s="6"/>
      <c r="D659" s="3"/>
      <c r="E659" s="5"/>
      <c r="F659" s="20">
        <f>LEN(G659)</f>
        <v>0</v>
      </c>
      <c r="G659" s="5"/>
      <c r="H659" s="24"/>
      <c r="I659" s="5"/>
      <c r="J659" s="5"/>
      <c r="K659" s="5"/>
      <c r="L659" s="3" t="s">
        <v>155</v>
      </c>
      <c r="M659" s="5"/>
      <c r="N659" s="4"/>
      <c r="O659" s="5"/>
      <c r="P659" s="5"/>
      <c r="Q659" s="5"/>
      <c r="R659" s="5"/>
      <c r="S659" s="5"/>
      <c r="T659" s="24"/>
      <c r="U659" s="3" t="b">
        <v>0</v>
      </c>
      <c r="V659" s="5"/>
    </row>
    <row r="660" spans="1:22" ht="45" customHeight="1">
      <c r="A660" s="3" t="s">
        <v>148</v>
      </c>
      <c r="B660" s="5"/>
      <c r="C660" s="6"/>
      <c r="D660" s="3"/>
      <c r="E660" s="5"/>
      <c r="F660" s="20">
        <f>LEN(G660)</f>
        <v>0</v>
      </c>
      <c r="G660" s="5"/>
      <c r="H660" s="24"/>
      <c r="I660" s="5"/>
      <c r="J660" s="5"/>
      <c r="K660" s="5"/>
      <c r="L660" s="3" t="s">
        <v>155</v>
      </c>
      <c r="M660" s="5"/>
      <c r="N660" s="4"/>
      <c r="O660" s="5"/>
      <c r="P660" s="5"/>
      <c r="Q660" s="5"/>
      <c r="R660" s="5"/>
      <c r="S660" s="5"/>
      <c r="T660" s="24"/>
      <c r="U660" s="3" t="b">
        <v>0</v>
      </c>
      <c r="V660" s="5"/>
    </row>
    <row r="661" spans="1:22" ht="45" customHeight="1">
      <c r="A661" s="3" t="s">
        <v>148</v>
      </c>
      <c r="B661" s="5"/>
      <c r="C661" s="6"/>
      <c r="D661" s="3"/>
      <c r="E661" s="5"/>
      <c r="F661" s="20">
        <f>LEN(G661)</f>
        <v>0</v>
      </c>
      <c r="G661" s="5"/>
      <c r="H661" s="24"/>
      <c r="I661" s="5"/>
      <c r="J661" s="5"/>
      <c r="K661" s="5"/>
      <c r="L661" s="3" t="s">
        <v>155</v>
      </c>
      <c r="M661" s="5"/>
      <c r="N661" s="4"/>
      <c r="O661" s="5"/>
      <c r="P661" s="5"/>
      <c r="Q661" s="5"/>
      <c r="R661" s="5"/>
      <c r="S661" s="5"/>
      <c r="T661" s="24"/>
      <c r="U661" s="3" t="b">
        <v>0</v>
      </c>
      <c r="V661" s="5"/>
    </row>
    <row r="662" spans="1:22" ht="45" customHeight="1">
      <c r="A662" s="3" t="s">
        <v>148</v>
      </c>
      <c r="B662" s="5"/>
      <c r="C662" s="6"/>
      <c r="D662" s="3"/>
      <c r="E662" s="5"/>
      <c r="F662" s="20">
        <f>LEN(G662)</f>
        <v>0</v>
      </c>
      <c r="G662" s="5"/>
      <c r="H662" s="24"/>
      <c r="I662" s="5"/>
      <c r="J662" s="5"/>
      <c r="K662" s="5"/>
      <c r="L662" s="3" t="s">
        <v>155</v>
      </c>
      <c r="M662" s="5"/>
      <c r="N662" s="4"/>
      <c r="O662" s="5"/>
      <c r="P662" s="5"/>
      <c r="Q662" s="5"/>
      <c r="R662" s="5"/>
      <c r="S662" s="5"/>
      <c r="T662" s="24"/>
      <c r="U662" s="3" t="b">
        <v>0</v>
      </c>
      <c r="V662" s="5"/>
    </row>
    <row r="663" spans="1:22" ht="45" customHeight="1">
      <c r="A663" s="3" t="s">
        <v>148</v>
      </c>
      <c r="B663" s="5"/>
      <c r="C663" s="6"/>
      <c r="D663" s="3"/>
      <c r="E663" s="5"/>
      <c r="F663" s="20">
        <f>LEN(G663)</f>
        <v>0</v>
      </c>
      <c r="G663" s="5"/>
      <c r="H663" s="24"/>
      <c r="I663" s="5"/>
      <c r="J663" s="5"/>
      <c r="K663" s="5"/>
      <c r="L663" s="3" t="s">
        <v>155</v>
      </c>
      <c r="M663" s="5"/>
      <c r="N663" s="4"/>
      <c r="O663" s="5"/>
      <c r="P663" s="5"/>
      <c r="Q663" s="5"/>
      <c r="R663" s="5"/>
      <c r="S663" s="5"/>
      <c r="T663" s="24"/>
      <c r="U663" s="3" t="b">
        <v>0</v>
      </c>
      <c r="V663" s="5"/>
    </row>
    <row r="664" spans="1:22" ht="45" customHeight="1">
      <c r="A664" s="3" t="s">
        <v>148</v>
      </c>
      <c r="B664" s="5"/>
      <c r="C664" s="6"/>
      <c r="D664" s="3"/>
      <c r="E664" s="5"/>
      <c r="F664" s="20">
        <f>LEN(G664)</f>
        <v>0</v>
      </c>
      <c r="G664" s="5"/>
      <c r="H664" s="24"/>
      <c r="I664" s="5"/>
      <c r="J664" s="5"/>
      <c r="K664" s="5"/>
      <c r="L664" s="3" t="s">
        <v>155</v>
      </c>
      <c r="M664" s="5"/>
      <c r="N664" s="4"/>
      <c r="O664" s="5"/>
      <c r="P664" s="5"/>
      <c r="Q664" s="5"/>
      <c r="R664" s="5"/>
      <c r="S664" s="5"/>
      <c r="T664" s="24"/>
      <c r="U664" s="3" t="b">
        <v>0</v>
      </c>
      <c r="V664" s="5"/>
    </row>
    <row r="665" spans="1:22" ht="45" customHeight="1">
      <c r="A665" s="3" t="s">
        <v>148</v>
      </c>
      <c r="B665" s="5"/>
      <c r="C665" s="6"/>
      <c r="D665" s="3"/>
      <c r="E665" s="5"/>
      <c r="F665" s="20">
        <f>LEN(G665)</f>
        <v>0</v>
      </c>
      <c r="G665" s="5"/>
      <c r="H665" s="24"/>
      <c r="I665" s="5"/>
      <c r="J665" s="5"/>
      <c r="K665" s="5"/>
      <c r="L665" s="3" t="s">
        <v>155</v>
      </c>
      <c r="M665" s="5"/>
      <c r="N665" s="4"/>
      <c r="O665" s="5"/>
      <c r="P665" s="5"/>
      <c r="Q665" s="5"/>
      <c r="R665" s="5"/>
      <c r="S665" s="5"/>
      <c r="T665" s="24"/>
      <c r="U665" s="3" t="b">
        <v>0</v>
      </c>
      <c r="V665" s="5"/>
    </row>
    <row r="666" spans="1:22" ht="45" customHeight="1">
      <c r="A666" s="3" t="s">
        <v>148</v>
      </c>
      <c r="B666" s="5"/>
      <c r="C666" s="6"/>
      <c r="D666" s="3"/>
      <c r="E666" s="5"/>
      <c r="F666" s="20">
        <f>LEN(G666)</f>
        <v>0</v>
      </c>
      <c r="G666" s="5"/>
      <c r="H666" s="24"/>
      <c r="I666" s="5"/>
      <c r="J666" s="5"/>
      <c r="K666" s="5"/>
      <c r="L666" s="3" t="s">
        <v>155</v>
      </c>
      <c r="M666" s="5"/>
      <c r="N666" s="4"/>
      <c r="O666" s="5"/>
      <c r="P666" s="5"/>
      <c r="Q666" s="5"/>
      <c r="R666" s="5"/>
      <c r="S666" s="5"/>
      <c r="T666" s="24"/>
      <c r="U666" s="3" t="b">
        <v>0</v>
      </c>
      <c r="V666" s="5"/>
    </row>
    <row r="667" spans="1:22" ht="45" customHeight="1">
      <c r="A667" s="3" t="s">
        <v>148</v>
      </c>
      <c r="B667" s="5"/>
      <c r="C667" s="6"/>
      <c r="D667" s="3"/>
      <c r="E667" s="5"/>
      <c r="F667" s="20">
        <f>LEN(G667)</f>
        <v>0</v>
      </c>
      <c r="G667" s="5"/>
      <c r="H667" s="24"/>
      <c r="I667" s="5"/>
      <c r="J667" s="5"/>
      <c r="K667" s="5"/>
      <c r="L667" s="3" t="s">
        <v>155</v>
      </c>
      <c r="M667" s="5"/>
      <c r="N667" s="4"/>
      <c r="O667" s="5"/>
      <c r="P667" s="5"/>
      <c r="Q667" s="5"/>
      <c r="R667" s="5"/>
      <c r="S667" s="5"/>
      <c r="T667" s="24"/>
      <c r="U667" s="3" t="b">
        <v>0</v>
      </c>
      <c r="V667" s="5"/>
    </row>
    <row r="668" spans="1:22" ht="45" customHeight="1">
      <c r="A668" s="3" t="s">
        <v>148</v>
      </c>
      <c r="B668" s="5"/>
      <c r="C668" s="6"/>
      <c r="D668" s="3"/>
      <c r="E668" s="5"/>
      <c r="F668" s="20">
        <f>LEN(G668)</f>
        <v>0</v>
      </c>
      <c r="G668" s="5"/>
      <c r="H668" s="24"/>
      <c r="I668" s="5"/>
      <c r="J668" s="5"/>
      <c r="K668" s="5"/>
      <c r="L668" s="3" t="s">
        <v>155</v>
      </c>
      <c r="M668" s="5"/>
      <c r="N668" s="4"/>
      <c r="O668" s="5"/>
      <c r="P668" s="5"/>
      <c r="Q668" s="5"/>
      <c r="R668" s="5"/>
      <c r="S668" s="5"/>
      <c r="T668" s="24"/>
      <c r="U668" s="3" t="b">
        <v>0</v>
      </c>
      <c r="V668" s="5"/>
    </row>
    <row r="669" spans="1:22" ht="45" customHeight="1">
      <c r="A669" s="3" t="s">
        <v>148</v>
      </c>
      <c r="B669" s="5"/>
      <c r="C669" s="6"/>
      <c r="D669" s="3"/>
      <c r="E669" s="5"/>
      <c r="F669" s="20">
        <f>LEN(G669)</f>
        <v>0</v>
      </c>
      <c r="G669" s="5"/>
      <c r="H669" s="24"/>
      <c r="I669" s="5"/>
      <c r="J669" s="5"/>
      <c r="K669" s="5"/>
      <c r="L669" s="3" t="s">
        <v>155</v>
      </c>
      <c r="M669" s="5"/>
      <c r="N669" s="4"/>
      <c r="O669" s="5"/>
      <c r="P669" s="5"/>
      <c r="Q669" s="5"/>
      <c r="R669" s="5"/>
      <c r="S669" s="5"/>
      <c r="T669" s="24"/>
      <c r="U669" s="3" t="b">
        <v>0</v>
      </c>
      <c r="V669" s="5"/>
    </row>
    <row r="670" spans="1:22" ht="45" customHeight="1">
      <c r="A670" s="3" t="s">
        <v>148</v>
      </c>
      <c r="B670" s="5"/>
      <c r="C670" s="6"/>
      <c r="D670" s="3"/>
      <c r="E670" s="5"/>
      <c r="F670" s="20">
        <f>LEN(G670)</f>
        <v>0</v>
      </c>
      <c r="G670" s="5"/>
      <c r="H670" s="24"/>
      <c r="I670" s="5"/>
      <c r="J670" s="5"/>
      <c r="K670" s="5"/>
      <c r="L670" s="3" t="s">
        <v>155</v>
      </c>
      <c r="M670" s="5"/>
      <c r="N670" s="4"/>
      <c r="O670" s="5"/>
      <c r="P670" s="5"/>
      <c r="Q670" s="5"/>
      <c r="R670" s="5"/>
      <c r="S670" s="5"/>
      <c r="T670" s="24"/>
      <c r="U670" s="3" t="b">
        <v>0</v>
      </c>
      <c r="V670" s="5"/>
    </row>
    <row r="671" spans="1:22" ht="45" customHeight="1">
      <c r="A671" s="3" t="s">
        <v>148</v>
      </c>
      <c r="B671" s="5"/>
      <c r="C671" s="6"/>
      <c r="D671" s="3"/>
      <c r="E671" s="5"/>
      <c r="F671" s="20">
        <f>LEN(G671)</f>
        <v>0</v>
      </c>
      <c r="G671" s="5"/>
      <c r="H671" s="24"/>
      <c r="I671" s="5"/>
      <c r="J671" s="5"/>
      <c r="K671" s="5"/>
      <c r="L671" s="3" t="s">
        <v>155</v>
      </c>
      <c r="M671" s="5"/>
      <c r="N671" s="4"/>
      <c r="O671" s="5"/>
      <c r="P671" s="5"/>
      <c r="Q671" s="5"/>
      <c r="R671" s="5"/>
      <c r="S671" s="5"/>
      <c r="T671" s="24"/>
      <c r="U671" s="3" t="b">
        <v>0</v>
      </c>
      <c r="V671" s="5"/>
    </row>
    <row r="672" spans="1:22" ht="45" customHeight="1">
      <c r="A672" s="3" t="s">
        <v>148</v>
      </c>
      <c r="B672" s="5"/>
      <c r="C672" s="6"/>
      <c r="D672" s="3"/>
      <c r="E672" s="5"/>
      <c r="F672" s="20">
        <f>LEN(G672)</f>
        <v>0</v>
      </c>
      <c r="G672" s="5"/>
      <c r="H672" s="24"/>
      <c r="I672" s="5"/>
      <c r="J672" s="5"/>
      <c r="K672" s="5"/>
      <c r="L672" s="3" t="s">
        <v>155</v>
      </c>
      <c r="M672" s="5"/>
      <c r="N672" s="4"/>
      <c r="O672" s="5"/>
      <c r="P672" s="5"/>
      <c r="Q672" s="5"/>
      <c r="R672" s="5"/>
      <c r="S672" s="5"/>
      <c r="T672" s="24"/>
      <c r="U672" s="3" t="b">
        <v>0</v>
      </c>
      <c r="V672" s="5"/>
    </row>
    <row r="673" spans="1:22" ht="45" customHeight="1">
      <c r="A673" s="3" t="s">
        <v>148</v>
      </c>
      <c r="B673" s="5"/>
      <c r="C673" s="6"/>
      <c r="D673" s="3"/>
      <c r="E673" s="5"/>
      <c r="F673" s="20">
        <f>LEN(G673)</f>
        <v>0</v>
      </c>
      <c r="G673" s="5"/>
      <c r="H673" s="24"/>
      <c r="I673" s="5"/>
      <c r="J673" s="5"/>
      <c r="K673" s="5"/>
      <c r="L673" s="3" t="s">
        <v>155</v>
      </c>
      <c r="M673" s="5"/>
      <c r="N673" s="4"/>
      <c r="O673" s="5"/>
      <c r="P673" s="5"/>
      <c r="Q673" s="5"/>
      <c r="R673" s="5"/>
      <c r="S673" s="5"/>
      <c r="T673" s="24"/>
      <c r="U673" s="3" t="b">
        <v>0</v>
      </c>
      <c r="V673" s="5"/>
    </row>
    <row r="674" spans="1:22" ht="45" customHeight="1">
      <c r="A674" s="3" t="s">
        <v>148</v>
      </c>
      <c r="B674" s="5"/>
      <c r="C674" s="6"/>
      <c r="D674" s="3"/>
      <c r="E674" s="5"/>
      <c r="F674" s="20">
        <f>LEN(G674)</f>
        <v>0</v>
      </c>
      <c r="G674" s="5"/>
      <c r="H674" s="24"/>
      <c r="I674" s="5"/>
      <c r="J674" s="5"/>
      <c r="K674" s="5"/>
      <c r="L674" s="3" t="s">
        <v>155</v>
      </c>
      <c r="M674" s="5"/>
      <c r="N674" s="4"/>
      <c r="O674" s="5"/>
      <c r="P674" s="5"/>
      <c r="Q674" s="5"/>
      <c r="R674" s="5"/>
      <c r="S674" s="5"/>
      <c r="T674" s="24"/>
      <c r="U674" s="3" t="b">
        <v>0</v>
      </c>
      <c r="V674" s="5"/>
    </row>
    <row r="675" spans="1:22" ht="45" customHeight="1">
      <c r="A675" s="3" t="s">
        <v>148</v>
      </c>
      <c r="B675" s="5"/>
      <c r="C675" s="6"/>
      <c r="D675" s="3"/>
      <c r="E675" s="5"/>
      <c r="F675" s="20">
        <f>LEN(G675)</f>
        <v>0</v>
      </c>
      <c r="G675" s="5"/>
      <c r="H675" s="24"/>
      <c r="I675" s="5"/>
      <c r="J675" s="5"/>
      <c r="K675" s="5"/>
      <c r="L675" s="3" t="s">
        <v>155</v>
      </c>
      <c r="M675" s="5"/>
      <c r="N675" s="4"/>
      <c r="O675" s="5"/>
      <c r="P675" s="5"/>
      <c r="Q675" s="5"/>
      <c r="R675" s="5"/>
      <c r="S675" s="5"/>
      <c r="T675" s="24"/>
      <c r="U675" s="3" t="b">
        <v>0</v>
      </c>
      <c r="V675" s="5"/>
    </row>
    <row r="676" spans="1:22" ht="45" customHeight="1">
      <c r="A676" s="3" t="s">
        <v>148</v>
      </c>
      <c r="B676" s="5"/>
      <c r="C676" s="6"/>
      <c r="D676" s="3"/>
      <c r="E676" s="5"/>
      <c r="F676" s="20">
        <f>LEN(G676)</f>
        <v>0</v>
      </c>
      <c r="G676" s="5"/>
      <c r="H676" s="24"/>
      <c r="I676" s="5"/>
      <c r="J676" s="5"/>
      <c r="K676" s="5"/>
      <c r="L676" s="3" t="s">
        <v>155</v>
      </c>
      <c r="M676" s="5"/>
      <c r="N676" s="4"/>
      <c r="O676" s="5"/>
      <c r="P676" s="5"/>
      <c r="Q676" s="5"/>
      <c r="R676" s="5"/>
      <c r="S676" s="5"/>
      <c r="T676" s="24"/>
      <c r="U676" s="3" t="b">
        <v>0</v>
      </c>
      <c r="V676" s="5"/>
    </row>
    <row r="677" spans="1:22" ht="45" customHeight="1">
      <c r="A677" s="3" t="s">
        <v>148</v>
      </c>
      <c r="B677" s="5"/>
      <c r="C677" s="6"/>
      <c r="D677" s="3"/>
      <c r="E677" s="5"/>
      <c r="F677" s="20">
        <f>LEN(G677)</f>
        <v>0</v>
      </c>
      <c r="G677" s="5"/>
      <c r="H677" s="24"/>
      <c r="I677" s="5"/>
      <c r="J677" s="5"/>
      <c r="K677" s="5"/>
      <c r="L677" s="3" t="s">
        <v>155</v>
      </c>
      <c r="M677" s="5"/>
      <c r="N677" s="4"/>
      <c r="O677" s="5"/>
      <c r="P677" s="5"/>
      <c r="Q677" s="5"/>
      <c r="R677" s="5"/>
      <c r="S677" s="5"/>
      <c r="T677" s="24"/>
      <c r="U677" s="3" t="b">
        <v>0</v>
      </c>
      <c r="V677" s="5"/>
    </row>
    <row r="678" spans="1:22" ht="45" customHeight="1">
      <c r="A678" s="3" t="s">
        <v>148</v>
      </c>
      <c r="B678" s="5"/>
      <c r="C678" s="6"/>
      <c r="D678" s="3"/>
      <c r="E678" s="5"/>
      <c r="F678" s="20">
        <f>LEN(G678)</f>
        <v>0</v>
      </c>
      <c r="G678" s="5"/>
      <c r="H678" s="24"/>
      <c r="I678" s="5"/>
      <c r="J678" s="5"/>
      <c r="K678" s="5"/>
      <c r="L678" s="3" t="s">
        <v>155</v>
      </c>
      <c r="M678" s="5"/>
      <c r="N678" s="4"/>
      <c r="O678" s="5"/>
      <c r="P678" s="5"/>
      <c r="Q678" s="5"/>
      <c r="R678" s="5"/>
      <c r="S678" s="5"/>
      <c r="T678" s="24"/>
      <c r="U678" s="3" t="b">
        <v>0</v>
      </c>
      <c r="V678" s="5"/>
    </row>
    <row r="679" spans="1:22" ht="45" customHeight="1">
      <c r="A679" s="3" t="s">
        <v>148</v>
      </c>
      <c r="B679" s="5"/>
      <c r="C679" s="6"/>
      <c r="D679" s="3"/>
      <c r="E679" s="5"/>
      <c r="F679" s="20">
        <f>LEN(G679)</f>
        <v>0</v>
      </c>
      <c r="G679" s="5"/>
      <c r="H679" s="24"/>
      <c r="I679" s="5"/>
      <c r="J679" s="5"/>
      <c r="K679" s="5"/>
      <c r="L679" s="3" t="s">
        <v>155</v>
      </c>
      <c r="M679" s="5"/>
      <c r="N679" s="4"/>
      <c r="O679" s="5"/>
      <c r="P679" s="5"/>
      <c r="Q679" s="5"/>
      <c r="R679" s="5"/>
      <c r="S679" s="5"/>
      <c r="T679" s="24"/>
      <c r="U679" s="3" t="b">
        <v>0</v>
      </c>
      <c r="V679" s="5"/>
    </row>
    <row r="680" spans="1:22" ht="45" customHeight="1">
      <c r="A680" s="3" t="s">
        <v>148</v>
      </c>
      <c r="B680" s="5"/>
      <c r="C680" s="6"/>
      <c r="D680" s="3"/>
      <c r="E680" s="5"/>
      <c r="F680" s="20">
        <f>LEN(G680)</f>
        <v>0</v>
      </c>
      <c r="G680" s="5"/>
      <c r="H680" s="24"/>
      <c r="I680" s="5"/>
      <c r="J680" s="5"/>
      <c r="K680" s="5"/>
      <c r="L680" s="3" t="s">
        <v>155</v>
      </c>
      <c r="M680" s="5"/>
      <c r="N680" s="4"/>
      <c r="O680" s="5"/>
      <c r="P680" s="5"/>
      <c r="Q680" s="5"/>
      <c r="R680" s="5"/>
      <c r="S680" s="5"/>
      <c r="T680" s="24"/>
      <c r="U680" s="3" t="b">
        <v>0</v>
      </c>
      <c r="V680" s="5"/>
    </row>
    <row r="681" spans="1:22" ht="45" customHeight="1">
      <c r="A681" s="3" t="s">
        <v>148</v>
      </c>
      <c r="B681" s="5"/>
      <c r="C681" s="6"/>
      <c r="D681" s="3"/>
      <c r="E681" s="5"/>
      <c r="F681" s="20">
        <f>LEN(G681)</f>
        <v>0</v>
      </c>
      <c r="G681" s="5"/>
      <c r="H681" s="24"/>
      <c r="I681" s="5"/>
      <c r="J681" s="5"/>
      <c r="K681" s="5"/>
      <c r="L681" s="3" t="s">
        <v>155</v>
      </c>
      <c r="M681" s="5"/>
      <c r="N681" s="4"/>
      <c r="O681" s="5"/>
      <c r="P681" s="5"/>
      <c r="Q681" s="5"/>
      <c r="R681" s="5"/>
      <c r="S681" s="5"/>
      <c r="T681" s="24"/>
      <c r="U681" s="3" t="b">
        <v>0</v>
      </c>
      <c r="V681" s="5"/>
    </row>
    <row r="682" spans="1:22" ht="45" customHeight="1">
      <c r="A682" s="3" t="s">
        <v>148</v>
      </c>
      <c r="B682" s="5"/>
      <c r="C682" s="6"/>
      <c r="D682" s="3"/>
      <c r="E682" s="5"/>
      <c r="F682" s="20">
        <f>LEN(G682)</f>
        <v>0</v>
      </c>
      <c r="G682" s="5"/>
      <c r="H682" s="24"/>
      <c r="I682" s="5"/>
      <c r="J682" s="5"/>
      <c r="K682" s="5"/>
      <c r="L682" s="3" t="s">
        <v>155</v>
      </c>
      <c r="M682" s="5"/>
      <c r="N682" s="4"/>
      <c r="O682" s="5"/>
      <c r="P682" s="5"/>
      <c r="Q682" s="5"/>
      <c r="R682" s="5"/>
      <c r="S682" s="5"/>
      <c r="T682" s="24"/>
      <c r="U682" s="3" t="b">
        <v>0</v>
      </c>
      <c r="V682" s="5"/>
    </row>
    <row r="683" spans="1:22" ht="45" customHeight="1">
      <c r="A683" s="3" t="s">
        <v>148</v>
      </c>
      <c r="B683" s="5"/>
      <c r="C683" s="6"/>
      <c r="D683" s="3"/>
      <c r="E683" s="5"/>
      <c r="F683" s="20">
        <f>LEN(G683)</f>
        <v>0</v>
      </c>
      <c r="G683" s="5"/>
      <c r="H683" s="24"/>
      <c r="I683" s="5"/>
      <c r="J683" s="5"/>
      <c r="K683" s="5"/>
      <c r="L683" s="3" t="s">
        <v>155</v>
      </c>
      <c r="M683" s="5"/>
      <c r="N683" s="4"/>
      <c r="O683" s="5"/>
      <c r="P683" s="5"/>
      <c r="Q683" s="5"/>
      <c r="R683" s="5"/>
      <c r="S683" s="5"/>
      <c r="T683" s="24"/>
      <c r="U683" s="3" t="b">
        <v>0</v>
      </c>
      <c r="V683" s="5"/>
    </row>
    <row r="684" spans="1:22" ht="45" customHeight="1">
      <c r="A684" s="3" t="s">
        <v>148</v>
      </c>
      <c r="B684" s="5"/>
      <c r="C684" s="6"/>
      <c r="D684" s="3"/>
      <c r="E684" s="5"/>
      <c r="F684" s="20">
        <f>LEN(G684)</f>
        <v>0</v>
      </c>
      <c r="G684" s="5"/>
      <c r="H684" s="24"/>
      <c r="I684" s="5"/>
      <c r="J684" s="5"/>
      <c r="K684" s="5"/>
      <c r="L684" s="3" t="s">
        <v>155</v>
      </c>
      <c r="M684" s="5"/>
      <c r="N684" s="4"/>
      <c r="O684" s="5"/>
      <c r="P684" s="5"/>
      <c r="Q684" s="5"/>
      <c r="R684" s="5"/>
      <c r="S684" s="5"/>
      <c r="T684" s="24"/>
      <c r="U684" s="3" t="b">
        <v>0</v>
      </c>
      <c r="V684" s="5"/>
    </row>
    <row r="685" spans="1:22" ht="45" customHeight="1">
      <c r="A685" s="3" t="s">
        <v>148</v>
      </c>
      <c r="B685" s="5"/>
      <c r="C685" s="6"/>
      <c r="D685" s="3"/>
      <c r="E685" s="5"/>
      <c r="F685" s="20">
        <f>LEN(G685)</f>
        <v>0</v>
      </c>
      <c r="G685" s="5"/>
      <c r="H685" s="24"/>
      <c r="I685" s="5"/>
      <c r="J685" s="5"/>
      <c r="K685" s="5"/>
      <c r="L685" s="3" t="s">
        <v>155</v>
      </c>
      <c r="M685" s="5"/>
      <c r="N685" s="4"/>
      <c r="O685" s="5"/>
      <c r="P685" s="5"/>
      <c r="Q685" s="5"/>
      <c r="R685" s="5"/>
      <c r="S685" s="5"/>
      <c r="T685" s="24"/>
      <c r="U685" s="3" t="b">
        <v>0</v>
      </c>
      <c r="V685" s="5"/>
    </row>
    <row r="686" spans="1:22" ht="45" customHeight="1">
      <c r="A686" s="3" t="s">
        <v>148</v>
      </c>
      <c r="B686" s="5"/>
      <c r="C686" s="6"/>
      <c r="D686" s="3"/>
      <c r="E686" s="5"/>
      <c r="F686" s="20">
        <f>LEN(G686)</f>
        <v>0</v>
      </c>
      <c r="G686" s="5"/>
      <c r="H686" s="24"/>
      <c r="I686" s="5"/>
      <c r="J686" s="5"/>
      <c r="K686" s="5"/>
      <c r="L686" s="3" t="s">
        <v>155</v>
      </c>
      <c r="M686" s="5"/>
      <c r="N686" s="4"/>
      <c r="O686" s="5"/>
      <c r="P686" s="5"/>
      <c r="Q686" s="5"/>
      <c r="R686" s="5"/>
      <c r="S686" s="5"/>
      <c r="T686" s="24"/>
      <c r="U686" s="3" t="b">
        <v>0</v>
      </c>
      <c r="V686" s="5"/>
    </row>
    <row r="687" spans="1:22" ht="45" customHeight="1">
      <c r="A687" s="3" t="s">
        <v>148</v>
      </c>
      <c r="B687" s="5"/>
      <c r="C687" s="6"/>
      <c r="D687" s="3"/>
      <c r="E687" s="5"/>
      <c r="F687" s="20">
        <f>LEN(G687)</f>
        <v>0</v>
      </c>
      <c r="G687" s="5"/>
      <c r="H687" s="24"/>
      <c r="I687" s="5"/>
      <c r="J687" s="5"/>
      <c r="K687" s="5"/>
      <c r="L687" s="3" t="s">
        <v>155</v>
      </c>
      <c r="M687" s="5"/>
      <c r="N687" s="4"/>
      <c r="O687" s="5"/>
      <c r="P687" s="5"/>
      <c r="Q687" s="5"/>
      <c r="R687" s="5"/>
      <c r="S687" s="5"/>
      <c r="T687" s="24"/>
      <c r="U687" s="3" t="b">
        <v>0</v>
      </c>
      <c r="V687" s="5"/>
    </row>
    <row r="688" spans="1:22" ht="45" customHeight="1">
      <c r="A688" s="3" t="s">
        <v>148</v>
      </c>
      <c r="B688" s="5"/>
      <c r="C688" s="6"/>
      <c r="D688" s="3"/>
      <c r="E688" s="5"/>
      <c r="F688" s="20">
        <f>LEN(G688)</f>
        <v>0</v>
      </c>
      <c r="G688" s="5"/>
      <c r="H688" s="24"/>
      <c r="I688" s="5"/>
      <c r="J688" s="5"/>
      <c r="K688" s="5"/>
      <c r="L688" s="3" t="s">
        <v>155</v>
      </c>
      <c r="M688" s="5"/>
      <c r="N688" s="4"/>
      <c r="O688" s="5"/>
      <c r="P688" s="5"/>
      <c r="Q688" s="5"/>
      <c r="R688" s="5"/>
      <c r="S688" s="5"/>
      <c r="T688" s="24"/>
      <c r="U688" s="3" t="b">
        <v>0</v>
      </c>
      <c r="V688" s="5"/>
    </row>
    <row r="689" spans="1:22" ht="45" customHeight="1">
      <c r="A689" s="3" t="s">
        <v>148</v>
      </c>
      <c r="B689" s="5"/>
      <c r="C689" s="6"/>
      <c r="D689" s="3"/>
      <c r="E689" s="5"/>
      <c r="F689" s="20">
        <f>LEN(G689)</f>
        <v>0</v>
      </c>
      <c r="G689" s="5"/>
      <c r="H689" s="24"/>
      <c r="I689" s="5"/>
      <c r="J689" s="5"/>
      <c r="K689" s="5"/>
      <c r="L689" s="3" t="s">
        <v>155</v>
      </c>
      <c r="M689" s="5"/>
      <c r="N689" s="4"/>
      <c r="O689" s="5"/>
      <c r="P689" s="5"/>
      <c r="Q689" s="5"/>
      <c r="R689" s="5"/>
      <c r="S689" s="5"/>
      <c r="T689" s="24"/>
      <c r="U689" s="3" t="b">
        <v>0</v>
      </c>
      <c r="V689" s="5"/>
    </row>
    <row r="690" spans="1:22" ht="45" customHeight="1">
      <c r="A690" s="3" t="s">
        <v>148</v>
      </c>
      <c r="B690" s="5"/>
      <c r="C690" s="6"/>
      <c r="D690" s="3"/>
      <c r="E690" s="5"/>
      <c r="F690" s="20">
        <f>LEN(G690)</f>
        <v>0</v>
      </c>
      <c r="G690" s="5"/>
      <c r="H690" s="24"/>
      <c r="I690" s="5"/>
      <c r="J690" s="5"/>
      <c r="K690" s="5"/>
      <c r="L690" s="3" t="s">
        <v>155</v>
      </c>
      <c r="M690" s="5"/>
      <c r="N690" s="4"/>
      <c r="O690" s="5"/>
      <c r="P690" s="5"/>
      <c r="Q690" s="5"/>
      <c r="R690" s="5"/>
      <c r="S690" s="5"/>
      <c r="T690" s="24"/>
      <c r="U690" s="3" t="b">
        <v>0</v>
      </c>
      <c r="V690" s="5"/>
    </row>
    <row r="691" spans="1:22" ht="45" customHeight="1">
      <c r="A691" s="3" t="s">
        <v>148</v>
      </c>
      <c r="B691" s="5"/>
      <c r="C691" s="6"/>
      <c r="D691" s="3"/>
      <c r="E691" s="5"/>
      <c r="F691" s="20">
        <f>LEN(G691)</f>
        <v>0</v>
      </c>
      <c r="G691" s="5"/>
      <c r="H691" s="24"/>
      <c r="I691" s="5"/>
      <c r="J691" s="5"/>
      <c r="K691" s="5"/>
      <c r="L691" s="3" t="s">
        <v>155</v>
      </c>
      <c r="M691" s="5"/>
      <c r="N691" s="4"/>
      <c r="O691" s="5"/>
      <c r="P691" s="5"/>
      <c r="Q691" s="5"/>
      <c r="R691" s="5"/>
      <c r="S691" s="5"/>
      <c r="T691" s="24"/>
      <c r="U691" s="3" t="b">
        <v>0</v>
      </c>
      <c r="V691" s="5"/>
    </row>
    <row r="692" spans="1:22" ht="45" customHeight="1">
      <c r="A692" s="3" t="s">
        <v>148</v>
      </c>
      <c r="B692" s="5"/>
      <c r="C692" s="6"/>
      <c r="D692" s="3"/>
      <c r="E692" s="5"/>
      <c r="F692" s="20">
        <f>LEN(G692)</f>
        <v>0</v>
      </c>
      <c r="G692" s="5"/>
      <c r="H692" s="24"/>
      <c r="I692" s="5"/>
      <c r="J692" s="5"/>
      <c r="K692" s="5"/>
      <c r="L692" s="3" t="s">
        <v>155</v>
      </c>
      <c r="M692" s="5"/>
      <c r="N692" s="4"/>
      <c r="O692" s="5"/>
      <c r="P692" s="5"/>
      <c r="Q692" s="5"/>
      <c r="R692" s="5"/>
      <c r="S692" s="5"/>
      <c r="T692" s="24"/>
      <c r="U692" s="3" t="b">
        <v>0</v>
      </c>
      <c r="V692" s="5"/>
    </row>
    <row r="693" spans="1:22" ht="45" customHeight="1">
      <c r="A693" s="3" t="s">
        <v>148</v>
      </c>
      <c r="B693" s="5"/>
      <c r="C693" s="6"/>
      <c r="D693" s="3"/>
      <c r="E693" s="5"/>
      <c r="F693" s="20">
        <f>LEN(G693)</f>
        <v>0</v>
      </c>
      <c r="G693" s="5"/>
      <c r="H693" s="24"/>
      <c r="I693" s="5"/>
      <c r="J693" s="5"/>
      <c r="K693" s="5"/>
      <c r="L693" s="3" t="s">
        <v>155</v>
      </c>
      <c r="M693" s="5"/>
      <c r="N693" s="4"/>
      <c r="O693" s="5"/>
      <c r="P693" s="5"/>
      <c r="Q693" s="5"/>
      <c r="R693" s="5"/>
      <c r="S693" s="5"/>
      <c r="T693" s="24"/>
      <c r="U693" s="3" t="b">
        <v>0</v>
      </c>
      <c r="V693" s="5"/>
    </row>
    <row r="694" spans="1:22" ht="45" customHeight="1">
      <c r="A694" s="3" t="s">
        <v>148</v>
      </c>
      <c r="B694" s="5"/>
      <c r="C694" s="6"/>
      <c r="D694" s="3"/>
      <c r="E694" s="5"/>
      <c r="F694" s="20">
        <f>LEN(G694)</f>
        <v>0</v>
      </c>
      <c r="G694" s="5"/>
      <c r="H694" s="24"/>
      <c r="I694" s="5"/>
      <c r="J694" s="5"/>
      <c r="K694" s="5"/>
      <c r="L694" s="3" t="s">
        <v>155</v>
      </c>
      <c r="M694" s="5"/>
      <c r="N694" s="4"/>
      <c r="O694" s="5"/>
      <c r="P694" s="5"/>
      <c r="Q694" s="5"/>
      <c r="R694" s="5"/>
      <c r="S694" s="5"/>
      <c r="T694" s="24"/>
      <c r="U694" s="3" t="b">
        <v>0</v>
      </c>
      <c r="V694" s="5"/>
    </row>
    <row r="695" spans="1:22" ht="45" customHeight="1">
      <c r="A695" s="3" t="s">
        <v>148</v>
      </c>
      <c r="B695" s="5"/>
      <c r="C695" s="6"/>
      <c r="D695" s="3"/>
      <c r="E695" s="5"/>
      <c r="F695" s="20">
        <f>LEN(G695)</f>
        <v>0</v>
      </c>
      <c r="G695" s="5"/>
      <c r="H695" s="24"/>
      <c r="I695" s="5"/>
      <c r="J695" s="5"/>
      <c r="K695" s="5"/>
      <c r="L695" s="3" t="s">
        <v>155</v>
      </c>
      <c r="M695" s="5"/>
      <c r="N695" s="4"/>
      <c r="O695" s="5"/>
      <c r="P695" s="5"/>
      <c r="Q695" s="5"/>
      <c r="R695" s="5"/>
      <c r="S695" s="5"/>
      <c r="T695" s="24"/>
      <c r="U695" s="3" t="b">
        <v>0</v>
      </c>
      <c r="V695" s="5"/>
    </row>
    <row r="696" spans="1:22" ht="45" customHeight="1">
      <c r="A696" s="3" t="s">
        <v>148</v>
      </c>
      <c r="B696" s="5"/>
      <c r="C696" s="6"/>
      <c r="D696" s="3"/>
      <c r="E696" s="5"/>
      <c r="F696" s="20">
        <f>LEN(G696)</f>
        <v>0</v>
      </c>
      <c r="G696" s="5"/>
      <c r="H696" s="24"/>
      <c r="I696" s="5"/>
      <c r="J696" s="5"/>
      <c r="K696" s="5"/>
      <c r="L696" s="3" t="s">
        <v>155</v>
      </c>
      <c r="M696" s="5"/>
      <c r="N696" s="4"/>
      <c r="O696" s="5"/>
      <c r="P696" s="5"/>
      <c r="Q696" s="5"/>
      <c r="R696" s="5"/>
      <c r="S696" s="5"/>
      <c r="T696" s="24"/>
      <c r="U696" s="3" t="b">
        <v>0</v>
      </c>
      <c r="V696" s="5"/>
    </row>
    <row r="697" spans="1:22" ht="45" customHeight="1">
      <c r="A697" s="3" t="s">
        <v>148</v>
      </c>
      <c r="B697" s="5"/>
      <c r="C697" s="6"/>
      <c r="D697" s="3"/>
      <c r="E697" s="5"/>
      <c r="F697" s="20">
        <f>LEN(G697)</f>
        <v>0</v>
      </c>
      <c r="G697" s="5"/>
      <c r="H697" s="24"/>
      <c r="I697" s="5"/>
      <c r="J697" s="5"/>
      <c r="K697" s="5"/>
      <c r="L697" s="3" t="s">
        <v>155</v>
      </c>
      <c r="M697" s="5"/>
      <c r="N697" s="4"/>
      <c r="O697" s="5"/>
      <c r="P697" s="5"/>
      <c r="Q697" s="5"/>
      <c r="R697" s="5"/>
      <c r="S697" s="5"/>
      <c r="T697" s="24"/>
      <c r="U697" s="3" t="b">
        <v>0</v>
      </c>
      <c r="V697" s="5"/>
    </row>
    <row r="698" spans="1:22" ht="45" customHeight="1">
      <c r="A698" s="3" t="s">
        <v>148</v>
      </c>
      <c r="B698" s="5"/>
      <c r="C698" s="6"/>
      <c r="D698" s="3"/>
      <c r="E698" s="5"/>
      <c r="F698" s="20">
        <f>LEN(G698)</f>
        <v>0</v>
      </c>
      <c r="G698" s="5"/>
      <c r="H698" s="24"/>
      <c r="I698" s="5"/>
      <c r="J698" s="5"/>
      <c r="K698" s="5"/>
      <c r="L698" s="3" t="s">
        <v>155</v>
      </c>
      <c r="M698" s="5"/>
      <c r="N698" s="4"/>
      <c r="O698" s="5"/>
      <c r="P698" s="5"/>
      <c r="Q698" s="5"/>
      <c r="R698" s="5"/>
      <c r="S698" s="5"/>
      <c r="T698" s="24"/>
      <c r="U698" s="3" t="b">
        <v>0</v>
      </c>
      <c r="V698" s="5"/>
    </row>
    <row r="699" spans="1:22" ht="45" customHeight="1">
      <c r="A699" s="3" t="s">
        <v>148</v>
      </c>
      <c r="B699" s="5"/>
      <c r="C699" s="6"/>
      <c r="D699" s="3"/>
      <c r="E699" s="5"/>
      <c r="F699" s="20">
        <f>LEN(G699)</f>
        <v>0</v>
      </c>
      <c r="G699" s="5"/>
      <c r="H699" s="24"/>
      <c r="I699" s="5"/>
      <c r="J699" s="5"/>
      <c r="K699" s="5"/>
      <c r="L699" s="3" t="s">
        <v>155</v>
      </c>
      <c r="M699" s="5"/>
      <c r="N699" s="4"/>
      <c r="O699" s="5"/>
      <c r="P699" s="5"/>
      <c r="Q699" s="5"/>
      <c r="R699" s="5"/>
      <c r="S699" s="5"/>
      <c r="T699" s="24"/>
      <c r="U699" s="3" t="b">
        <v>0</v>
      </c>
      <c r="V699" s="5"/>
    </row>
    <row r="700" spans="1:22" ht="45" customHeight="1">
      <c r="A700" s="3" t="s">
        <v>148</v>
      </c>
      <c r="B700" s="5"/>
      <c r="C700" s="6"/>
      <c r="D700" s="3"/>
      <c r="E700" s="5"/>
      <c r="F700" s="20">
        <f>LEN(G700)</f>
        <v>0</v>
      </c>
      <c r="G700" s="5"/>
      <c r="H700" s="24"/>
      <c r="I700" s="5"/>
      <c r="J700" s="5"/>
      <c r="K700" s="5"/>
      <c r="L700" s="3" t="s">
        <v>155</v>
      </c>
      <c r="M700" s="5"/>
      <c r="N700" s="4"/>
      <c r="O700" s="5"/>
      <c r="P700" s="5"/>
      <c r="Q700" s="5"/>
      <c r="R700" s="5"/>
      <c r="S700" s="5"/>
      <c r="T700" s="24"/>
      <c r="U700" s="3" t="b">
        <v>0</v>
      </c>
      <c r="V700" s="5"/>
    </row>
    <row r="701" spans="1:22" ht="45" customHeight="1">
      <c r="A701" s="3" t="s">
        <v>148</v>
      </c>
      <c r="B701" s="5"/>
      <c r="C701" s="6"/>
      <c r="D701" s="3"/>
      <c r="E701" s="5"/>
      <c r="F701" s="20">
        <f>LEN(G701)</f>
        <v>0</v>
      </c>
      <c r="G701" s="5"/>
      <c r="H701" s="24"/>
      <c r="I701" s="5"/>
      <c r="J701" s="5"/>
      <c r="K701" s="5"/>
      <c r="L701" s="3" t="s">
        <v>155</v>
      </c>
      <c r="M701" s="5"/>
      <c r="N701" s="4"/>
      <c r="O701" s="5"/>
      <c r="P701" s="5"/>
      <c r="Q701" s="5"/>
      <c r="R701" s="5"/>
      <c r="S701" s="5"/>
      <c r="T701" s="24"/>
      <c r="U701" s="3" t="b">
        <v>0</v>
      </c>
      <c r="V701" s="5"/>
    </row>
    <row r="702" spans="1:22" ht="45" customHeight="1">
      <c r="A702" s="3" t="s">
        <v>148</v>
      </c>
      <c r="B702" s="5"/>
      <c r="C702" s="6"/>
      <c r="D702" s="3"/>
      <c r="E702" s="5"/>
      <c r="F702" s="20">
        <f>LEN(G702)</f>
        <v>0</v>
      </c>
      <c r="G702" s="5"/>
      <c r="H702" s="24"/>
      <c r="I702" s="5"/>
      <c r="J702" s="5"/>
      <c r="K702" s="5"/>
      <c r="L702" s="3" t="s">
        <v>155</v>
      </c>
      <c r="M702" s="5"/>
      <c r="N702" s="4"/>
      <c r="O702" s="5"/>
      <c r="P702" s="5"/>
      <c r="Q702" s="5"/>
      <c r="R702" s="5"/>
      <c r="S702" s="5"/>
      <c r="T702" s="24"/>
      <c r="U702" s="3" t="b">
        <v>0</v>
      </c>
      <c r="V702" s="5"/>
    </row>
    <row r="703" spans="1:22" ht="45" customHeight="1">
      <c r="A703" s="3" t="s">
        <v>148</v>
      </c>
      <c r="B703" s="5"/>
      <c r="C703" s="6"/>
      <c r="D703" s="3"/>
      <c r="E703" s="5"/>
      <c r="F703" s="20">
        <f>LEN(G703)</f>
        <v>0</v>
      </c>
      <c r="G703" s="5"/>
      <c r="H703" s="24"/>
      <c r="I703" s="5"/>
      <c r="J703" s="5"/>
      <c r="K703" s="5"/>
      <c r="L703" s="3" t="s">
        <v>155</v>
      </c>
      <c r="M703" s="5"/>
      <c r="N703" s="4"/>
      <c r="O703" s="5"/>
      <c r="P703" s="5"/>
      <c r="Q703" s="5"/>
      <c r="R703" s="5"/>
      <c r="S703" s="5"/>
      <c r="T703" s="24"/>
      <c r="U703" s="3" t="b">
        <v>0</v>
      </c>
      <c r="V703" s="5"/>
    </row>
    <row r="704" spans="1:22" ht="45" customHeight="1">
      <c r="A704" s="3" t="s">
        <v>148</v>
      </c>
      <c r="B704" s="5"/>
      <c r="C704" s="6"/>
      <c r="D704" s="3"/>
      <c r="E704" s="5"/>
      <c r="F704" s="20">
        <f>LEN(G704)</f>
        <v>0</v>
      </c>
      <c r="G704" s="5"/>
      <c r="H704" s="24"/>
      <c r="I704" s="5"/>
      <c r="J704" s="5"/>
      <c r="K704" s="5"/>
      <c r="L704" s="3" t="s">
        <v>155</v>
      </c>
      <c r="M704" s="5"/>
      <c r="N704" s="4"/>
      <c r="O704" s="5"/>
      <c r="P704" s="5"/>
      <c r="Q704" s="5"/>
      <c r="R704" s="5"/>
      <c r="S704" s="5"/>
      <c r="T704" s="24"/>
      <c r="U704" s="3" t="b">
        <v>0</v>
      </c>
      <c r="V704" s="5"/>
    </row>
    <row r="705" spans="1:22" ht="45" customHeight="1">
      <c r="A705" s="3" t="s">
        <v>148</v>
      </c>
      <c r="B705" s="5"/>
      <c r="C705" s="6"/>
      <c r="D705" s="3"/>
      <c r="E705" s="5"/>
      <c r="F705" s="20">
        <f>LEN(G705)</f>
        <v>0</v>
      </c>
      <c r="G705" s="5"/>
      <c r="H705" s="24"/>
      <c r="I705" s="5"/>
      <c r="J705" s="5"/>
      <c r="K705" s="5"/>
      <c r="L705" s="3" t="s">
        <v>155</v>
      </c>
      <c r="M705" s="5"/>
      <c r="N705" s="4"/>
      <c r="O705" s="5"/>
      <c r="P705" s="5"/>
      <c r="Q705" s="5"/>
      <c r="R705" s="5"/>
      <c r="S705" s="5"/>
      <c r="T705" s="24"/>
      <c r="U705" s="3" t="b">
        <v>0</v>
      </c>
      <c r="V705" s="5"/>
    </row>
    <row r="706" spans="1:22" ht="45" customHeight="1">
      <c r="A706" s="3" t="s">
        <v>148</v>
      </c>
      <c r="B706" s="5"/>
      <c r="C706" s="6"/>
      <c r="D706" s="3"/>
      <c r="E706" s="5"/>
      <c r="F706" s="20">
        <f>LEN(G706)</f>
        <v>0</v>
      </c>
      <c r="G706" s="5"/>
      <c r="H706" s="24"/>
      <c r="I706" s="5"/>
      <c r="J706" s="5"/>
      <c r="K706" s="5"/>
      <c r="L706" s="3" t="s">
        <v>155</v>
      </c>
      <c r="M706" s="5"/>
      <c r="N706" s="4"/>
      <c r="O706" s="5"/>
      <c r="P706" s="5"/>
      <c r="Q706" s="5"/>
      <c r="R706" s="5"/>
      <c r="S706" s="5"/>
      <c r="T706" s="24"/>
      <c r="U706" s="3" t="b">
        <v>0</v>
      </c>
      <c r="V706" s="5"/>
    </row>
    <row r="707" spans="1:22" ht="45" customHeight="1">
      <c r="A707" s="3" t="s">
        <v>148</v>
      </c>
      <c r="B707" s="5"/>
      <c r="C707" s="6"/>
      <c r="D707" s="3"/>
      <c r="E707" s="5"/>
      <c r="F707" s="20">
        <f>LEN(G707)</f>
        <v>0</v>
      </c>
      <c r="G707" s="5"/>
      <c r="H707" s="24"/>
      <c r="I707" s="5"/>
      <c r="J707" s="5"/>
      <c r="K707" s="5"/>
      <c r="L707" s="3" t="s">
        <v>155</v>
      </c>
      <c r="M707" s="5"/>
      <c r="N707" s="4"/>
      <c r="O707" s="5"/>
      <c r="P707" s="5"/>
      <c r="Q707" s="5"/>
      <c r="R707" s="5"/>
      <c r="S707" s="5"/>
      <c r="T707" s="24"/>
      <c r="U707" s="3" t="b">
        <v>0</v>
      </c>
      <c r="V707" s="5"/>
    </row>
    <row r="708" spans="1:22" ht="45" customHeight="1">
      <c r="A708" s="3" t="s">
        <v>148</v>
      </c>
      <c r="B708" s="5"/>
      <c r="C708" s="6"/>
      <c r="D708" s="3"/>
      <c r="E708" s="5"/>
      <c r="F708" s="20">
        <f>LEN(G708)</f>
        <v>0</v>
      </c>
      <c r="G708" s="5"/>
      <c r="H708" s="24"/>
      <c r="I708" s="5"/>
      <c r="J708" s="5"/>
      <c r="K708" s="5"/>
      <c r="L708" s="3" t="s">
        <v>155</v>
      </c>
      <c r="M708" s="5"/>
      <c r="N708" s="4"/>
      <c r="O708" s="5"/>
      <c r="P708" s="5"/>
      <c r="Q708" s="5"/>
      <c r="R708" s="5"/>
      <c r="S708" s="5"/>
      <c r="T708" s="24"/>
      <c r="U708" s="3" t="b">
        <v>0</v>
      </c>
      <c r="V708" s="5"/>
    </row>
    <row r="709" spans="1:22" ht="45" customHeight="1">
      <c r="A709" s="3" t="s">
        <v>148</v>
      </c>
      <c r="B709" s="5"/>
      <c r="C709" s="6"/>
      <c r="D709" s="3"/>
      <c r="E709" s="5"/>
      <c r="F709" s="20">
        <f>LEN(G709)</f>
        <v>0</v>
      </c>
      <c r="G709" s="5"/>
      <c r="H709" s="24"/>
      <c r="I709" s="5"/>
      <c r="J709" s="5"/>
      <c r="K709" s="5"/>
      <c r="L709" s="3" t="s">
        <v>155</v>
      </c>
      <c r="M709" s="5"/>
      <c r="N709" s="4"/>
      <c r="O709" s="5"/>
      <c r="P709" s="5"/>
      <c r="Q709" s="5"/>
      <c r="R709" s="5"/>
      <c r="S709" s="5"/>
      <c r="T709" s="24"/>
      <c r="U709" s="3" t="b">
        <v>0</v>
      </c>
      <c r="V709" s="5"/>
    </row>
    <row r="710" spans="1:22" ht="45" customHeight="1">
      <c r="A710" s="3" t="s">
        <v>148</v>
      </c>
      <c r="B710" s="5"/>
      <c r="C710" s="6"/>
      <c r="D710" s="3"/>
      <c r="E710" s="5"/>
      <c r="F710" s="20">
        <f>LEN(G710)</f>
        <v>0</v>
      </c>
      <c r="G710" s="5"/>
      <c r="H710" s="24"/>
      <c r="I710" s="5"/>
      <c r="J710" s="5"/>
      <c r="K710" s="5"/>
      <c r="L710" s="3" t="s">
        <v>155</v>
      </c>
      <c r="M710" s="5"/>
      <c r="N710" s="4"/>
      <c r="O710" s="5"/>
      <c r="P710" s="5"/>
      <c r="Q710" s="5"/>
      <c r="R710" s="5"/>
      <c r="S710" s="5"/>
      <c r="T710" s="24"/>
      <c r="U710" s="3" t="b">
        <v>0</v>
      </c>
      <c r="V710" s="5"/>
    </row>
    <row r="711" spans="1:22" ht="45" customHeight="1">
      <c r="A711" s="3" t="s">
        <v>148</v>
      </c>
      <c r="B711" s="5"/>
      <c r="C711" s="6"/>
      <c r="D711" s="3"/>
      <c r="E711" s="5"/>
      <c r="F711" s="20">
        <f>LEN(G711)</f>
        <v>0</v>
      </c>
      <c r="G711" s="5"/>
      <c r="H711" s="24"/>
      <c r="I711" s="5"/>
      <c r="J711" s="5"/>
      <c r="K711" s="5"/>
      <c r="L711" s="3" t="s">
        <v>155</v>
      </c>
      <c r="M711" s="5"/>
      <c r="N711" s="4"/>
      <c r="O711" s="5"/>
      <c r="P711" s="5"/>
      <c r="Q711" s="5"/>
      <c r="R711" s="5"/>
      <c r="S711" s="5"/>
      <c r="T711" s="24"/>
      <c r="U711" s="3" t="b">
        <v>0</v>
      </c>
      <c r="V711" s="5"/>
    </row>
    <row r="712" spans="1:22" ht="45" customHeight="1">
      <c r="A712" s="3" t="s">
        <v>148</v>
      </c>
      <c r="B712" s="5"/>
      <c r="C712" s="6"/>
      <c r="D712" s="3"/>
      <c r="E712" s="5"/>
      <c r="F712" s="20">
        <f>LEN(G712)</f>
        <v>0</v>
      </c>
      <c r="G712" s="5"/>
      <c r="H712" s="24"/>
      <c r="I712" s="5"/>
      <c r="J712" s="5"/>
      <c r="K712" s="5"/>
      <c r="L712" s="3" t="s">
        <v>155</v>
      </c>
      <c r="M712" s="5"/>
      <c r="N712" s="4"/>
      <c r="O712" s="5"/>
      <c r="P712" s="5"/>
      <c r="Q712" s="5"/>
      <c r="R712" s="5"/>
      <c r="S712" s="5"/>
      <c r="T712" s="24"/>
      <c r="U712" s="3" t="b">
        <v>0</v>
      </c>
      <c r="V712" s="5"/>
    </row>
    <row r="713" spans="1:22" ht="45" customHeight="1">
      <c r="A713" s="3" t="s">
        <v>148</v>
      </c>
      <c r="B713" s="5"/>
      <c r="C713" s="6"/>
      <c r="D713" s="3"/>
      <c r="E713" s="5"/>
      <c r="F713" s="20">
        <f>LEN(G713)</f>
        <v>0</v>
      </c>
      <c r="G713" s="5"/>
      <c r="H713" s="24"/>
      <c r="I713" s="5"/>
      <c r="J713" s="5"/>
      <c r="K713" s="5"/>
      <c r="L713" s="3" t="s">
        <v>155</v>
      </c>
      <c r="M713" s="5"/>
      <c r="N713" s="4"/>
      <c r="O713" s="5"/>
      <c r="P713" s="5"/>
      <c r="Q713" s="5"/>
      <c r="R713" s="5"/>
      <c r="S713" s="5"/>
      <c r="T713" s="24"/>
      <c r="U713" s="3" t="b">
        <v>0</v>
      </c>
      <c r="V713" s="5"/>
    </row>
    <row r="714" spans="1:22" ht="45" customHeight="1">
      <c r="A714" s="3" t="s">
        <v>148</v>
      </c>
      <c r="B714" s="5"/>
      <c r="C714" s="6"/>
      <c r="D714" s="3"/>
      <c r="E714" s="5"/>
      <c r="F714" s="20">
        <f>LEN(G714)</f>
        <v>0</v>
      </c>
      <c r="G714" s="5"/>
      <c r="H714" s="24"/>
      <c r="I714" s="5"/>
      <c r="J714" s="5"/>
      <c r="K714" s="5"/>
      <c r="L714" s="3" t="s">
        <v>155</v>
      </c>
      <c r="M714" s="5"/>
      <c r="N714" s="4"/>
      <c r="O714" s="5"/>
      <c r="P714" s="5"/>
      <c r="Q714" s="5"/>
      <c r="R714" s="5"/>
      <c r="S714" s="5"/>
      <c r="T714" s="24"/>
      <c r="U714" s="3" t="b">
        <v>0</v>
      </c>
      <c r="V714" s="5"/>
    </row>
    <row r="715" spans="1:22" ht="45" customHeight="1">
      <c r="A715" s="3" t="s">
        <v>148</v>
      </c>
      <c r="B715" s="5"/>
      <c r="C715" s="6"/>
      <c r="D715" s="3"/>
      <c r="E715" s="5"/>
      <c r="F715" s="20">
        <f>LEN(G715)</f>
        <v>0</v>
      </c>
      <c r="G715" s="5"/>
      <c r="H715" s="24"/>
      <c r="I715" s="5"/>
      <c r="J715" s="5"/>
      <c r="K715" s="5"/>
      <c r="L715" s="3" t="s">
        <v>155</v>
      </c>
      <c r="M715" s="5"/>
      <c r="N715" s="4"/>
      <c r="O715" s="5"/>
      <c r="P715" s="5"/>
      <c r="Q715" s="5"/>
      <c r="R715" s="5"/>
      <c r="S715" s="5"/>
      <c r="T715" s="24"/>
      <c r="U715" s="3" t="b">
        <v>0</v>
      </c>
      <c r="V715" s="5"/>
    </row>
    <row r="716" spans="1:22" ht="45" customHeight="1">
      <c r="A716" s="3" t="s">
        <v>148</v>
      </c>
      <c r="B716" s="5"/>
      <c r="C716" s="6"/>
      <c r="D716" s="3"/>
      <c r="E716" s="5"/>
      <c r="F716" s="20">
        <f>LEN(G716)</f>
        <v>0</v>
      </c>
      <c r="G716" s="5"/>
      <c r="H716" s="24"/>
      <c r="I716" s="5"/>
      <c r="J716" s="5"/>
      <c r="K716" s="5"/>
      <c r="L716" s="3" t="s">
        <v>155</v>
      </c>
      <c r="M716" s="5"/>
      <c r="N716" s="4"/>
      <c r="O716" s="5"/>
      <c r="P716" s="5"/>
      <c r="Q716" s="5"/>
      <c r="R716" s="5"/>
      <c r="S716" s="5"/>
      <c r="T716" s="24"/>
      <c r="U716" s="3" t="b">
        <v>0</v>
      </c>
      <c r="V716" s="5"/>
    </row>
    <row r="717" spans="1:22" ht="45" customHeight="1">
      <c r="A717" s="3" t="s">
        <v>148</v>
      </c>
      <c r="B717" s="5"/>
      <c r="C717" s="6"/>
      <c r="D717" s="3"/>
      <c r="E717" s="5"/>
      <c r="F717" s="20">
        <f>LEN(G717)</f>
        <v>0</v>
      </c>
      <c r="G717" s="5"/>
      <c r="H717" s="24"/>
      <c r="I717" s="5"/>
      <c r="J717" s="5"/>
      <c r="K717" s="5"/>
      <c r="L717" s="3" t="s">
        <v>155</v>
      </c>
      <c r="M717" s="5"/>
      <c r="N717" s="4"/>
      <c r="O717" s="5"/>
      <c r="P717" s="5"/>
      <c r="Q717" s="5"/>
      <c r="R717" s="5"/>
      <c r="S717" s="5"/>
      <c r="T717" s="24"/>
      <c r="U717" s="3" t="b">
        <v>0</v>
      </c>
      <c r="V717" s="5"/>
    </row>
    <row r="718" spans="1:22" ht="45" customHeight="1">
      <c r="A718" s="3" t="s">
        <v>148</v>
      </c>
      <c r="B718" s="5"/>
      <c r="C718" s="6"/>
      <c r="D718" s="3"/>
      <c r="E718" s="5"/>
      <c r="F718" s="20">
        <f>LEN(G718)</f>
        <v>0</v>
      </c>
      <c r="G718" s="5"/>
      <c r="H718" s="24"/>
      <c r="I718" s="5"/>
      <c r="J718" s="5"/>
      <c r="K718" s="5"/>
      <c r="L718" s="3" t="s">
        <v>155</v>
      </c>
      <c r="M718" s="5"/>
      <c r="N718" s="4"/>
      <c r="O718" s="5"/>
      <c r="P718" s="5"/>
      <c r="Q718" s="5"/>
      <c r="R718" s="5"/>
      <c r="S718" s="5"/>
      <c r="T718" s="24"/>
      <c r="U718" s="3" t="b">
        <v>0</v>
      </c>
      <c r="V718" s="5"/>
    </row>
    <row r="719" spans="1:22" ht="45" customHeight="1">
      <c r="A719" s="3" t="s">
        <v>148</v>
      </c>
      <c r="B719" s="5"/>
      <c r="C719" s="6"/>
      <c r="D719" s="3"/>
      <c r="E719" s="5"/>
      <c r="F719" s="20">
        <f>LEN(G719)</f>
        <v>0</v>
      </c>
      <c r="G719" s="5"/>
      <c r="H719" s="24"/>
      <c r="I719" s="5"/>
      <c r="J719" s="5"/>
      <c r="K719" s="5"/>
      <c r="L719" s="3" t="s">
        <v>155</v>
      </c>
      <c r="M719" s="5"/>
      <c r="N719" s="4"/>
      <c r="O719" s="5"/>
      <c r="P719" s="5"/>
      <c r="Q719" s="5"/>
      <c r="R719" s="5"/>
      <c r="S719" s="5"/>
      <c r="T719" s="24"/>
      <c r="U719" s="3" t="b">
        <v>0</v>
      </c>
      <c r="V719" s="5"/>
    </row>
    <row r="720" spans="1:22" ht="45" customHeight="1">
      <c r="A720" s="3" t="s">
        <v>148</v>
      </c>
      <c r="B720" s="5"/>
      <c r="C720" s="6"/>
      <c r="D720" s="3"/>
      <c r="E720" s="5"/>
      <c r="F720" s="20">
        <f>LEN(G720)</f>
        <v>0</v>
      </c>
      <c r="G720" s="5"/>
      <c r="H720" s="24"/>
      <c r="I720" s="5"/>
      <c r="J720" s="5"/>
      <c r="K720" s="5"/>
      <c r="L720" s="3" t="s">
        <v>155</v>
      </c>
      <c r="M720" s="5"/>
      <c r="N720" s="4"/>
      <c r="O720" s="5"/>
      <c r="P720" s="5"/>
      <c r="Q720" s="5"/>
      <c r="R720" s="5"/>
      <c r="S720" s="5"/>
      <c r="T720" s="24"/>
      <c r="U720" s="3" t="b">
        <v>0</v>
      </c>
      <c r="V720" s="5"/>
    </row>
    <row r="721" spans="1:22" ht="45" customHeight="1">
      <c r="A721" s="3" t="s">
        <v>148</v>
      </c>
      <c r="B721" s="5"/>
      <c r="C721" s="6"/>
      <c r="D721" s="3"/>
      <c r="E721" s="5"/>
      <c r="F721" s="20">
        <f>LEN(G721)</f>
        <v>0</v>
      </c>
      <c r="G721" s="5"/>
      <c r="H721" s="24"/>
      <c r="I721" s="5"/>
      <c r="J721" s="5"/>
      <c r="K721" s="5"/>
      <c r="L721" s="3" t="s">
        <v>155</v>
      </c>
      <c r="M721" s="5"/>
      <c r="N721" s="4"/>
      <c r="O721" s="5"/>
      <c r="P721" s="5"/>
      <c r="Q721" s="5"/>
      <c r="R721" s="5"/>
      <c r="S721" s="5"/>
      <c r="T721" s="24"/>
      <c r="U721" s="3" t="b">
        <v>0</v>
      </c>
      <c r="V721" s="5"/>
    </row>
    <row r="722" spans="1:22" ht="45" customHeight="1">
      <c r="A722" s="3" t="s">
        <v>148</v>
      </c>
      <c r="B722" s="5"/>
      <c r="C722" s="6"/>
      <c r="D722" s="3"/>
      <c r="E722" s="5"/>
      <c r="F722" s="20">
        <f>LEN(G722)</f>
        <v>0</v>
      </c>
      <c r="G722" s="5"/>
      <c r="H722" s="24"/>
      <c r="I722" s="5"/>
      <c r="J722" s="5"/>
      <c r="K722" s="5"/>
      <c r="L722" s="3" t="s">
        <v>155</v>
      </c>
      <c r="M722" s="5"/>
      <c r="N722" s="4"/>
      <c r="O722" s="5"/>
      <c r="P722" s="5"/>
      <c r="Q722" s="5"/>
      <c r="R722" s="5"/>
      <c r="S722" s="5"/>
      <c r="T722" s="24"/>
      <c r="U722" s="3" t="b">
        <v>0</v>
      </c>
      <c r="V722" s="5"/>
    </row>
    <row r="723" spans="1:22" ht="45" customHeight="1">
      <c r="A723" s="3" t="s">
        <v>148</v>
      </c>
      <c r="B723" s="5"/>
      <c r="C723" s="6"/>
      <c r="D723" s="3"/>
      <c r="E723" s="5"/>
      <c r="F723" s="20">
        <f>LEN(G723)</f>
        <v>0</v>
      </c>
      <c r="G723" s="5"/>
      <c r="H723" s="24"/>
      <c r="I723" s="5"/>
      <c r="J723" s="5"/>
      <c r="K723" s="5"/>
      <c r="L723" s="3" t="s">
        <v>155</v>
      </c>
      <c r="M723" s="5"/>
      <c r="N723" s="4"/>
      <c r="O723" s="5"/>
      <c r="P723" s="5"/>
      <c r="Q723" s="5"/>
      <c r="R723" s="5"/>
      <c r="S723" s="5"/>
      <c r="T723" s="24"/>
      <c r="U723" s="3" t="b">
        <v>0</v>
      </c>
      <c r="V723" s="5"/>
    </row>
    <row r="724" spans="1:22" ht="45" customHeight="1">
      <c r="A724" s="3" t="s">
        <v>148</v>
      </c>
      <c r="B724" s="5"/>
      <c r="C724" s="6"/>
      <c r="D724" s="3"/>
      <c r="E724" s="5"/>
      <c r="F724" s="20">
        <f>LEN(G724)</f>
        <v>0</v>
      </c>
      <c r="G724" s="5"/>
      <c r="H724" s="24"/>
      <c r="I724" s="5"/>
      <c r="J724" s="5"/>
      <c r="K724" s="5"/>
      <c r="L724" s="3" t="s">
        <v>155</v>
      </c>
      <c r="M724" s="5"/>
      <c r="N724" s="4"/>
      <c r="O724" s="5"/>
      <c r="P724" s="5"/>
      <c r="Q724" s="5"/>
      <c r="R724" s="5"/>
      <c r="S724" s="5"/>
      <c r="T724" s="24"/>
      <c r="U724" s="3" t="b">
        <v>0</v>
      </c>
      <c r="V724" s="5"/>
    </row>
    <row r="725" spans="1:22" ht="45" customHeight="1">
      <c r="A725" s="3" t="s">
        <v>148</v>
      </c>
      <c r="B725" s="5"/>
      <c r="C725" s="6"/>
      <c r="D725" s="3"/>
      <c r="E725" s="5"/>
      <c r="F725" s="20">
        <f>LEN(G725)</f>
        <v>0</v>
      </c>
      <c r="G725" s="5"/>
      <c r="H725" s="24"/>
      <c r="I725" s="5"/>
      <c r="J725" s="5"/>
      <c r="K725" s="5"/>
      <c r="L725" s="3" t="s">
        <v>155</v>
      </c>
      <c r="M725" s="5"/>
      <c r="N725" s="4"/>
      <c r="O725" s="5"/>
      <c r="P725" s="5"/>
      <c r="Q725" s="5"/>
      <c r="R725" s="5"/>
      <c r="S725" s="5"/>
      <c r="T725" s="24"/>
      <c r="U725" s="3" t="b">
        <v>0</v>
      </c>
      <c r="V725" s="5"/>
    </row>
    <row r="726" spans="1:22" ht="45" customHeight="1">
      <c r="A726" s="3" t="s">
        <v>148</v>
      </c>
      <c r="B726" s="5"/>
      <c r="C726" s="6"/>
      <c r="D726" s="3"/>
      <c r="E726" s="5"/>
      <c r="F726" s="20">
        <f>LEN(G726)</f>
        <v>0</v>
      </c>
      <c r="G726" s="5"/>
      <c r="H726" s="24"/>
      <c r="I726" s="5"/>
      <c r="J726" s="5"/>
      <c r="K726" s="5"/>
      <c r="L726" s="3" t="s">
        <v>155</v>
      </c>
      <c r="M726" s="5"/>
      <c r="N726" s="4"/>
      <c r="O726" s="5"/>
      <c r="P726" s="5"/>
      <c r="Q726" s="5"/>
      <c r="R726" s="5"/>
      <c r="S726" s="5"/>
      <c r="T726" s="24"/>
      <c r="U726" s="3" t="b">
        <v>0</v>
      </c>
      <c r="V726" s="5"/>
    </row>
    <row r="727" spans="1:22" ht="45" customHeight="1">
      <c r="A727" s="3" t="s">
        <v>148</v>
      </c>
      <c r="B727" s="5"/>
      <c r="C727" s="6"/>
      <c r="D727" s="3"/>
      <c r="E727" s="5"/>
      <c r="F727" s="20">
        <f>LEN(G727)</f>
        <v>0</v>
      </c>
      <c r="G727" s="5"/>
      <c r="H727" s="24"/>
      <c r="I727" s="5"/>
      <c r="J727" s="5"/>
      <c r="K727" s="5"/>
      <c r="L727" s="3" t="s">
        <v>155</v>
      </c>
      <c r="M727" s="5"/>
      <c r="N727" s="4"/>
      <c r="O727" s="5"/>
      <c r="P727" s="5"/>
      <c r="Q727" s="5"/>
      <c r="R727" s="5"/>
      <c r="S727" s="5"/>
      <c r="T727" s="24"/>
      <c r="U727" s="3" t="b">
        <v>0</v>
      </c>
      <c r="V727" s="5"/>
    </row>
    <row r="728" spans="1:22" ht="45" customHeight="1">
      <c r="A728" s="3" t="s">
        <v>148</v>
      </c>
      <c r="B728" s="5"/>
      <c r="C728" s="6"/>
      <c r="D728" s="3"/>
      <c r="E728" s="5"/>
      <c r="F728" s="20">
        <f>LEN(G728)</f>
        <v>0</v>
      </c>
      <c r="G728" s="5"/>
      <c r="H728" s="24"/>
      <c r="I728" s="5"/>
      <c r="J728" s="5"/>
      <c r="K728" s="5"/>
      <c r="L728" s="3" t="s">
        <v>155</v>
      </c>
      <c r="M728" s="5"/>
      <c r="N728" s="4"/>
      <c r="O728" s="5"/>
      <c r="P728" s="5"/>
      <c r="Q728" s="5"/>
      <c r="R728" s="5"/>
      <c r="S728" s="5"/>
      <c r="T728" s="24"/>
      <c r="U728" s="3" t="b">
        <v>0</v>
      </c>
      <c r="V728" s="5"/>
    </row>
    <row r="729" spans="1:22" ht="45" customHeight="1">
      <c r="A729" s="3" t="s">
        <v>148</v>
      </c>
      <c r="B729" s="5"/>
      <c r="C729" s="6"/>
      <c r="D729" s="3"/>
      <c r="E729" s="5"/>
      <c r="F729" s="20">
        <f>LEN(G729)</f>
        <v>0</v>
      </c>
      <c r="G729" s="5"/>
      <c r="H729" s="24"/>
      <c r="I729" s="5"/>
      <c r="J729" s="5"/>
      <c r="K729" s="5"/>
      <c r="L729" s="3" t="s">
        <v>155</v>
      </c>
      <c r="M729" s="5"/>
      <c r="N729" s="4"/>
      <c r="O729" s="5"/>
      <c r="P729" s="5"/>
      <c r="Q729" s="5"/>
      <c r="R729" s="5"/>
      <c r="S729" s="5"/>
      <c r="T729" s="24"/>
      <c r="U729" s="3" t="b">
        <v>0</v>
      </c>
      <c r="V729" s="5"/>
    </row>
    <row r="730" spans="1:22" ht="45" customHeight="1">
      <c r="A730" s="3" t="s">
        <v>148</v>
      </c>
      <c r="B730" s="5"/>
      <c r="C730" s="6"/>
      <c r="D730" s="3"/>
      <c r="E730" s="5"/>
      <c r="F730" s="20">
        <f>LEN(G730)</f>
        <v>0</v>
      </c>
      <c r="G730" s="5"/>
      <c r="H730" s="24"/>
      <c r="I730" s="5"/>
      <c r="J730" s="5"/>
      <c r="K730" s="5"/>
      <c r="L730" s="3" t="s">
        <v>155</v>
      </c>
      <c r="M730" s="5"/>
      <c r="N730" s="4"/>
      <c r="O730" s="5"/>
      <c r="P730" s="5"/>
      <c r="Q730" s="5"/>
      <c r="R730" s="5"/>
      <c r="S730" s="5"/>
      <c r="T730" s="24"/>
      <c r="U730" s="3" t="b">
        <v>0</v>
      </c>
      <c r="V730" s="5"/>
    </row>
    <row r="731" spans="1:22" ht="45" customHeight="1">
      <c r="A731" s="3" t="s">
        <v>148</v>
      </c>
      <c r="B731" s="5"/>
      <c r="C731" s="6"/>
      <c r="D731" s="3"/>
      <c r="E731" s="5"/>
      <c r="F731" s="20">
        <f>LEN(G731)</f>
        <v>0</v>
      </c>
      <c r="G731" s="5"/>
      <c r="H731" s="24"/>
      <c r="I731" s="5"/>
      <c r="J731" s="5"/>
      <c r="K731" s="5"/>
      <c r="L731" s="3" t="s">
        <v>155</v>
      </c>
      <c r="M731" s="5"/>
      <c r="N731" s="4"/>
      <c r="O731" s="5"/>
      <c r="P731" s="5"/>
      <c r="Q731" s="5"/>
      <c r="R731" s="5"/>
      <c r="S731" s="5"/>
      <c r="T731" s="24"/>
      <c r="U731" s="3" t="b">
        <v>0</v>
      </c>
      <c r="V731" s="5"/>
    </row>
    <row r="732" spans="1:22" ht="45" customHeight="1">
      <c r="A732" s="3" t="s">
        <v>148</v>
      </c>
      <c r="B732" s="5"/>
      <c r="C732" s="6"/>
      <c r="D732" s="3"/>
      <c r="E732" s="5"/>
      <c r="F732" s="20">
        <f>LEN(G732)</f>
        <v>0</v>
      </c>
      <c r="G732" s="5"/>
      <c r="H732" s="24"/>
      <c r="I732" s="5"/>
      <c r="J732" s="5"/>
      <c r="K732" s="5"/>
      <c r="L732" s="3" t="s">
        <v>155</v>
      </c>
      <c r="M732" s="5"/>
      <c r="N732" s="4"/>
      <c r="O732" s="5"/>
      <c r="P732" s="5"/>
      <c r="Q732" s="5"/>
      <c r="R732" s="5"/>
      <c r="S732" s="5"/>
      <c r="T732" s="24"/>
      <c r="U732" s="3" t="b">
        <v>0</v>
      </c>
      <c r="V732" s="5"/>
    </row>
    <row r="733" spans="1:22" ht="45" customHeight="1">
      <c r="A733" s="3" t="s">
        <v>148</v>
      </c>
      <c r="B733" s="5"/>
      <c r="C733" s="6"/>
      <c r="D733" s="3"/>
      <c r="E733" s="5"/>
      <c r="F733" s="20">
        <f>LEN(G733)</f>
        <v>0</v>
      </c>
      <c r="G733" s="5"/>
      <c r="H733" s="24"/>
      <c r="I733" s="5"/>
      <c r="J733" s="5"/>
      <c r="K733" s="5"/>
      <c r="L733" s="3" t="s">
        <v>155</v>
      </c>
      <c r="M733" s="5"/>
      <c r="N733" s="4"/>
      <c r="O733" s="5"/>
      <c r="P733" s="5"/>
      <c r="Q733" s="5"/>
      <c r="R733" s="5"/>
      <c r="S733" s="5"/>
      <c r="T733" s="24"/>
      <c r="U733" s="3" t="b">
        <v>0</v>
      </c>
      <c r="V733" s="5"/>
    </row>
    <row r="734" spans="1:22" ht="45" customHeight="1">
      <c r="A734" s="3" t="s">
        <v>148</v>
      </c>
      <c r="B734" s="5"/>
      <c r="C734" s="6"/>
      <c r="D734" s="3"/>
      <c r="E734" s="5"/>
      <c r="F734" s="20">
        <f>LEN(G734)</f>
        <v>0</v>
      </c>
      <c r="G734" s="5"/>
      <c r="H734" s="24"/>
      <c r="I734" s="5"/>
      <c r="J734" s="5"/>
      <c r="K734" s="5"/>
      <c r="L734" s="3" t="s">
        <v>155</v>
      </c>
      <c r="M734" s="5"/>
      <c r="N734" s="4"/>
      <c r="O734" s="5"/>
      <c r="P734" s="5"/>
      <c r="Q734" s="5"/>
      <c r="R734" s="5"/>
      <c r="S734" s="5"/>
      <c r="T734" s="24"/>
      <c r="U734" s="3" t="b">
        <v>0</v>
      </c>
      <c r="V734" s="5"/>
    </row>
    <row r="735" spans="1:22" ht="45" customHeight="1">
      <c r="A735" s="3" t="s">
        <v>148</v>
      </c>
      <c r="B735" s="5"/>
      <c r="C735" s="6"/>
      <c r="D735" s="3"/>
      <c r="E735" s="5"/>
      <c r="F735" s="20">
        <f>LEN(G735)</f>
        <v>0</v>
      </c>
      <c r="G735" s="5"/>
      <c r="H735" s="24"/>
      <c r="I735" s="5"/>
      <c r="J735" s="5"/>
      <c r="K735" s="5"/>
      <c r="L735" s="3" t="s">
        <v>155</v>
      </c>
      <c r="M735" s="5"/>
      <c r="N735" s="4"/>
      <c r="O735" s="5"/>
      <c r="P735" s="5"/>
      <c r="Q735" s="5"/>
      <c r="R735" s="5"/>
      <c r="S735" s="5"/>
      <c r="T735" s="24"/>
      <c r="U735" s="3" t="b">
        <v>0</v>
      </c>
      <c r="V735" s="5"/>
    </row>
    <row r="736" spans="1:22" ht="45" customHeight="1">
      <c r="A736" s="3" t="s">
        <v>148</v>
      </c>
      <c r="B736" s="5"/>
      <c r="C736" s="6"/>
      <c r="D736" s="3"/>
      <c r="E736" s="5"/>
      <c r="F736" s="20">
        <f>LEN(G736)</f>
        <v>0</v>
      </c>
      <c r="G736" s="5"/>
      <c r="H736" s="24"/>
      <c r="I736" s="5"/>
      <c r="J736" s="5"/>
      <c r="K736" s="5"/>
      <c r="L736" s="3" t="s">
        <v>155</v>
      </c>
      <c r="M736" s="5"/>
      <c r="N736" s="4"/>
      <c r="O736" s="5"/>
      <c r="P736" s="5"/>
      <c r="Q736" s="5"/>
      <c r="R736" s="5"/>
      <c r="S736" s="5"/>
      <c r="T736" s="24"/>
      <c r="U736" s="3" t="b">
        <v>0</v>
      </c>
      <c r="V736" s="5"/>
    </row>
    <row r="737" spans="1:22" ht="45" customHeight="1">
      <c r="A737" s="3" t="s">
        <v>148</v>
      </c>
      <c r="B737" s="5"/>
      <c r="C737" s="6"/>
      <c r="D737" s="3"/>
      <c r="E737" s="5"/>
      <c r="F737" s="20">
        <f>LEN(G737)</f>
        <v>0</v>
      </c>
      <c r="G737" s="5"/>
      <c r="H737" s="24"/>
      <c r="I737" s="5"/>
      <c r="J737" s="5"/>
      <c r="K737" s="5"/>
      <c r="L737" s="3" t="s">
        <v>155</v>
      </c>
      <c r="M737" s="5"/>
      <c r="N737" s="4"/>
      <c r="O737" s="5"/>
      <c r="P737" s="5"/>
      <c r="Q737" s="5"/>
      <c r="R737" s="5"/>
      <c r="S737" s="5"/>
      <c r="T737" s="24"/>
      <c r="U737" s="3" t="b">
        <v>0</v>
      </c>
      <c r="V737" s="5"/>
    </row>
    <row r="738" spans="1:22" ht="45" customHeight="1">
      <c r="A738" s="3" t="s">
        <v>148</v>
      </c>
      <c r="B738" s="5"/>
      <c r="C738" s="6"/>
      <c r="D738" s="3"/>
      <c r="E738" s="5"/>
      <c r="F738" s="20">
        <f>LEN(G738)</f>
        <v>0</v>
      </c>
      <c r="G738" s="5"/>
      <c r="H738" s="24"/>
      <c r="I738" s="5"/>
      <c r="J738" s="5"/>
      <c r="K738" s="5"/>
      <c r="L738" s="3" t="s">
        <v>155</v>
      </c>
      <c r="M738" s="5"/>
      <c r="N738" s="4"/>
      <c r="O738" s="5"/>
      <c r="P738" s="5"/>
      <c r="Q738" s="5"/>
      <c r="R738" s="5"/>
      <c r="S738" s="5"/>
      <c r="T738" s="24"/>
      <c r="U738" s="3" t="b">
        <v>0</v>
      </c>
      <c r="V738" s="5"/>
    </row>
    <row r="739" spans="1:22" ht="45" customHeight="1">
      <c r="A739" s="3" t="s">
        <v>148</v>
      </c>
      <c r="B739" s="5"/>
      <c r="C739" s="6"/>
      <c r="D739" s="3"/>
      <c r="E739" s="5"/>
      <c r="F739" s="20">
        <f>LEN(G739)</f>
        <v>0</v>
      </c>
      <c r="G739" s="5"/>
      <c r="H739" s="24"/>
      <c r="I739" s="5"/>
      <c r="J739" s="5"/>
      <c r="K739" s="5"/>
      <c r="L739" s="3" t="s">
        <v>155</v>
      </c>
      <c r="M739" s="5"/>
      <c r="N739" s="4"/>
      <c r="O739" s="5"/>
      <c r="P739" s="5"/>
      <c r="Q739" s="5"/>
      <c r="R739" s="5"/>
      <c r="S739" s="5"/>
      <c r="T739" s="24"/>
      <c r="U739" s="3" t="b">
        <v>0</v>
      </c>
      <c r="V739" s="5"/>
    </row>
    <row r="740" spans="1:22" ht="45" customHeight="1">
      <c r="A740" s="3" t="s">
        <v>148</v>
      </c>
      <c r="B740" s="5"/>
      <c r="C740" s="6"/>
      <c r="D740" s="3"/>
      <c r="E740" s="5"/>
      <c r="F740" s="20">
        <f>LEN(G740)</f>
        <v>0</v>
      </c>
      <c r="G740" s="5"/>
      <c r="H740" s="24"/>
      <c r="I740" s="5"/>
      <c r="J740" s="5"/>
      <c r="K740" s="5"/>
      <c r="L740" s="3" t="s">
        <v>155</v>
      </c>
      <c r="M740" s="5"/>
      <c r="N740" s="4"/>
      <c r="O740" s="5"/>
      <c r="P740" s="5"/>
      <c r="Q740" s="5"/>
      <c r="R740" s="5"/>
      <c r="S740" s="5"/>
      <c r="T740" s="24"/>
      <c r="U740" s="3" t="b">
        <v>0</v>
      </c>
      <c r="V740" s="5"/>
    </row>
    <row r="741" spans="1:22" ht="45" customHeight="1">
      <c r="A741" s="3" t="s">
        <v>148</v>
      </c>
      <c r="B741" s="5"/>
      <c r="C741" s="6"/>
      <c r="D741" s="3"/>
      <c r="E741" s="5"/>
      <c r="F741" s="20">
        <f>LEN(G741)</f>
        <v>0</v>
      </c>
      <c r="G741" s="5"/>
      <c r="H741" s="24"/>
      <c r="I741" s="5"/>
      <c r="J741" s="5"/>
      <c r="K741" s="5"/>
      <c r="L741" s="3" t="s">
        <v>155</v>
      </c>
      <c r="M741" s="5"/>
      <c r="N741" s="4"/>
      <c r="O741" s="5"/>
      <c r="P741" s="5"/>
      <c r="Q741" s="5"/>
      <c r="R741" s="5"/>
      <c r="S741" s="5"/>
      <c r="T741" s="24"/>
      <c r="U741" s="3" t="b">
        <v>0</v>
      </c>
      <c r="V741" s="5"/>
    </row>
    <row r="742" spans="1:22" ht="45" customHeight="1">
      <c r="A742" s="3" t="s">
        <v>148</v>
      </c>
      <c r="B742" s="5"/>
      <c r="C742" s="6"/>
      <c r="D742" s="3"/>
      <c r="E742" s="5"/>
      <c r="F742" s="20">
        <f>LEN(G742)</f>
        <v>0</v>
      </c>
      <c r="G742" s="5"/>
      <c r="H742" s="24"/>
      <c r="I742" s="5"/>
      <c r="J742" s="5"/>
      <c r="K742" s="5"/>
      <c r="L742" s="3" t="s">
        <v>155</v>
      </c>
      <c r="M742" s="5"/>
      <c r="N742" s="4"/>
      <c r="O742" s="5"/>
      <c r="P742" s="5"/>
      <c r="Q742" s="5"/>
      <c r="R742" s="5"/>
      <c r="S742" s="5"/>
      <c r="T742" s="24"/>
      <c r="U742" s="3" t="b">
        <v>0</v>
      </c>
      <c r="V742" s="5"/>
    </row>
    <row r="743" spans="1:22" ht="45" customHeight="1">
      <c r="A743" s="3" t="s">
        <v>148</v>
      </c>
      <c r="B743" s="5"/>
      <c r="C743" s="6"/>
      <c r="D743" s="3"/>
      <c r="E743" s="5"/>
      <c r="F743" s="20">
        <f>LEN(G743)</f>
        <v>0</v>
      </c>
      <c r="G743" s="5"/>
      <c r="H743" s="24"/>
      <c r="I743" s="5"/>
      <c r="J743" s="5"/>
      <c r="K743" s="5"/>
      <c r="L743" s="3" t="s">
        <v>155</v>
      </c>
      <c r="M743" s="5"/>
      <c r="N743" s="4"/>
      <c r="O743" s="5"/>
      <c r="P743" s="5"/>
      <c r="Q743" s="5"/>
      <c r="R743" s="5"/>
      <c r="S743" s="5"/>
      <c r="T743" s="24"/>
      <c r="U743" s="3" t="b">
        <v>0</v>
      </c>
      <c r="V743" s="5"/>
    </row>
    <row r="744" spans="1:22" ht="45" customHeight="1">
      <c r="A744" s="3" t="s">
        <v>148</v>
      </c>
      <c r="B744" s="5"/>
      <c r="C744" s="6"/>
      <c r="D744" s="3"/>
      <c r="E744" s="5"/>
      <c r="F744" s="20">
        <f>LEN(G744)</f>
        <v>0</v>
      </c>
      <c r="G744" s="5"/>
      <c r="H744" s="24"/>
      <c r="I744" s="5"/>
      <c r="J744" s="5"/>
      <c r="K744" s="5"/>
      <c r="L744" s="3" t="s">
        <v>155</v>
      </c>
      <c r="M744" s="5"/>
      <c r="N744" s="4"/>
      <c r="O744" s="5"/>
      <c r="P744" s="5"/>
      <c r="Q744" s="5"/>
      <c r="R744" s="5"/>
      <c r="S744" s="5"/>
      <c r="T744" s="24"/>
      <c r="U744" s="3" t="b">
        <v>0</v>
      </c>
      <c r="V744" s="5"/>
    </row>
    <row r="745" spans="1:22" ht="45" customHeight="1">
      <c r="A745" s="3" t="s">
        <v>148</v>
      </c>
      <c r="B745" s="5"/>
      <c r="C745" s="6"/>
      <c r="D745" s="3"/>
      <c r="E745" s="5"/>
      <c r="F745" s="20">
        <f>LEN(G745)</f>
        <v>0</v>
      </c>
      <c r="G745" s="5"/>
      <c r="H745" s="24"/>
      <c r="I745" s="5"/>
      <c r="J745" s="5"/>
      <c r="K745" s="5"/>
      <c r="L745" s="3" t="s">
        <v>155</v>
      </c>
      <c r="M745" s="5"/>
      <c r="N745" s="4"/>
      <c r="O745" s="5"/>
      <c r="P745" s="5"/>
      <c r="Q745" s="5"/>
      <c r="R745" s="5"/>
      <c r="S745" s="5"/>
      <c r="T745" s="24"/>
      <c r="U745" s="3" t="b">
        <v>0</v>
      </c>
      <c r="V745" s="5"/>
    </row>
    <row r="746" spans="1:22" ht="45" customHeight="1">
      <c r="A746" s="3" t="s">
        <v>148</v>
      </c>
      <c r="B746" s="5"/>
      <c r="C746" s="6"/>
      <c r="D746" s="3"/>
      <c r="E746" s="5"/>
      <c r="F746" s="20">
        <f>LEN(G746)</f>
        <v>0</v>
      </c>
      <c r="G746" s="5"/>
      <c r="H746" s="24"/>
      <c r="I746" s="5"/>
      <c r="J746" s="5"/>
      <c r="K746" s="5"/>
      <c r="L746" s="3" t="s">
        <v>155</v>
      </c>
      <c r="M746" s="5"/>
      <c r="N746" s="4"/>
      <c r="O746" s="5"/>
      <c r="P746" s="5"/>
      <c r="Q746" s="5"/>
      <c r="R746" s="5"/>
      <c r="S746" s="5"/>
      <c r="T746" s="24"/>
      <c r="U746" s="3" t="b">
        <v>0</v>
      </c>
      <c r="V746" s="5"/>
    </row>
    <row r="747" spans="1:22" ht="45" customHeight="1">
      <c r="A747" s="3" t="s">
        <v>148</v>
      </c>
      <c r="B747" s="5"/>
      <c r="C747" s="6"/>
      <c r="D747" s="3"/>
      <c r="E747" s="5"/>
      <c r="F747" s="20">
        <f>LEN(G747)</f>
        <v>0</v>
      </c>
      <c r="G747" s="5"/>
      <c r="H747" s="24"/>
      <c r="I747" s="5"/>
      <c r="J747" s="5"/>
      <c r="K747" s="5"/>
      <c r="L747" s="3" t="s">
        <v>155</v>
      </c>
      <c r="M747" s="5"/>
      <c r="N747" s="4"/>
      <c r="O747" s="5"/>
      <c r="P747" s="5"/>
      <c r="Q747" s="5"/>
      <c r="R747" s="5"/>
      <c r="S747" s="5"/>
      <c r="T747" s="24"/>
      <c r="U747" s="3" t="b">
        <v>0</v>
      </c>
      <c r="V747" s="5"/>
    </row>
    <row r="748" spans="1:22" ht="45" customHeight="1">
      <c r="A748" s="3" t="s">
        <v>148</v>
      </c>
      <c r="B748" s="5"/>
      <c r="C748" s="6"/>
      <c r="D748" s="3"/>
      <c r="E748" s="5"/>
      <c r="F748" s="20">
        <f>LEN(G748)</f>
        <v>0</v>
      </c>
      <c r="G748" s="5"/>
      <c r="H748" s="24"/>
      <c r="I748" s="5"/>
      <c r="J748" s="5"/>
      <c r="K748" s="5"/>
      <c r="L748" s="3" t="s">
        <v>155</v>
      </c>
      <c r="M748" s="5"/>
      <c r="N748" s="4"/>
      <c r="O748" s="5"/>
      <c r="P748" s="5"/>
      <c r="Q748" s="5"/>
      <c r="R748" s="5"/>
      <c r="S748" s="5"/>
      <c r="T748" s="24"/>
      <c r="U748" s="3" t="b">
        <v>0</v>
      </c>
      <c r="V748" s="5"/>
    </row>
    <row r="749" spans="1:22" ht="45" customHeight="1">
      <c r="A749" s="3" t="s">
        <v>148</v>
      </c>
      <c r="B749" s="5"/>
      <c r="C749" s="6"/>
      <c r="D749" s="3"/>
      <c r="E749" s="5"/>
      <c r="F749" s="20">
        <f>LEN(G749)</f>
        <v>0</v>
      </c>
      <c r="G749" s="5"/>
      <c r="H749" s="24"/>
      <c r="I749" s="5"/>
      <c r="J749" s="5"/>
      <c r="K749" s="5"/>
      <c r="L749" s="3" t="s">
        <v>155</v>
      </c>
      <c r="M749" s="5"/>
      <c r="N749" s="4"/>
      <c r="O749" s="5"/>
      <c r="P749" s="5"/>
      <c r="Q749" s="5"/>
      <c r="R749" s="5"/>
      <c r="S749" s="5"/>
      <c r="T749" s="24"/>
      <c r="U749" s="3" t="b">
        <v>0</v>
      </c>
      <c r="V749" s="5"/>
    </row>
    <row r="750" spans="1:22" ht="45" customHeight="1">
      <c r="A750" s="3" t="s">
        <v>148</v>
      </c>
      <c r="B750" s="5"/>
      <c r="C750" s="6"/>
      <c r="D750" s="3"/>
      <c r="E750" s="5"/>
      <c r="F750" s="20">
        <f>LEN(G750)</f>
        <v>0</v>
      </c>
      <c r="G750" s="5"/>
      <c r="H750" s="24"/>
      <c r="I750" s="5"/>
      <c r="J750" s="5"/>
      <c r="K750" s="5"/>
      <c r="L750" s="3" t="s">
        <v>155</v>
      </c>
      <c r="M750" s="5"/>
      <c r="N750" s="4"/>
      <c r="O750" s="5"/>
      <c r="P750" s="5"/>
      <c r="Q750" s="5"/>
      <c r="R750" s="5"/>
      <c r="S750" s="5"/>
      <c r="T750" s="24"/>
      <c r="U750" s="3" t="b">
        <v>0</v>
      </c>
      <c r="V750" s="5"/>
    </row>
    <row r="751" spans="1:22" ht="45" customHeight="1">
      <c r="A751" s="3" t="s">
        <v>148</v>
      </c>
      <c r="B751" s="5"/>
      <c r="C751" s="6"/>
      <c r="D751" s="3"/>
      <c r="E751" s="5"/>
      <c r="F751" s="20">
        <f>LEN(G751)</f>
        <v>0</v>
      </c>
      <c r="G751" s="5"/>
      <c r="H751" s="24"/>
      <c r="I751" s="5"/>
      <c r="J751" s="5"/>
      <c r="K751" s="5"/>
      <c r="L751" s="3" t="s">
        <v>155</v>
      </c>
      <c r="M751" s="5"/>
      <c r="N751" s="4"/>
      <c r="O751" s="5"/>
      <c r="P751" s="5"/>
      <c r="Q751" s="5"/>
      <c r="R751" s="5"/>
      <c r="S751" s="5"/>
      <c r="T751" s="24"/>
      <c r="U751" s="3" t="b">
        <v>0</v>
      </c>
      <c r="V751" s="5"/>
    </row>
    <row r="752" spans="1:22" ht="45" customHeight="1">
      <c r="A752" s="3" t="s">
        <v>148</v>
      </c>
      <c r="B752" s="5"/>
      <c r="C752" s="6"/>
      <c r="D752" s="3"/>
      <c r="E752" s="5"/>
      <c r="F752" s="20">
        <f>LEN(G752)</f>
        <v>0</v>
      </c>
      <c r="G752" s="5"/>
      <c r="H752" s="24"/>
      <c r="I752" s="5"/>
      <c r="J752" s="5"/>
      <c r="K752" s="5"/>
      <c r="L752" s="3" t="s">
        <v>155</v>
      </c>
      <c r="M752" s="5"/>
      <c r="N752" s="4"/>
      <c r="O752" s="5"/>
      <c r="P752" s="5"/>
      <c r="Q752" s="5"/>
      <c r="R752" s="5"/>
      <c r="S752" s="5"/>
      <c r="T752" s="24"/>
      <c r="U752" s="3" t="b">
        <v>0</v>
      </c>
      <c r="V752" s="5"/>
    </row>
    <row r="753" spans="1:22" ht="45" customHeight="1">
      <c r="A753" s="3" t="s">
        <v>148</v>
      </c>
      <c r="B753" s="5"/>
      <c r="C753" s="6"/>
      <c r="D753" s="3"/>
      <c r="E753" s="5"/>
      <c r="F753" s="20">
        <f>LEN(G753)</f>
        <v>0</v>
      </c>
      <c r="G753" s="5"/>
      <c r="H753" s="24"/>
      <c r="I753" s="5"/>
      <c r="J753" s="5"/>
      <c r="K753" s="5"/>
      <c r="L753" s="3" t="s">
        <v>155</v>
      </c>
      <c r="M753" s="5"/>
      <c r="N753" s="4"/>
      <c r="O753" s="5"/>
      <c r="P753" s="5"/>
      <c r="Q753" s="5"/>
      <c r="R753" s="5"/>
      <c r="S753" s="5"/>
      <c r="T753" s="24"/>
      <c r="U753" s="3" t="b">
        <v>0</v>
      </c>
      <c r="V753" s="5"/>
    </row>
    <row r="754" spans="1:22" ht="45" customHeight="1">
      <c r="A754" s="3" t="s">
        <v>148</v>
      </c>
      <c r="B754" s="5"/>
      <c r="C754" s="6"/>
      <c r="D754" s="3"/>
      <c r="E754" s="5"/>
      <c r="F754" s="20">
        <f>LEN(G754)</f>
        <v>0</v>
      </c>
      <c r="G754" s="5"/>
      <c r="H754" s="24"/>
      <c r="I754" s="5"/>
      <c r="J754" s="5"/>
      <c r="K754" s="5"/>
      <c r="L754" s="3" t="s">
        <v>155</v>
      </c>
      <c r="M754" s="5"/>
      <c r="N754" s="4"/>
      <c r="O754" s="5"/>
      <c r="P754" s="5"/>
      <c r="Q754" s="5"/>
      <c r="R754" s="5"/>
      <c r="S754" s="5"/>
      <c r="T754" s="24"/>
      <c r="U754" s="3" t="b">
        <v>0</v>
      </c>
      <c r="V754" s="5"/>
    </row>
    <row r="755" spans="1:22" ht="45" customHeight="1">
      <c r="A755" s="3" t="s">
        <v>148</v>
      </c>
      <c r="B755" s="5"/>
      <c r="C755" s="6"/>
      <c r="D755" s="3"/>
      <c r="E755" s="5"/>
      <c r="F755" s="20">
        <f>LEN(G755)</f>
        <v>0</v>
      </c>
      <c r="G755" s="5"/>
      <c r="H755" s="24"/>
      <c r="I755" s="5"/>
      <c r="J755" s="5"/>
      <c r="K755" s="5"/>
      <c r="L755" s="3" t="s">
        <v>155</v>
      </c>
      <c r="M755" s="5"/>
      <c r="N755" s="4"/>
      <c r="O755" s="5"/>
      <c r="P755" s="5"/>
      <c r="Q755" s="5"/>
      <c r="R755" s="5"/>
      <c r="S755" s="5"/>
      <c r="T755" s="24"/>
      <c r="U755" s="3" t="b">
        <v>0</v>
      </c>
      <c r="V755" s="5"/>
    </row>
    <row r="756" spans="1:22" ht="45" customHeight="1">
      <c r="A756" s="3" t="s">
        <v>148</v>
      </c>
      <c r="B756" s="5"/>
      <c r="C756" s="6"/>
      <c r="D756" s="3"/>
      <c r="E756" s="5"/>
      <c r="F756" s="20">
        <f>LEN(G756)</f>
        <v>0</v>
      </c>
      <c r="G756" s="5"/>
      <c r="H756" s="24"/>
      <c r="I756" s="5"/>
      <c r="J756" s="5"/>
      <c r="K756" s="5"/>
      <c r="L756" s="3" t="s">
        <v>155</v>
      </c>
      <c r="M756" s="5"/>
      <c r="N756" s="4"/>
      <c r="O756" s="5"/>
      <c r="P756" s="5"/>
      <c r="Q756" s="5"/>
      <c r="R756" s="5"/>
      <c r="S756" s="5"/>
      <c r="T756" s="24"/>
      <c r="U756" s="3" t="b">
        <v>0</v>
      </c>
      <c r="V756" s="5"/>
    </row>
    <row r="757" spans="1:22" ht="45" customHeight="1">
      <c r="A757" s="3" t="s">
        <v>148</v>
      </c>
      <c r="B757" s="5"/>
      <c r="C757" s="6"/>
      <c r="D757" s="3"/>
      <c r="E757" s="5"/>
      <c r="F757" s="20">
        <f>LEN(G757)</f>
        <v>0</v>
      </c>
      <c r="G757" s="5"/>
      <c r="H757" s="24"/>
      <c r="I757" s="5"/>
      <c r="J757" s="5"/>
      <c r="K757" s="5"/>
      <c r="L757" s="3" t="s">
        <v>155</v>
      </c>
      <c r="M757" s="5"/>
      <c r="N757" s="4"/>
      <c r="O757" s="5"/>
      <c r="P757" s="5"/>
      <c r="Q757" s="5"/>
      <c r="R757" s="5"/>
      <c r="S757" s="5"/>
      <c r="T757" s="24"/>
      <c r="U757" s="3" t="b">
        <v>0</v>
      </c>
      <c r="V757" s="5"/>
    </row>
    <row r="758" spans="1:22" ht="45" customHeight="1">
      <c r="A758" s="3" t="s">
        <v>148</v>
      </c>
      <c r="B758" s="5"/>
      <c r="C758" s="6"/>
      <c r="D758" s="3"/>
      <c r="E758" s="5"/>
      <c r="F758" s="20">
        <f>LEN(G758)</f>
        <v>0</v>
      </c>
      <c r="G758" s="5"/>
      <c r="H758" s="24"/>
      <c r="I758" s="5"/>
      <c r="J758" s="5"/>
      <c r="K758" s="5"/>
      <c r="L758" s="3" t="s">
        <v>155</v>
      </c>
      <c r="M758" s="5"/>
      <c r="N758" s="4"/>
      <c r="O758" s="5"/>
      <c r="P758" s="5"/>
      <c r="Q758" s="5"/>
      <c r="R758" s="5"/>
      <c r="S758" s="5"/>
      <c r="T758" s="24"/>
      <c r="U758" s="3" t="b">
        <v>0</v>
      </c>
      <c r="V758" s="5"/>
    </row>
    <row r="759" spans="1:22" ht="45" customHeight="1">
      <c r="A759" s="3" t="s">
        <v>148</v>
      </c>
      <c r="B759" s="5"/>
      <c r="C759" s="6"/>
      <c r="D759" s="3"/>
      <c r="E759" s="5"/>
      <c r="F759" s="20">
        <f>LEN(G759)</f>
        <v>0</v>
      </c>
      <c r="G759" s="5"/>
      <c r="H759" s="24"/>
      <c r="I759" s="5"/>
      <c r="J759" s="5"/>
      <c r="K759" s="5"/>
      <c r="L759" s="3" t="s">
        <v>155</v>
      </c>
      <c r="M759" s="5"/>
      <c r="N759" s="4"/>
      <c r="O759" s="5"/>
      <c r="P759" s="5"/>
      <c r="Q759" s="5"/>
      <c r="R759" s="5"/>
      <c r="S759" s="5"/>
      <c r="T759" s="24"/>
      <c r="U759" s="3" t="b">
        <v>0</v>
      </c>
      <c r="V759" s="5"/>
    </row>
    <row r="760" spans="1:22" ht="45" customHeight="1">
      <c r="A760" s="3" t="s">
        <v>148</v>
      </c>
      <c r="B760" s="5"/>
      <c r="C760" s="6"/>
      <c r="D760" s="3"/>
      <c r="E760" s="5"/>
      <c r="F760" s="20">
        <f>LEN(G760)</f>
        <v>0</v>
      </c>
      <c r="G760" s="5"/>
      <c r="H760" s="24"/>
      <c r="I760" s="5"/>
      <c r="J760" s="5"/>
      <c r="K760" s="5"/>
      <c r="L760" s="3" t="s">
        <v>155</v>
      </c>
      <c r="M760" s="5"/>
      <c r="N760" s="4"/>
      <c r="O760" s="5"/>
      <c r="P760" s="5"/>
      <c r="Q760" s="5"/>
      <c r="R760" s="5"/>
      <c r="S760" s="5"/>
      <c r="T760" s="24"/>
      <c r="U760" s="3" t="b">
        <v>0</v>
      </c>
      <c r="V760" s="5"/>
    </row>
    <row r="761" spans="1:22" ht="45" customHeight="1">
      <c r="A761" s="3" t="s">
        <v>148</v>
      </c>
      <c r="B761" s="5"/>
      <c r="C761" s="6"/>
      <c r="D761" s="3"/>
      <c r="E761" s="5"/>
      <c r="F761" s="20">
        <f>LEN(G761)</f>
        <v>0</v>
      </c>
      <c r="G761" s="5"/>
      <c r="H761" s="24"/>
      <c r="I761" s="5"/>
      <c r="J761" s="5"/>
      <c r="K761" s="5"/>
      <c r="L761" s="3" t="s">
        <v>155</v>
      </c>
      <c r="M761" s="5"/>
      <c r="N761" s="4"/>
      <c r="O761" s="5"/>
      <c r="P761" s="5"/>
      <c r="Q761" s="5"/>
      <c r="R761" s="5"/>
      <c r="S761" s="5"/>
      <c r="T761" s="24"/>
      <c r="U761" s="3" t="b">
        <v>0</v>
      </c>
      <c r="V761" s="5"/>
    </row>
    <row r="762" spans="1:22" ht="45" customHeight="1">
      <c r="A762" s="3" t="s">
        <v>148</v>
      </c>
      <c r="B762" s="5"/>
      <c r="C762" s="6"/>
      <c r="D762" s="3"/>
      <c r="E762" s="5"/>
      <c r="F762" s="20">
        <f>LEN(G762)</f>
        <v>0</v>
      </c>
      <c r="G762" s="5"/>
      <c r="H762" s="24"/>
      <c r="I762" s="5"/>
      <c r="J762" s="5"/>
      <c r="K762" s="5"/>
      <c r="L762" s="3" t="s">
        <v>155</v>
      </c>
      <c r="M762" s="5"/>
      <c r="N762" s="4"/>
      <c r="O762" s="5"/>
      <c r="P762" s="5"/>
      <c r="Q762" s="5"/>
      <c r="R762" s="5"/>
      <c r="S762" s="5"/>
      <c r="T762" s="24"/>
      <c r="U762" s="3" t="b">
        <v>0</v>
      </c>
      <c r="V762" s="5"/>
    </row>
    <row r="763" spans="1:22" ht="45" customHeight="1">
      <c r="A763" s="3" t="s">
        <v>148</v>
      </c>
      <c r="B763" s="5"/>
      <c r="C763" s="6"/>
      <c r="D763" s="3"/>
      <c r="E763" s="5"/>
      <c r="F763" s="20">
        <f>LEN(G763)</f>
        <v>0</v>
      </c>
      <c r="G763" s="5"/>
      <c r="H763" s="24"/>
      <c r="I763" s="5"/>
      <c r="J763" s="5"/>
      <c r="K763" s="5"/>
      <c r="L763" s="3" t="s">
        <v>155</v>
      </c>
      <c r="M763" s="5"/>
      <c r="N763" s="4"/>
      <c r="O763" s="5"/>
      <c r="P763" s="5"/>
      <c r="Q763" s="5"/>
      <c r="R763" s="5"/>
      <c r="S763" s="5"/>
      <c r="T763" s="24"/>
      <c r="U763" s="3" t="b">
        <v>0</v>
      </c>
      <c r="V763" s="5"/>
    </row>
    <row r="764" spans="1:22" ht="45" customHeight="1">
      <c r="A764" s="3" t="s">
        <v>148</v>
      </c>
      <c r="B764" s="5"/>
      <c r="C764" s="6"/>
      <c r="D764" s="3"/>
      <c r="E764" s="5"/>
      <c r="F764" s="20">
        <f>LEN(G764)</f>
        <v>0</v>
      </c>
      <c r="G764" s="5"/>
      <c r="H764" s="24"/>
      <c r="I764" s="5"/>
      <c r="J764" s="5"/>
      <c r="K764" s="5"/>
      <c r="L764" s="3" t="s">
        <v>155</v>
      </c>
      <c r="M764" s="5"/>
      <c r="N764" s="4"/>
      <c r="O764" s="5"/>
      <c r="P764" s="5"/>
      <c r="Q764" s="5"/>
      <c r="R764" s="5"/>
      <c r="S764" s="5"/>
      <c r="T764" s="24"/>
      <c r="U764" s="3" t="b">
        <v>0</v>
      </c>
      <c r="V764" s="5"/>
    </row>
    <row r="765" spans="1:22" ht="45" customHeight="1">
      <c r="A765" s="3" t="s">
        <v>148</v>
      </c>
      <c r="B765" s="5"/>
      <c r="C765" s="6"/>
      <c r="D765" s="3"/>
      <c r="E765" s="5"/>
      <c r="F765" s="20">
        <f>LEN(G765)</f>
        <v>0</v>
      </c>
      <c r="G765" s="5"/>
      <c r="H765" s="24"/>
      <c r="I765" s="5"/>
      <c r="J765" s="5"/>
      <c r="K765" s="5"/>
      <c r="L765" s="3" t="s">
        <v>155</v>
      </c>
      <c r="M765" s="5"/>
      <c r="N765" s="4"/>
      <c r="O765" s="5"/>
      <c r="P765" s="5"/>
      <c r="Q765" s="5"/>
      <c r="R765" s="5"/>
      <c r="S765" s="5"/>
      <c r="T765" s="24"/>
      <c r="U765" s="3" t="b">
        <v>0</v>
      </c>
      <c r="V765" s="5"/>
    </row>
    <row r="766" spans="1:22" ht="45" customHeight="1">
      <c r="A766" s="3" t="s">
        <v>148</v>
      </c>
      <c r="B766" s="5"/>
      <c r="C766" s="6"/>
      <c r="D766" s="3"/>
      <c r="E766" s="5"/>
      <c r="F766" s="20">
        <f>LEN(G766)</f>
        <v>0</v>
      </c>
      <c r="G766" s="5"/>
      <c r="H766" s="24"/>
      <c r="I766" s="5"/>
      <c r="J766" s="5"/>
      <c r="K766" s="5"/>
      <c r="L766" s="3" t="s">
        <v>155</v>
      </c>
      <c r="M766" s="5"/>
      <c r="N766" s="4"/>
      <c r="O766" s="5"/>
      <c r="P766" s="5"/>
      <c r="Q766" s="5"/>
      <c r="R766" s="5"/>
      <c r="S766" s="5"/>
      <c r="T766" s="24"/>
      <c r="U766" s="3" t="b">
        <v>0</v>
      </c>
      <c r="V766" s="5"/>
    </row>
    <row r="767" spans="1:22" ht="45" customHeight="1">
      <c r="A767" s="3" t="s">
        <v>148</v>
      </c>
      <c r="B767" s="5"/>
      <c r="C767" s="6"/>
      <c r="D767" s="3"/>
      <c r="E767" s="5"/>
      <c r="F767" s="20">
        <f>LEN(G767)</f>
        <v>0</v>
      </c>
      <c r="G767" s="5"/>
      <c r="H767" s="24"/>
      <c r="I767" s="5"/>
      <c r="J767" s="5"/>
      <c r="K767" s="5"/>
      <c r="L767" s="3" t="s">
        <v>155</v>
      </c>
      <c r="M767" s="5"/>
      <c r="N767" s="4"/>
      <c r="O767" s="5"/>
      <c r="P767" s="5"/>
      <c r="Q767" s="5"/>
      <c r="R767" s="5"/>
      <c r="S767" s="5"/>
      <c r="T767" s="24"/>
      <c r="U767" s="3" t="b">
        <v>0</v>
      </c>
      <c r="V767" s="5"/>
    </row>
    <row r="768" spans="1:22" ht="45" customHeight="1">
      <c r="A768" s="3" t="s">
        <v>148</v>
      </c>
      <c r="B768" s="5"/>
      <c r="C768" s="6"/>
      <c r="D768" s="3"/>
      <c r="E768" s="5"/>
      <c r="F768" s="20">
        <f>LEN(G768)</f>
        <v>0</v>
      </c>
      <c r="G768" s="5"/>
      <c r="H768" s="24"/>
      <c r="I768" s="5"/>
      <c r="J768" s="5"/>
      <c r="K768" s="5"/>
      <c r="L768" s="3" t="s">
        <v>155</v>
      </c>
      <c r="M768" s="5"/>
      <c r="N768" s="4"/>
      <c r="O768" s="5"/>
      <c r="P768" s="5"/>
      <c r="Q768" s="5"/>
      <c r="R768" s="5"/>
      <c r="S768" s="5"/>
      <c r="T768" s="24"/>
      <c r="U768" s="3" t="b">
        <v>0</v>
      </c>
      <c r="V768" s="5"/>
    </row>
    <row r="769" spans="1:22" ht="45" customHeight="1">
      <c r="A769" s="3" t="s">
        <v>148</v>
      </c>
      <c r="B769" s="5"/>
      <c r="C769" s="6"/>
      <c r="D769" s="3"/>
      <c r="E769" s="5"/>
      <c r="F769" s="20">
        <f>LEN(G769)</f>
        <v>0</v>
      </c>
      <c r="G769" s="5"/>
      <c r="H769" s="24"/>
      <c r="I769" s="5"/>
      <c r="J769" s="5"/>
      <c r="K769" s="5"/>
      <c r="L769" s="3" t="s">
        <v>155</v>
      </c>
      <c r="M769" s="5"/>
      <c r="N769" s="4"/>
      <c r="O769" s="5"/>
      <c r="P769" s="5"/>
      <c r="Q769" s="5"/>
      <c r="R769" s="5"/>
      <c r="S769" s="5"/>
      <c r="T769" s="24"/>
      <c r="U769" s="3" t="b">
        <v>0</v>
      </c>
      <c r="V769" s="5"/>
    </row>
    <row r="770" spans="1:22" ht="45" customHeight="1">
      <c r="A770" s="3" t="s">
        <v>148</v>
      </c>
      <c r="B770" s="5"/>
      <c r="C770" s="6"/>
      <c r="D770" s="3"/>
      <c r="E770" s="5"/>
      <c r="F770" s="20">
        <f>LEN(G770)</f>
        <v>0</v>
      </c>
      <c r="G770" s="5"/>
      <c r="H770" s="24"/>
      <c r="I770" s="5"/>
      <c r="J770" s="5"/>
      <c r="K770" s="5"/>
      <c r="L770" s="3" t="s">
        <v>155</v>
      </c>
      <c r="M770" s="5"/>
      <c r="N770" s="4"/>
      <c r="O770" s="5"/>
      <c r="P770" s="5"/>
      <c r="Q770" s="5"/>
      <c r="R770" s="5"/>
      <c r="S770" s="5"/>
      <c r="T770" s="24"/>
      <c r="U770" s="3" t="b">
        <v>0</v>
      </c>
      <c r="V770" s="5"/>
    </row>
    <row r="771" spans="1:22" ht="45" customHeight="1">
      <c r="A771" s="3" t="s">
        <v>148</v>
      </c>
      <c r="B771" s="5"/>
      <c r="C771" s="6"/>
      <c r="D771" s="3"/>
      <c r="E771" s="5"/>
      <c r="F771" s="20">
        <f>LEN(G771)</f>
        <v>0</v>
      </c>
      <c r="G771" s="5"/>
      <c r="H771" s="24"/>
      <c r="I771" s="5"/>
      <c r="J771" s="5"/>
      <c r="K771" s="5"/>
      <c r="L771" s="3" t="s">
        <v>155</v>
      </c>
      <c r="M771" s="5"/>
      <c r="N771" s="4"/>
      <c r="O771" s="5"/>
      <c r="P771" s="5"/>
      <c r="Q771" s="5"/>
      <c r="R771" s="5"/>
      <c r="S771" s="5"/>
      <c r="T771" s="24"/>
      <c r="U771" s="3" t="b">
        <v>0</v>
      </c>
      <c r="V771" s="5"/>
    </row>
    <row r="772" spans="1:22" ht="45" customHeight="1">
      <c r="A772" s="3" t="s">
        <v>148</v>
      </c>
      <c r="B772" s="5"/>
      <c r="C772" s="6"/>
      <c r="D772" s="3"/>
      <c r="E772" s="5"/>
      <c r="F772" s="20">
        <f>LEN(G772)</f>
        <v>0</v>
      </c>
      <c r="G772" s="5"/>
      <c r="H772" s="24"/>
      <c r="I772" s="5"/>
      <c r="J772" s="5"/>
      <c r="K772" s="5"/>
      <c r="L772" s="3" t="s">
        <v>155</v>
      </c>
      <c r="M772" s="5"/>
      <c r="N772" s="4"/>
      <c r="O772" s="5"/>
      <c r="P772" s="5"/>
      <c r="Q772" s="5"/>
      <c r="R772" s="5"/>
      <c r="S772" s="5"/>
      <c r="T772" s="24"/>
      <c r="U772" s="3" t="b">
        <v>0</v>
      </c>
      <c r="V772" s="5"/>
    </row>
    <row r="773" spans="1:22" ht="45" customHeight="1">
      <c r="A773" s="3" t="s">
        <v>148</v>
      </c>
      <c r="B773" s="5"/>
      <c r="C773" s="6"/>
      <c r="D773" s="3"/>
      <c r="E773" s="5"/>
      <c r="F773" s="20">
        <f>LEN(G773)</f>
        <v>0</v>
      </c>
      <c r="G773" s="5"/>
      <c r="H773" s="24"/>
      <c r="I773" s="5"/>
      <c r="J773" s="5"/>
      <c r="K773" s="5"/>
      <c r="L773" s="3" t="s">
        <v>155</v>
      </c>
      <c r="M773" s="5"/>
      <c r="N773" s="4"/>
      <c r="O773" s="5"/>
      <c r="P773" s="5"/>
      <c r="Q773" s="5"/>
      <c r="R773" s="5"/>
      <c r="S773" s="5"/>
      <c r="T773" s="24"/>
      <c r="U773" s="3" t="b">
        <v>0</v>
      </c>
      <c r="V773" s="5"/>
    </row>
    <row r="774" spans="1:22" ht="45" customHeight="1">
      <c r="A774" s="3" t="s">
        <v>148</v>
      </c>
      <c r="B774" s="5"/>
      <c r="C774" s="6"/>
      <c r="D774" s="3"/>
      <c r="E774" s="5"/>
      <c r="F774" s="20">
        <f>LEN(G774)</f>
        <v>0</v>
      </c>
      <c r="G774" s="5"/>
      <c r="H774" s="24"/>
      <c r="I774" s="5"/>
      <c r="J774" s="5"/>
      <c r="K774" s="5"/>
      <c r="L774" s="3" t="s">
        <v>155</v>
      </c>
      <c r="M774" s="5"/>
      <c r="N774" s="4"/>
      <c r="O774" s="5"/>
      <c r="P774" s="5"/>
      <c r="Q774" s="5"/>
      <c r="R774" s="5"/>
      <c r="S774" s="5"/>
      <c r="T774" s="24"/>
      <c r="U774" s="3" t="b">
        <v>0</v>
      </c>
      <c r="V774" s="5"/>
    </row>
    <row r="775" spans="1:22" ht="45" customHeight="1">
      <c r="A775" s="3" t="s">
        <v>148</v>
      </c>
      <c r="B775" s="5"/>
      <c r="C775" s="6"/>
      <c r="D775" s="3"/>
      <c r="E775" s="5"/>
      <c r="F775" s="20">
        <f>LEN(G775)</f>
        <v>0</v>
      </c>
      <c r="G775" s="5"/>
      <c r="H775" s="24"/>
      <c r="I775" s="5"/>
      <c r="J775" s="5"/>
      <c r="K775" s="5"/>
      <c r="L775" s="3" t="s">
        <v>155</v>
      </c>
      <c r="M775" s="5"/>
      <c r="N775" s="4"/>
      <c r="O775" s="5"/>
      <c r="P775" s="5"/>
      <c r="Q775" s="5"/>
      <c r="R775" s="5"/>
      <c r="S775" s="5"/>
      <c r="T775" s="24"/>
      <c r="U775" s="3" t="b">
        <v>0</v>
      </c>
      <c r="V775" s="5"/>
    </row>
    <row r="776" spans="1:22" ht="45" customHeight="1">
      <c r="A776" s="3" t="s">
        <v>148</v>
      </c>
      <c r="B776" s="5"/>
      <c r="C776" s="6"/>
      <c r="D776" s="3"/>
      <c r="E776" s="5"/>
      <c r="F776" s="20">
        <f>LEN(G776)</f>
        <v>0</v>
      </c>
      <c r="G776" s="5"/>
      <c r="H776" s="24"/>
      <c r="I776" s="5"/>
      <c r="J776" s="5"/>
      <c r="K776" s="5"/>
      <c r="L776" s="3" t="s">
        <v>155</v>
      </c>
      <c r="M776" s="5"/>
      <c r="N776" s="4"/>
      <c r="O776" s="5"/>
      <c r="P776" s="5"/>
      <c r="Q776" s="5"/>
      <c r="R776" s="5"/>
      <c r="S776" s="5"/>
      <c r="T776" s="24"/>
      <c r="U776" s="3" t="b">
        <v>0</v>
      </c>
      <c r="V776" s="5"/>
    </row>
    <row r="777" spans="1:22" ht="45" customHeight="1">
      <c r="A777" s="3" t="s">
        <v>148</v>
      </c>
      <c r="B777" s="5"/>
      <c r="C777" s="6"/>
      <c r="D777" s="3"/>
      <c r="E777" s="5"/>
      <c r="F777" s="20">
        <f>LEN(G777)</f>
        <v>0</v>
      </c>
      <c r="G777" s="5"/>
      <c r="H777" s="24"/>
      <c r="I777" s="5"/>
      <c r="J777" s="5"/>
      <c r="K777" s="5"/>
      <c r="L777" s="3" t="s">
        <v>155</v>
      </c>
      <c r="M777" s="5"/>
      <c r="N777" s="4"/>
      <c r="O777" s="5"/>
      <c r="P777" s="5"/>
      <c r="Q777" s="5"/>
      <c r="R777" s="5"/>
      <c r="S777" s="5"/>
      <c r="T777" s="24"/>
      <c r="U777" s="3" t="b">
        <v>0</v>
      </c>
      <c r="V777" s="5"/>
    </row>
    <row r="778" spans="1:22" ht="45" customHeight="1">
      <c r="A778" s="3" t="s">
        <v>148</v>
      </c>
      <c r="B778" s="5"/>
      <c r="C778" s="6"/>
      <c r="D778" s="3"/>
      <c r="E778" s="5"/>
      <c r="F778" s="20">
        <f>LEN(G778)</f>
        <v>0</v>
      </c>
      <c r="G778" s="5"/>
      <c r="H778" s="24"/>
      <c r="I778" s="5"/>
      <c r="J778" s="5"/>
      <c r="K778" s="5"/>
      <c r="L778" s="3" t="s">
        <v>155</v>
      </c>
      <c r="M778" s="5"/>
      <c r="N778" s="4"/>
      <c r="O778" s="5"/>
      <c r="P778" s="5"/>
      <c r="Q778" s="5"/>
      <c r="R778" s="5"/>
      <c r="S778" s="5"/>
      <c r="T778" s="24"/>
      <c r="U778" s="3" t="b">
        <v>0</v>
      </c>
      <c r="V778" s="5"/>
    </row>
    <row r="779" spans="1:22" ht="45" customHeight="1">
      <c r="A779" s="3" t="s">
        <v>148</v>
      </c>
      <c r="B779" s="5"/>
      <c r="C779" s="6"/>
      <c r="D779" s="3"/>
      <c r="E779" s="5"/>
      <c r="F779" s="20">
        <f>LEN(G779)</f>
        <v>0</v>
      </c>
      <c r="G779" s="5"/>
      <c r="H779" s="24"/>
      <c r="I779" s="5"/>
      <c r="J779" s="5"/>
      <c r="K779" s="5"/>
      <c r="L779" s="3" t="s">
        <v>155</v>
      </c>
      <c r="M779" s="5"/>
      <c r="N779" s="4"/>
      <c r="O779" s="5"/>
      <c r="P779" s="5"/>
      <c r="Q779" s="5"/>
      <c r="R779" s="5"/>
      <c r="S779" s="5"/>
      <c r="T779" s="24"/>
      <c r="U779" s="3" t="b">
        <v>0</v>
      </c>
      <c r="V779" s="5"/>
    </row>
    <row r="780" spans="1:22" ht="45" customHeight="1">
      <c r="A780" s="3" t="s">
        <v>148</v>
      </c>
      <c r="B780" s="5"/>
      <c r="C780" s="6"/>
      <c r="D780" s="3"/>
      <c r="E780" s="5"/>
      <c r="F780" s="20">
        <f>LEN(G780)</f>
        <v>0</v>
      </c>
      <c r="G780" s="5"/>
      <c r="H780" s="24"/>
      <c r="I780" s="5"/>
      <c r="J780" s="5"/>
      <c r="K780" s="5"/>
      <c r="L780" s="3" t="s">
        <v>155</v>
      </c>
      <c r="M780" s="5"/>
      <c r="N780" s="4"/>
      <c r="O780" s="5"/>
      <c r="P780" s="5"/>
      <c r="Q780" s="5"/>
      <c r="R780" s="5"/>
      <c r="S780" s="5"/>
      <c r="T780" s="24"/>
      <c r="U780" s="3" t="b">
        <v>0</v>
      </c>
      <c r="V780" s="5"/>
    </row>
    <row r="781" spans="1:22" ht="45" customHeight="1">
      <c r="A781" s="3" t="s">
        <v>148</v>
      </c>
      <c r="B781" s="5"/>
      <c r="C781" s="6"/>
      <c r="D781" s="3"/>
      <c r="E781" s="5"/>
      <c r="F781" s="20">
        <f>LEN(G781)</f>
        <v>0</v>
      </c>
      <c r="G781" s="5"/>
      <c r="H781" s="24"/>
      <c r="I781" s="5"/>
      <c r="J781" s="5"/>
      <c r="K781" s="5"/>
      <c r="L781" s="3" t="s">
        <v>155</v>
      </c>
      <c r="M781" s="5"/>
      <c r="N781" s="4"/>
      <c r="O781" s="5"/>
      <c r="P781" s="5"/>
      <c r="Q781" s="5"/>
      <c r="R781" s="5"/>
      <c r="S781" s="5"/>
      <c r="T781" s="24"/>
      <c r="U781" s="3" t="b">
        <v>0</v>
      </c>
      <c r="V781" s="5"/>
    </row>
    <row r="782" spans="1:22" ht="45" customHeight="1">
      <c r="A782" s="3" t="s">
        <v>148</v>
      </c>
      <c r="B782" s="5"/>
      <c r="C782" s="6"/>
      <c r="D782" s="3"/>
      <c r="E782" s="5"/>
      <c r="F782" s="20">
        <f>LEN(G782)</f>
        <v>0</v>
      </c>
      <c r="G782" s="5"/>
      <c r="H782" s="24"/>
      <c r="I782" s="5"/>
      <c r="J782" s="5"/>
      <c r="K782" s="5"/>
      <c r="L782" s="3" t="s">
        <v>155</v>
      </c>
      <c r="M782" s="5"/>
      <c r="N782" s="4"/>
      <c r="O782" s="5"/>
      <c r="P782" s="5"/>
      <c r="Q782" s="5"/>
      <c r="R782" s="5"/>
      <c r="S782" s="5"/>
      <c r="T782" s="24"/>
      <c r="U782" s="3" t="b">
        <v>0</v>
      </c>
      <c r="V782" s="5"/>
    </row>
    <row r="783" spans="1:22" ht="45" customHeight="1">
      <c r="A783" s="3" t="s">
        <v>148</v>
      </c>
      <c r="B783" s="5"/>
      <c r="C783" s="6"/>
      <c r="D783" s="3"/>
      <c r="E783" s="5"/>
      <c r="F783" s="20">
        <f>LEN(G783)</f>
        <v>0</v>
      </c>
      <c r="G783" s="5"/>
      <c r="H783" s="24"/>
      <c r="I783" s="5"/>
      <c r="J783" s="5"/>
      <c r="K783" s="5"/>
      <c r="L783" s="3" t="s">
        <v>155</v>
      </c>
      <c r="M783" s="5"/>
      <c r="N783" s="4"/>
      <c r="O783" s="5"/>
      <c r="P783" s="5"/>
      <c r="Q783" s="5"/>
      <c r="R783" s="5"/>
      <c r="S783" s="5"/>
      <c r="T783" s="24"/>
      <c r="U783" s="3" t="b">
        <v>0</v>
      </c>
      <c r="V783" s="5"/>
    </row>
    <row r="784" spans="1:22" ht="45" customHeight="1">
      <c r="A784" s="3" t="s">
        <v>148</v>
      </c>
      <c r="B784" s="5"/>
      <c r="C784" s="6"/>
      <c r="D784" s="3"/>
      <c r="E784" s="5"/>
      <c r="F784" s="20">
        <f>LEN(G784)</f>
        <v>0</v>
      </c>
      <c r="G784" s="5"/>
      <c r="H784" s="24"/>
      <c r="I784" s="5"/>
      <c r="J784" s="5"/>
      <c r="K784" s="5"/>
      <c r="L784" s="3" t="s">
        <v>155</v>
      </c>
      <c r="M784" s="5"/>
      <c r="N784" s="4"/>
      <c r="O784" s="5"/>
      <c r="P784" s="5"/>
      <c r="Q784" s="5"/>
      <c r="R784" s="5"/>
      <c r="S784" s="5"/>
      <c r="T784" s="24"/>
      <c r="U784" s="3" t="b">
        <v>0</v>
      </c>
      <c r="V784" s="5"/>
    </row>
    <row r="785" spans="1:22" ht="45" customHeight="1">
      <c r="A785" s="3" t="s">
        <v>148</v>
      </c>
      <c r="B785" s="5"/>
      <c r="C785" s="6"/>
      <c r="D785" s="3"/>
      <c r="E785" s="5"/>
      <c r="F785" s="20">
        <f>LEN(G785)</f>
        <v>0</v>
      </c>
      <c r="G785" s="5"/>
      <c r="H785" s="24"/>
      <c r="I785" s="5"/>
      <c r="J785" s="5"/>
      <c r="K785" s="5"/>
      <c r="L785" s="3" t="s">
        <v>155</v>
      </c>
      <c r="M785" s="5"/>
      <c r="N785" s="4"/>
      <c r="O785" s="5"/>
      <c r="P785" s="5"/>
      <c r="Q785" s="5"/>
      <c r="R785" s="5"/>
      <c r="S785" s="5"/>
      <c r="T785" s="24"/>
      <c r="U785" s="3" t="b">
        <v>0</v>
      </c>
      <c r="V785" s="5"/>
    </row>
    <row r="786" spans="1:22" ht="45" customHeight="1">
      <c r="A786" s="3" t="s">
        <v>148</v>
      </c>
      <c r="B786" s="5"/>
      <c r="C786" s="6"/>
      <c r="D786" s="3"/>
      <c r="E786" s="5"/>
      <c r="F786" s="20">
        <f>LEN(G786)</f>
        <v>0</v>
      </c>
      <c r="G786" s="5"/>
      <c r="H786" s="24"/>
      <c r="I786" s="5"/>
      <c r="J786" s="5"/>
      <c r="K786" s="5"/>
      <c r="L786" s="3" t="s">
        <v>155</v>
      </c>
      <c r="M786" s="5"/>
      <c r="N786" s="4"/>
      <c r="O786" s="5"/>
      <c r="P786" s="5"/>
      <c r="Q786" s="5"/>
      <c r="R786" s="5"/>
      <c r="S786" s="5"/>
      <c r="T786" s="24"/>
      <c r="U786" s="3" t="b">
        <v>0</v>
      </c>
      <c r="V786" s="5"/>
    </row>
    <row r="787" spans="1:22" ht="45" customHeight="1">
      <c r="A787" s="3" t="s">
        <v>148</v>
      </c>
      <c r="B787" s="5"/>
      <c r="C787" s="6"/>
      <c r="D787" s="3"/>
      <c r="E787" s="5"/>
      <c r="F787" s="20">
        <f>LEN(G787)</f>
        <v>0</v>
      </c>
      <c r="G787" s="5"/>
      <c r="H787" s="24"/>
      <c r="I787" s="5"/>
      <c r="J787" s="5"/>
      <c r="K787" s="5"/>
      <c r="L787" s="3" t="s">
        <v>155</v>
      </c>
      <c r="M787" s="5"/>
      <c r="N787" s="4"/>
      <c r="O787" s="5"/>
      <c r="P787" s="5"/>
      <c r="Q787" s="5"/>
      <c r="R787" s="5"/>
      <c r="S787" s="5"/>
      <c r="T787" s="24"/>
      <c r="U787" s="3" t="b">
        <v>0</v>
      </c>
      <c r="V787" s="5"/>
    </row>
    <row r="788" spans="1:22" ht="45" customHeight="1">
      <c r="A788" s="3" t="s">
        <v>148</v>
      </c>
      <c r="B788" s="5"/>
      <c r="C788" s="6"/>
      <c r="D788" s="3"/>
      <c r="E788" s="5"/>
      <c r="F788" s="20">
        <f>LEN(G788)</f>
        <v>0</v>
      </c>
      <c r="G788" s="5"/>
      <c r="H788" s="24"/>
      <c r="I788" s="5"/>
      <c r="J788" s="5"/>
      <c r="K788" s="5"/>
      <c r="L788" s="3" t="s">
        <v>155</v>
      </c>
      <c r="M788" s="5"/>
      <c r="N788" s="4"/>
      <c r="O788" s="5"/>
      <c r="P788" s="5"/>
      <c r="Q788" s="5"/>
      <c r="R788" s="5"/>
      <c r="S788" s="5"/>
      <c r="T788" s="24"/>
      <c r="U788" s="3" t="b">
        <v>0</v>
      </c>
      <c r="V788" s="5"/>
    </row>
    <row r="789" spans="1:22" ht="45" customHeight="1">
      <c r="A789" s="3" t="s">
        <v>148</v>
      </c>
      <c r="B789" s="5"/>
      <c r="C789" s="6"/>
      <c r="D789" s="3"/>
      <c r="E789" s="5"/>
      <c r="F789" s="20">
        <f>LEN(G789)</f>
        <v>0</v>
      </c>
      <c r="G789" s="5"/>
      <c r="H789" s="24"/>
      <c r="I789" s="5"/>
      <c r="J789" s="5"/>
      <c r="K789" s="5"/>
      <c r="L789" s="3" t="s">
        <v>155</v>
      </c>
      <c r="M789" s="5"/>
      <c r="N789" s="4"/>
      <c r="O789" s="5"/>
      <c r="P789" s="5"/>
      <c r="Q789" s="5"/>
      <c r="R789" s="5"/>
      <c r="S789" s="5"/>
      <c r="T789" s="24"/>
      <c r="U789" s="3" t="b">
        <v>0</v>
      </c>
      <c r="V789" s="5"/>
    </row>
    <row r="790" spans="1:22" ht="45" customHeight="1">
      <c r="A790" s="3" t="s">
        <v>148</v>
      </c>
      <c r="B790" s="5"/>
      <c r="C790" s="6"/>
      <c r="D790" s="3"/>
      <c r="E790" s="5"/>
      <c r="F790" s="20">
        <f>LEN(G790)</f>
        <v>0</v>
      </c>
      <c r="G790" s="5"/>
      <c r="H790" s="24"/>
      <c r="I790" s="5"/>
      <c r="J790" s="5"/>
      <c r="K790" s="5"/>
      <c r="L790" s="3" t="s">
        <v>155</v>
      </c>
      <c r="M790" s="5"/>
      <c r="N790" s="4"/>
      <c r="O790" s="5"/>
      <c r="P790" s="5"/>
      <c r="Q790" s="5"/>
      <c r="R790" s="5"/>
      <c r="S790" s="5"/>
      <c r="T790" s="24"/>
      <c r="U790" s="3" t="b">
        <v>0</v>
      </c>
      <c r="V790" s="5"/>
    </row>
    <row r="791" spans="1:22" ht="45" customHeight="1">
      <c r="A791" s="3" t="s">
        <v>148</v>
      </c>
      <c r="B791" s="5"/>
      <c r="C791" s="6"/>
      <c r="D791" s="3"/>
      <c r="E791" s="5"/>
      <c r="F791" s="20">
        <f>LEN(G791)</f>
        <v>0</v>
      </c>
      <c r="G791" s="5"/>
      <c r="H791" s="24"/>
      <c r="I791" s="5"/>
      <c r="J791" s="5"/>
      <c r="K791" s="5"/>
      <c r="L791" s="3" t="s">
        <v>155</v>
      </c>
      <c r="M791" s="5"/>
      <c r="N791" s="4"/>
      <c r="O791" s="5"/>
      <c r="P791" s="5"/>
      <c r="Q791" s="5"/>
      <c r="R791" s="5"/>
      <c r="S791" s="5"/>
      <c r="T791" s="24"/>
      <c r="U791" s="3" t="b">
        <v>0</v>
      </c>
      <c r="V791" s="5"/>
    </row>
    <row r="792" spans="1:22" ht="45" customHeight="1">
      <c r="A792" s="3" t="s">
        <v>148</v>
      </c>
      <c r="B792" s="5"/>
      <c r="C792" s="6"/>
      <c r="D792" s="3"/>
      <c r="E792" s="5"/>
      <c r="F792" s="20">
        <f>LEN(G792)</f>
        <v>0</v>
      </c>
      <c r="G792" s="5"/>
      <c r="H792" s="24"/>
      <c r="I792" s="5"/>
      <c r="J792" s="5"/>
      <c r="K792" s="5"/>
      <c r="L792" s="3" t="s">
        <v>155</v>
      </c>
      <c r="M792" s="5"/>
      <c r="N792" s="4"/>
      <c r="O792" s="5"/>
      <c r="P792" s="5"/>
      <c r="Q792" s="5"/>
      <c r="R792" s="5"/>
      <c r="S792" s="5"/>
      <c r="T792" s="24"/>
      <c r="U792" s="3" t="b">
        <v>0</v>
      </c>
      <c r="V792" s="5"/>
    </row>
    <row r="793" spans="1:22" ht="45" customHeight="1">
      <c r="A793" s="3" t="s">
        <v>148</v>
      </c>
      <c r="B793" s="5"/>
      <c r="C793" s="6"/>
      <c r="D793" s="3"/>
      <c r="E793" s="5"/>
      <c r="F793" s="20">
        <f>LEN(G793)</f>
        <v>0</v>
      </c>
      <c r="G793" s="5"/>
      <c r="H793" s="24"/>
      <c r="I793" s="5"/>
      <c r="J793" s="5"/>
      <c r="K793" s="5"/>
      <c r="L793" s="3" t="s">
        <v>155</v>
      </c>
      <c r="M793" s="5"/>
      <c r="N793" s="4"/>
      <c r="O793" s="5"/>
      <c r="P793" s="5"/>
      <c r="Q793" s="5"/>
      <c r="R793" s="5"/>
      <c r="S793" s="5"/>
      <c r="T793" s="24"/>
      <c r="U793" s="3" t="b">
        <v>0</v>
      </c>
      <c r="V793" s="5"/>
    </row>
    <row r="794" spans="1:22" ht="45" customHeight="1">
      <c r="A794" s="3" t="s">
        <v>148</v>
      </c>
      <c r="B794" s="5"/>
      <c r="C794" s="6"/>
      <c r="D794" s="3"/>
      <c r="E794" s="5"/>
      <c r="F794" s="20">
        <f>LEN(G794)</f>
        <v>0</v>
      </c>
      <c r="G794" s="5"/>
      <c r="H794" s="24"/>
      <c r="I794" s="5"/>
      <c r="J794" s="5"/>
      <c r="K794" s="5"/>
      <c r="L794" s="3" t="s">
        <v>155</v>
      </c>
      <c r="M794" s="5"/>
      <c r="N794" s="4"/>
      <c r="O794" s="5"/>
      <c r="P794" s="5"/>
      <c r="Q794" s="5"/>
      <c r="R794" s="5"/>
      <c r="S794" s="5"/>
      <c r="T794" s="24"/>
      <c r="U794" s="3" t="b">
        <v>0</v>
      </c>
      <c r="V794" s="5"/>
    </row>
    <row r="795" spans="1:22" ht="45" customHeight="1">
      <c r="A795" s="3" t="s">
        <v>148</v>
      </c>
      <c r="B795" s="5"/>
      <c r="C795" s="6"/>
      <c r="D795" s="3"/>
      <c r="E795" s="5"/>
      <c r="F795" s="20">
        <f>LEN(G795)</f>
        <v>0</v>
      </c>
      <c r="G795" s="5"/>
      <c r="H795" s="24"/>
      <c r="I795" s="5"/>
      <c r="J795" s="5"/>
      <c r="K795" s="5"/>
      <c r="L795" s="3" t="s">
        <v>155</v>
      </c>
      <c r="M795" s="5"/>
      <c r="N795" s="4"/>
      <c r="O795" s="5"/>
      <c r="P795" s="5"/>
      <c r="Q795" s="5"/>
      <c r="R795" s="5"/>
      <c r="S795" s="5"/>
      <c r="T795" s="24"/>
      <c r="U795" s="3" t="b">
        <v>0</v>
      </c>
      <c r="V795" s="5"/>
    </row>
    <row r="796" spans="1:22" ht="45" customHeight="1">
      <c r="A796" s="3" t="s">
        <v>148</v>
      </c>
      <c r="B796" s="5"/>
      <c r="C796" s="6"/>
      <c r="D796" s="3"/>
      <c r="E796" s="5"/>
      <c r="F796" s="20">
        <f>LEN(G796)</f>
        <v>0</v>
      </c>
      <c r="G796" s="5"/>
      <c r="H796" s="24"/>
      <c r="I796" s="5"/>
      <c r="J796" s="5"/>
      <c r="K796" s="5"/>
      <c r="L796" s="3" t="s">
        <v>155</v>
      </c>
      <c r="M796" s="5"/>
      <c r="N796" s="4"/>
      <c r="O796" s="5"/>
      <c r="P796" s="5"/>
      <c r="Q796" s="5"/>
      <c r="R796" s="5"/>
      <c r="S796" s="5"/>
      <c r="T796" s="24"/>
      <c r="U796" s="3" t="b">
        <v>0</v>
      </c>
      <c r="V796" s="5"/>
    </row>
    <row r="797" spans="1:22" ht="45" customHeight="1">
      <c r="A797" s="3" t="s">
        <v>148</v>
      </c>
      <c r="B797" s="5"/>
      <c r="C797" s="6"/>
      <c r="D797" s="3"/>
      <c r="E797" s="5"/>
      <c r="F797" s="20">
        <f>LEN(G797)</f>
        <v>0</v>
      </c>
      <c r="G797" s="5"/>
      <c r="H797" s="24"/>
      <c r="I797" s="5"/>
      <c r="J797" s="5"/>
      <c r="K797" s="5"/>
      <c r="L797" s="3" t="s">
        <v>155</v>
      </c>
      <c r="M797" s="5"/>
      <c r="N797" s="4"/>
      <c r="O797" s="5"/>
      <c r="P797" s="5"/>
      <c r="Q797" s="5"/>
      <c r="R797" s="5"/>
      <c r="S797" s="5"/>
      <c r="T797" s="24"/>
      <c r="U797" s="3" t="b">
        <v>0</v>
      </c>
      <c r="V797" s="5"/>
    </row>
    <row r="798" spans="1:22" ht="45" customHeight="1">
      <c r="A798" s="3" t="s">
        <v>148</v>
      </c>
      <c r="B798" s="5"/>
      <c r="C798" s="6"/>
      <c r="D798" s="3"/>
      <c r="E798" s="5"/>
      <c r="F798" s="20">
        <f>LEN(G798)</f>
        <v>0</v>
      </c>
      <c r="G798" s="5"/>
      <c r="H798" s="24"/>
      <c r="I798" s="5"/>
      <c r="J798" s="5"/>
      <c r="K798" s="5"/>
      <c r="L798" s="3" t="s">
        <v>155</v>
      </c>
      <c r="M798" s="5"/>
      <c r="N798" s="4"/>
      <c r="O798" s="5"/>
      <c r="P798" s="5"/>
      <c r="Q798" s="5"/>
      <c r="R798" s="5"/>
      <c r="S798" s="5"/>
      <c r="T798" s="24"/>
      <c r="U798" s="3" t="b">
        <v>0</v>
      </c>
      <c r="V798" s="5"/>
    </row>
    <row r="799" spans="1:22" ht="45" customHeight="1">
      <c r="A799" s="3" t="s">
        <v>148</v>
      </c>
      <c r="B799" s="5"/>
      <c r="C799" s="6"/>
      <c r="D799" s="3"/>
      <c r="E799" s="5"/>
      <c r="F799" s="20">
        <f>LEN(G799)</f>
        <v>0</v>
      </c>
      <c r="G799" s="5"/>
      <c r="H799" s="24"/>
      <c r="I799" s="5"/>
      <c r="J799" s="5"/>
      <c r="K799" s="5"/>
      <c r="L799" s="3" t="s">
        <v>155</v>
      </c>
      <c r="M799" s="5"/>
      <c r="N799" s="4"/>
      <c r="O799" s="5"/>
      <c r="P799" s="5"/>
      <c r="Q799" s="5"/>
      <c r="R799" s="5"/>
      <c r="S799" s="5"/>
      <c r="T799" s="24"/>
      <c r="U799" s="3" t="b">
        <v>0</v>
      </c>
      <c r="V799" s="5"/>
    </row>
    <row r="800" spans="1:22" ht="45" customHeight="1">
      <c r="A800" s="3" t="s">
        <v>148</v>
      </c>
      <c r="B800" s="5"/>
      <c r="C800" s="6"/>
      <c r="D800" s="3"/>
      <c r="E800" s="5"/>
      <c r="F800" s="20">
        <f>LEN(G800)</f>
        <v>0</v>
      </c>
      <c r="G800" s="5"/>
      <c r="H800" s="24"/>
      <c r="I800" s="5"/>
      <c r="J800" s="5"/>
      <c r="K800" s="5"/>
      <c r="L800" s="3" t="s">
        <v>155</v>
      </c>
      <c r="M800" s="5"/>
      <c r="N800" s="4"/>
      <c r="O800" s="5"/>
      <c r="P800" s="5"/>
      <c r="Q800" s="5"/>
      <c r="R800" s="5"/>
      <c r="S800" s="5"/>
      <c r="T800" s="24"/>
      <c r="U800" s="3" t="b">
        <v>0</v>
      </c>
      <c r="V800" s="5"/>
    </row>
    <row r="801" spans="1:22" ht="45" customHeight="1">
      <c r="A801" s="3" t="s">
        <v>148</v>
      </c>
      <c r="B801" s="5"/>
      <c r="C801" s="6"/>
      <c r="D801" s="3"/>
      <c r="E801" s="5"/>
      <c r="F801" s="20">
        <f>LEN(G801)</f>
        <v>0</v>
      </c>
      <c r="G801" s="5"/>
      <c r="H801" s="24"/>
      <c r="I801" s="5"/>
      <c r="J801" s="5"/>
      <c r="K801" s="5"/>
      <c r="L801" s="3" t="s">
        <v>155</v>
      </c>
      <c r="M801" s="5"/>
      <c r="N801" s="4"/>
      <c r="O801" s="5"/>
      <c r="P801" s="5"/>
      <c r="Q801" s="5"/>
      <c r="R801" s="5"/>
      <c r="S801" s="5"/>
      <c r="T801" s="24"/>
      <c r="U801" s="3" t="b">
        <v>0</v>
      </c>
      <c r="V801" s="5"/>
    </row>
    <row r="802" spans="1:22" ht="45" customHeight="1">
      <c r="A802" s="3" t="s">
        <v>148</v>
      </c>
      <c r="B802" s="5"/>
      <c r="C802" s="6"/>
      <c r="D802" s="3"/>
      <c r="E802" s="5"/>
      <c r="F802" s="20">
        <f>LEN(G802)</f>
        <v>0</v>
      </c>
      <c r="G802" s="5"/>
      <c r="H802" s="24"/>
      <c r="I802" s="5"/>
      <c r="J802" s="5"/>
      <c r="K802" s="5"/>
      <c r="L802" s="3" t="s">
        <v>155</v>
      </c>
      <c r="M802" s="5"/>
      <c r="N802" s="4"/>
      <c r="O802" s="5"/>
      <c r="P802" s="5"/>
      <c r="Q802" s="5"/>
      <c r="R802" s="5"/>
      <c r="S802" s="5"/>
      <c r="T802" s="24"/>
      <c r="U802" s="3" t="b">
        <v>0</v>
      </c>
      <c r="V802" s="5"/>
    </row>
    <row r="803" spans="1:22" ht="45" customHeight="1">
      <c r="A803" s="3" t="s">
        <v>148</v>
      </c>
      <c r="B803" s="5"/>
      <c r="C803" s="6"/>
      <c r="D803" s="3"/>
      <c r="E803" s="5"/>
      <c r="F803" s="20">
        <f>LEN(G803)</f>
        <v>0</v>
      </c>
      <c r="G803" s="5"/>
      <c r="H803" s="24"/>
      <c r="I803" s="5"/>
      <c r="J803" s="5"/>
      <c r="K803" s="5"/>
      <c r="L803" s="3" t="s">
        <v>155</v>
      </c>
      <c r="M803" s="5"/>
      <c r="N803" s="4"/>
      <c r="O803" s="5"/>
      <c r="P803" s="5"/>
      <c r="Q803" s="5"/>
      <c r="R803" s="5"/>
      <c r="S803" s="5"/>
      <c r="T803" s="24"/>
      <c r="U803" s="3" t="b">
        <v>0</v>
      </c>
      <c r="V803" s="5"/>
    </row>
    <row r="804" spans="1:22" ht="45" customHeight="1">
      <c r="A804" s="3" t="s">
        <v>148</v>
      </c>
      <c r="B804" s="5"/>
      <c r="C804" s="6"/>
      <c r="D804" s="3"/>
      <c r="E804" s="5"/>
      <c r="F804" s="20">
        <f>LEN(G804)</f>
        <v>0</v>
      </c>
      <c r="G804" s="5"/>
      <c r="H804" s="24"/>
      <c r="I804" s="5"/>
      <c r="J804" s="5"/>
      <c r="K804" s="5"/>
      <c r="L804" s="3" t="s">
        <v>155</v>
      </c>
      <c r="M804" s="5"/>
      <c r="N804" s="4"/>
      <c r="O804" s="5"/>
      <c r="P804" s="5"/>
      <c r="Q804" s="5"/>
      <c r="R804" s="5"/>
      <c r="S804" s="5"/>
      <c r="T804" s="24"/>
      <c r="U804" s="3" t="b">
        <v>0</v>
      </c>
      <c r="V804" s="5"/>
    </row>
    <row r="805" spans="1:22" ht="45" customHeight="1">
      <c r="A805" s="3" t="s">
        <v>148</v>
      </c>
      <c r="B805" s="5"/>
      <c r="C805" s="6"/>
      <c r="D805" s="3"/>
      <c r="E805" s="5"/>
      <c r="F805" s="20">
        <f>LEN(G805)</f>
        <v>0</v>
      </c>
      <c r="G805" s="5"/>
      <c r="H805" s="24"/>
      <c r="I805" s="5"/>
      <c r="J805" s="5"/>
      <c r="K805" s="5"/>
      <c r="L805" s="3" t="s">
        <v>155</v>
      </c>
      <c r="M805" s="5"/>
      <c r="N805" s="4"/>
      <c r="O805" s="5"/>
      <c r="P805" s="5"/>
      <c r="Q805" s="5"/>
      <c r="R805" s="5"/>
      <c r="S805" s="5"/>
      <c r="T805" s="24"/>
      <c r="U805" s="3" t="b">
        <v>0</v>
      </c>
      <c r="V805" s="5"/>
    </row>
    <row r="806" spans="1:22" ht="45" customHeight="1">
      <c r="A806" s="3" t="s">
        <v>148</v>
      </c>
      <c r="B806" s="5"/>
      <c r="C806" s="6"/>
      <c r="D806" s="3"/>
      <c r="E806" s="5"/>
      <c r="F806" s="20">
        <f>LEN(G806)</f>
        <v>0</v>
      </c>
      <c r="G806" s="5"/>
      <c r="H806" s="24"/>
      <c r="I806" s="5"/>
      <c r="J806" s="5"/>
      <c r="K806" s="5"/>
      <c r="L806" s="3" t="s">
        <v>155</v>
      </c>
      <c r="M806" s="5"/>
      <c r="N806" s="4"/>
      <c r="O806" s="5"/>
      <c r="P806" s="5"/>
      <c r="Q806" s="5"/>
      <c r="R806" s="5"/>
      <c r="S806" s="5"/>
      <c r="T806" s="24"/>
      <c r="U806" s="3" t="b">
        <v>0</v>
      </c>
      <c r="V806" s="5"/>
    </row>
    <row r="807" spans="1:22" ht="45" customHeight="1">
      <c r="A807" s="3" t="s">
        <v>148</v>
      </c>
      <c r="B807" s="5"/>
      <c r="C807" s="6"/>
      <c r="D807" s="3"/>
      <c r="E807" s="5"/>
      <c r="F807" s="20">
        <f>LEN(G807)</f>
        <v>0</v>
      </c>
      <c r="G807" s="5"/>
      <c r="H807" s="24"/>
      <c r="I807" s="5"/>
      <c r="J807" s="5"/>
      <c r="K807" s="5"/>
      <c r="L807" s="3" t="s">
        <v>155</v>
      </c>
      <c r="M807" s="5"/>
      <c r="N807" s="4"/>
      <c r="O807" s="5"/>
      <c r="P807" s="5"/>
      <c r="Q807" s="5"/>
      <c r="R807" s="5"/>
      <c r="S807" s="5"/>
      <c r="T807" s="24"/>
      <c r="U807" s="3" t="b">
        <v>0</v>
      </c>
      <c r="V807" s="5"/>
    </row>
    <row r="808" spans="1:22" ht="45" customHeight="1">
      <c r="A808" s="3" t="s">
        <v>148</v>
      </c>
      <c r="B808" s="5"/>
      <c r="C808" s="6"/>
      <c r="D808" s="3"/>
      <c r="E808" s="5"/>
      <c r="F808" s="20">
        <f>LEN(G808)</f>
        <v>0</v>
      </c>
      <c r="G808" s="5"/>
      <c r="H808" s="24"/>
      <c r="I808" s="5"/>
      <c r="J808" s="5"/>
      <c r="K808" s="5"/>
      <c r="L808" s="3" t="s">
        <v>155</v>
      </c>
      <c r="M808" s="5"/>
      <c r="N808" s="4"/>
      <c r="O808" s="5"/>
      <c r="P808" s="5"/>
      <c r="Q808" s="5"/>
      <c r="R808" s="5"/>
      <c r="S808" s="5"/>
      <c r="T808" s="24"/>
      <c r="U808" s="3" t="b">
        <v>0</v>
      </c>
      <c r="V808" s="5"/>
    </row>
    <row r="809" spans="1:22" ht="45" customHeight="1">
      <c r="A809" s="3" t="s">
        <v>148</v>
      </c>
      <c r="B809" s="5"/>
      <c r="C809" s="6"/>
      <c r="D809" s="3"/>
      <c r="E809" s="5"/>
      <c r="F809" s="20">
        <f>LEN(G809)</f>
        <v>0</v>
      </c>
      <c r="G809" s="5"/>
      <c r="H809" s="24"/>
      <c r="I809" s="5"/>
      <c r="J809" s="5"/>
      <c r="K809" s="5"/>
      <c r="L809" s="3" t="s">
        <v>155</v>
      </c>
      <c r="M809" s="5"/>
      <c r="N809" s="4"/>
      <c r="O809" s="5"/>
      <c r="P809" s="5"/>
      <c r="Q809" s="5"/>
      <c r="R809" s="5"/>
      <c r="S809" s="5"/>
      <c r="T809" s="24"/>
      <c r="U809" s="3" t="b">
        <v>0</v>
      </c>
      <c r="V809" s="5"/>
    </row>
    <row r="810" spans="1:22" ht="45" customHeight="1">
      <c r="A810" s="3" t="s">
        <v>148</v>
      </c>
      <c r="B810" s="5"/>
      <c r="C810" s="6"/>
      <c r="D810" s="3"/>
      <c r="E810" s="5"/>
      <c r="F810" s="20">
        <f>LEN(G810)</f>
        <v>0</v>
      </c>
      <c r="G810" s="5"/>
      <c r="H810" s="24"/>
      <c r="I810" s="5"/>
      <c r="J810" s="5"/>
      <c r="K810" s="5"/>
      <c r="L810" s="3" t="s">
        <v>155</v>
      </c>
      <c r="M810" s="5"/>
      <c r="N810" s="4"/>
      <c r="O810" s="5"/>
      <c r="P810" s="5"/>
      <c r="Q810" s="5"/>
      <c r="R810" s="5"/>
      <c r="S810" s="5"/>
      <c r="T810" s="24"/>
      <c r="U810" s="3" t="b">
        <v>0</v>
      </c>
      <c r="V810" s="5"/>
    </row>
    <row r="811" spans="1:22" ht="45" customHeight="1">
      <c r="A811" s="3" t="s">
        <v>148</v>
      </c>
      <c r="B811" s="5"/>
      <c r="C811" s="6"/>
      <c r="D811" s="3"/>
      <c r="E811" s="5"/>
      <c r="F811" s="20">
        <f>LEN(G811)</f>
        <v>0</v>
      </c>
      <c r="G811" s="5"/>
      <c r="H811" s="24"/>
      <c r="I811" s="5"/>
      <c r="J811" s="5"/>
      <c r="K811" s="5"/>
      <c r="L811" s="3" t="s">
        <v>155</v>
      </c>
      <c r="M811" s="5"/>
      <c r="N811" s="4"/>
      <c r="O811" s="5"/>
      <c r="P811" s="5"/>
      <c r="Q811" s="5"/>
      <c r="R811" s="5"/>
      <c r="S811" s="5"/>
      <c r="T811" s="24"/>
      <c r="U811" s="3" t="b">
        <v>0</v>
      </c>
      <c r="V811" s="5"/>
    </row>
    <row r="812" spans="1:22" ht="45" customHeight="1">
      <c r="A812" s="3" t="s">
        <v>148</v>
      </c>
      <c r="B812" s="5"/>
      <c r="C812" s="6"/>
      <c r="D812" s="3"/>
      <c r="E812" s="5"/>
      <c r="F812" s="20">
        <f>LEN(G812)</f>
        <v>0</v>
      </c>
      <c r="G812" s="5"/>
      <c r="H812" s="24"/>
      <c r="I812" s="5"/>
      <c r="J812" s="5"/>
      <c r="K812" s="5"/>
      <c r="L812" s="3" t="s">
        <v>155</v>
      </c>
      <c r="M812" s="5"/>
      <c r="N812" s="4"/>
      <c r="O812" s="5"/>
      <c r="P812" s="5"/>
      <c r="Q812" s="5"/>
      <c r="R812" s="5"/>
      <c r="S812" s="5"/>
      <c r="T812" s="24"/>
      <c r="U812" s="3" t="b">
        <v>0</v>
      </c>
      <c r="V812" s="5"/>
    </row>
    <row r="813" spans="1:22" ht="45" customHeight="1">
      <c r="A813" s="3" t="s">
        <v>148</v>
      </c>
      <c r="B813" s="5"/>
      <c r="C813" s="6"/>
      <c r="D813" s="3"/>
      <c r="E813" s="5"/>
      <c r="F813" s="20">
        <f>LEN(G813)</f>
        <v>0</v>
      </c>
      <c r="G813" s="5"/>
      <c r="H813" s="24"/>
      <c r="I813" s="5"/>
      <c r="J813" s="5"/>
      <c r="K813" s="5"/>
      <c r="L813" s="3" t="s">
        <v>155</v>
      </c>
      <c r="M813" s="5"/>
      <c r="N813" s="4"/>
      <c r="O813" s="5"/>
      <c r="P813" s="5"/>
      <c r="Q813" s="5"/>
      <c r="R813" s="5"/>
      <c r="S813" s="5"/>
      <c r="T813" s="24"/>
      <c r="U813" s="3" t="b">
        <v>0</v>
      </c>
      <c r="V813" s="5"/>
    </row>
    <row r="814" spans="1:22" ht="45" customHeight="1">
      <c r="A814" s="3" t="s">
        <v>148</v>
      </c>
      <c r="B814" s="5"/>
      <c r="C814" s="6"/>
      <c r="D814" s="3"/>
      <c r="E814" s="5"/>
      <c r="F814" s="20">
        <f>LEN(G814)</f>
        <v>0</v>
      </c>
      <c r="G814" s="5"/>
      <c r="H814" s="24"/>
      <c r="I814" s="5"/>
      <c r="J814" s="5"/>
      <c r="K814" s="5"/>
      <c r="L814" s="3" t="s">
        <v>155</v>
      </c>
      <c r="M814" s="5"/>
      <c r="N814" s="4"/>
      <c r="O814" s="5"/>
      <c r="P814" s="5"/>
      <c r="Q814" s="5"/>
      <c r="R814" s="5"/>
      <c r="S814" s="5"/>
      <c r="T814" s="24"/>
      <c r="U814" s="3" t="b">
        <v>0</v>
      </c>
      <c r="V814" s="5"/>
    </row>
    <row r="815" spans="1:22" ht="45" customHeight="1">
      <c r="A815" s="3" t="s">
        <v>148</v>
      </c>
      <c r="B815" s="5"/>
      <c r="C815" s="6"/>
      <c r="D815" s="3"/>
      <c r="E815" s="5"/>
      <c r="F815" s="20">
        <f>LEN(G815)</f>
        <v>0</v>
      </c>
      <c r="G815" s="5"/>
      <c r="H815" s="24"/>
      <c r="I815" s="5"/>
      <c r="J815" s="5"/>
      <c r="K815" s="5"/>
      <c r="L815" s="3" t="s">
        <v>155</v>
      </c>
      <c r="M815" s="5"/>
      <c r="N815" s="4"/>
      <c r="O815" s="5"/>
      <c r="P815" s="5"/>
      <c r="Q815" s="5"/>
      <c r="R815" s="5"/>
      <c r="S815" s="5"/>
      <c r="T815" s="24"/>
      <c r="U815" s="3" t="b">
        <v>0</v>
      </c>
      <c r="V815" s="5"/>
    </row>
    <row r="816" spans="1:22" ht="45" customHeight="1">
      <c r="A816" s="3" t="s">
        <v>148</v>
      </c>
      <c r="B816" s="5"/>
      <c r="C816" s="6"/>
      <c r="D816" s="3"/>
      <c r="E816" s="5"/>
      <c r="F816" s="20">
        <f>LEN(G816)</f>
        <v>0</v>
      </c>
      <c r="G816" s="5"/>
      <c r="H816" s="24"/>
      <c r="I816" s="5"/>
      <c r="J816" s="5"/>
      <c r="K816" s="5"/>
      <c r="L816" s="3" t="s">
        <v>155</v>
      </c>
      <c r="M816" s="5"/>
      <c r="N816" s="4"/>
      <c r="O816" s="5"/>
      <c r="P816" s="5"/>
      <c r="Q816" s="5"/>
      <c r="R816" s="5"/>
      <c r="S816" s="5"/>
      <c r="T816" s="24"/>
      <c r="U816" s="3" t="b">
        <v>0</v>
      </c>
      <c r="V816" s="5"/>
    </row>
    <row r="817" spans="1:22" ht="45" customHeight="1">
      <c r="A817" s="3" t="s">
        <v>148</v>
      </c>
      <c r="B817" s="5"/>
      <c r="C817" s="6"/>
      <c r="D817" s="3"/>
      <c r="E817" s="5"/>
      <c r="F817" s="20">
        <f>LEN(G817)</f>
        <v>0</v>
      </c>
      <c r="G817" s="5"/>
      <c r="H817" s="24"/>
      <c r="I817" s="5"/>
      <c r="J817" s="5"/>
      <c r="K817" s="5"/>
      <c r="L817" s="3" t="s">
        <v>155</v>
      </c>
      <c r="M817" s="5"/>
      <c r="N817" s="4"/>
      <c r="O817" s="5"/>
      <c r="P817" s="5"/>
      <c r="Q817" s="5"/>
      <c r="R817" s="5"/>
      <c r="S817" s="5"/>
      <c r="T817" s="24"/>
      <c r="U817" s="3" t="b">
        <v>0</v>
      </c>
      <c r="V817" s="5"/>
    </row>
    <row r="818" spans="1:22" ht="45" customHeight="1">
      <c r="A818" s="3" t="s">
        <v>148</v>
      </c>
      <c r="B818" s="5"/>
      <c r="C818" s="6"/>
      <c r="D818" s="3"/>
      <c r="E818" s="5"/>
      <c r="F818" s="20">
        <f>LEN(G818)</f>
        <v>0</v>
      </c>
      <c r="G818" s="5"/>
      <c r="H818" s="24"/>
      <c r="I818" s="5"/>
      <c r="J818" s="5"/>
      <c r="K818" s="5"/>
      <c r="L818" s="3" t="s">
        <v>155</v>
      </c>
      <c r="M818" s="5"/>
      <c r="N818" s="4"/>
      <c r="O818" s="5"/>
      <c r="P818" s="5"/>
      <c r="Q818" s="5"/>
      <c r="R818" s="5"/>
      <c r="S818" s="5"/>
      <c r="T818" s="24"/>
      <c r="U818" s="3" t="b">
        <v>0</v>
      </c>
      <c r="V818" s="5"/>
    </row>
    <row r="819" spans="1:22" ht="45" customHeight="1">
      <c r="A819" s="3" t="s">
        <v>148</v>
      </c>
      <c r="B819" s="5"/>
      <c r="C819" s="6"/>
      <c r="D819" s="3"/>
      <c r="E819" s="5"/>
      <c r="F819" s="20">
        <f>LEN(G819)</f>
        <v>0</v>
      </c>
      <c r="G819" s="5"/>
      <c r="H819" s="24"/>
      <c r="I819" s="5"/>
      <c r="J819" s="5"/>
      <c r="K819" s="5"/>
      <c r="L819" s="3" t="s">
        <v>155</v>
      </c>
      <c r="M819" s="5"/>
      <c r="N819" s="4"/>
      <c r="O819" s="5"/>
      <c r="P819" s="5"/>
      <c r="Q819" s="5"/>
      <c r="R819" s="5"/>
      <c r="S819" s="5"/>
      <c r="T819" s="24"/>
      <c r="U819" s="3" t="b">
        <v>0</v>
      </c>
      <c r="V819" s="5"/>
    </row>
    <row r="820" spans="1:22" ht="45" customHeight="1">
      <c r="A820" s="3" t="s">
        <v>148</v>
      </c>
      <c r="B820" s="5"/>
      <c r="C820" s="6"/>
      <c r="D820" s="3"/>
      <c r="E820" s="5"/>
      <c r="F820" s="20">
        <f>LEN(G820)</f>
        <v>0</v>
      </c>
      <c r="G820" s="5"/>
      <c r="H820" s="24"/>
      <c r="I820" s="5"/>
      <c r="J820" s="5"/>
      <c r="K820" s="5"/>
      <c r="L820" s="3" t="s">
        <v>155</v>
      </c>
      <c r="M820" s="5"/>
      <c r="N820" s="4"/>
      <c r="O820" s="5"/>
      <c r="P820" s="5"/>
      <c r="Q820" s="5"/>
      <c r="R820" s="5"/>
      <c r="S820" s="5"/>
      <c r="T820" s="24"/>
      <c r="U820" s="3" t="b">
        <v>0</v>
      </c>
      <c r="V820" s="5"/>
    </row>
    <row r="821" spans="1:22" ht="45" customHeight="1">
      <c r="A821" s="3" t="s">
        <v>148</v>
      </c>
      <c r="B821" s="5"/>
      <c r="C821" s="6"/>
      <c r="D821" s="3"/>
      <c r="E821" s="5"/>
      <c r="F821" s="20">
        <f>LEN(G821)</f>
        <v>0</v>
      </c>
      <c r="G821" s="5"/>
      <c r="H821" s="24"/>
      <c r="I821" s="5"/>
      <c r="J821" s="5"/>
      <c r="K821" s="5"/>
      <c r="L821" s="3" t="s">
        <v>155</v>
      </c>
      <c r="M821" s="5"/>
      <c r="N821" s="4"/>
      <c r="O821" s="5"/>
      <c r="P821" s="5"/>
      <c r="Q821" s="5"/>
      <c r="R821" s="5"/>
      <c r="S821" s="5"/>
      <c r="T821" s="24"/>
      <c r="U821" s="3" t="b">
        <v>0</v>
      </c>
      <c r="V821" s="5"/>
    </row>
    <row r="822" spans="1:22" ht="45" customHeight="1">
      <c r="A822" s="3" t="s">
        <v>148</v>
      </c>
      <c r="B822" s="5"/>
      <c r="C822" s="6"/>
      <c r="D822" s="3"/>
      <c r="E822" s="5"/>
      <c r="F822" s="20">
        <f>LEN(G822)</f>
        <v>0</v>
      </c>
      <c r="G822" s="5"/>
      <c r="H822" s="24"/>
      <c r="I822" s="5"/>
      <c r="J822" s="5"/>
      <c r="K822" s="5"/>
      <c r="L822" s="3" t="s">
        <v>155</v>
      </c>
      <c r="M822" s="5"/>
      <c r="N822" s="4"/>
      <c r="O822" s="5"/>
      <c r="P822" s="5"/>
      <c r="Q822" s="5"/>
      <c r="R822" s="5"/>
      <c r="S822" s="5"/>
      <c r="T822" s="24"/>
      <c r="U822" s="3" t="b">
        <v>0</v>
      </c>
      <c r="V822" s="5"/>
    </row>
    <row r="823" spans="1:22" ht="45" customHeight="1">
      <c r="A823" s="3" t="s">
        <v>148</v>
      </c>
      <c r="B823" s="5"/>
      <c r="C823" s="6"/>
      <c r="D823" s="3"/>
      <c r="E823" s="5"/>
      <c r="F823" s="20">
        <f>LEN(G823)</f>
        <v>0</v>
      </c>
      <c r="G823" s="5"/>
      <c r="H823" s="24"/>
      <c r="I823" s="5"/>
      <c r="J823" s="5"/>
      <c r="K823" s="5"/>
      <c r="L823" s="3" t="s">
        <v>155</v>
      </c>
      <c r="M823" s="5"/>
      <c r="N823" s="4"/>
      <c r="O823" s="5"/>
      <c r="P823" s="5"/>
      <c r="Q823" s="5"/>
      <c r="R823" s="5"/>
      <c r="S823" s="5"/>
      <c r="T823" s="24"/>
      <c r="U823" s="3" t="b">
        <v>0</v>
      </c>
      <c r="V823" s="5"/>
    </row>
    <row r="824" spans="1:22" ht="45" customHeight="1">
      <c r="A824" s="3" t="s">
        <v>148</v>
      </c>
      <c r="B824" s="5"/>
      <c r="C824" s="6"/>
      <c r="D824" s="3"/>
      <c r="E824" s="5"/>
      <c r="F824" s="20">
        <f>LEN(G824)</f>
        <v>0</v>
      </c>
      <c r="G824" s="5"/>
      <c r="H824" s="24"/>
      <c r="I824" s="5"/>
      <c r="J824" s="5"/>
      <c r="K824" s="5"/>
      <c r="L824" s="3" t="s">
        <v>155</v>
      </c>
      <c r="M824" s="5"/>
      <c r="N824" s="4"/>
      <c r="O824" s="5"/>
      <c r="P824" s="5"/>
      <c r="Q824" s="5"/>
      <c r="R824" s="5"/>
      <c r="S824" s="5"/>
      <c r="T824" s="24"/>
      <c r="U824" s="3" t="b">
        <v>0</v>
      </c>
      <c r="V824" s="5"/>
    </row>
    <row r="825" spans="1:22" ht="45" customHeight="1">
      <c r="A825" s="3" t="s">
        <v>148</v>
      </c>
      <c r="B825" s="5"/>
      <c r="C825" s="6"/>
      <c r="D825" s="3"/>
      <c r="E825" s="5"/>
      <c r="F825" s="20">
        <f>LEN(G825)</f>
        <v>0</v>
      </c>
      <c r="G825" s="5"/>
      <c r="H825" s="24"/>
      <c r="I825" s="5"/>
      <c r="J825" s="5"/>
      <c r="K825" s="5"/>
      <c r="L825" s="3" t="s">
        <v>155</v>
      </c>
      <c r="M825" s="5"/>
      <c r="N825" s="4"/>
      <c r="O825" s="5"/>
      <c r="P825" s="5"/>
      <c r="Q825" s="5"/>
      <c r="R825" s="5"/>
      <c r="S825" s="5"/>
      <c r="T825" s="24"/>
      <c r="U825" s="3" t="b">
        <v>0</v>
      </c>
      <c r="V825" s="5"/>
    </row>
    <row r="826" spans="1:22" ht="45" customHeight="1">
      <c r="A826" s="3" t="s">
        <v>148</v>
      </c>
      <c r="B826" s="5"/>
      <c r="C826" s="6"/>
      <c r="D826" s="3"/>
      <c r="E826" s="5"/>
      <c r="F826" s="20">
        <f>LEN(G826)</f>
        <v>0</v>
      </c>
      <c r="G826" s="5"/>
      <c r="H826" s="24"/>
      <c r="I826" s="5"/>
      <c r="J826" s="5"/>
      <c r="K826" s="5"/>
      <c r="L826" s="3" t="s">
        <v>155</v>
      </c>
      <c r="M826" s="5"/>
      <c r="N826" s="4"/>
      <c r="O826" s="5"/>
      <c r="P826" s="5"/>
      <c r="Q826" s="5"/>
      <c r="R826" s="5"/>
      <c r="S826" s="5"/>
      <c r="T826" s="24"/>
      <c r="U826" s="3" t="b">
        <v>0</v>
      </c>
      <c r="V826" s="5"/>
    </row>
    <row r="827" spans="1:22" ht="45" customHeight="1">
      <c r="A827" s="3" t="s">
        <v>148</v>
      </c>
      <c r="B827" s="5"/>
      <c r="C827" s="6"/>
      <c r="D827" s="3"/>
      <c r="E827" s="5"/>
      <c r="F827" s="20">
        <f>LEN(G827)</f>
        <v>0</v>
      </c>
      <c r="G827" s="5"/>
      <c r="H827" s="24"/>
      <c r="I827" s="5"/>
      <c r="J827" s="5"/>
      <c r="K827" s="5"/>
      <c r="L827" s="3" t="s">
        <v>155</v>
      </c>
      <c r="M827" s="5"/>
      <c r="N827" s="4"/>
      <c r="O827" s="5"/>
      <c r="P827" s="5"/>
      <c r="Q827" s="5"/>
      <c r="R827" s="5"/>
      <c r="S827" s="5"/>
      <c r="T827" s="24"/>
      <c r="U827" s="3" t="b">
        <v>0</v>
      </c>
      <c r="V827" s="5"/>
    </row>
    <row r="828" spans="1:22" ht="45" customHeight="1">
      <c r="A828" s="3" t="s">
        <v>148</v>
      </c>
      <c r="B828" s="5"/>
      <c r="C828" s="6"/>
      <c r="D828" s="3"/>
      <c r="E828" s="5"/>
      <c r="F828" s="20">
        <f>LEN(G828)</f>
        <v>0</v>
      </c>
      <c r="G828" s="5"/>
      <c r="H828" s="24"/>
      <c r="I828" s="5"/>
      <c r="J828" s="5"/>
      <c r="K828" s="5"/>
      <c r="L828" s="3" t="s">
        <v>155</v>
      </c>
      <c r="M828" s="5"/>
      <c r="N828" s="4"/>
      <c r="O828" s="5"/>
      <c r="P828" s="5"/>
      <c r="Q828" s="5"/>
      <c r="R828" s="5"/>
      <c r="S828" s="5"/>
      <c r="T828" s="24"/>
      <c r="U828" s="3" t="b">
        <v>0</v>
      </c>
      <c r="V828" s="5"/>
    </row>
    <row r="829" spans="1:22" ht="45" customHeight="1">
      <c r="A829" s="3" t="s">
        <v>148</v>
      </c>
      <c r="B829" s="5"/>
      <c r="C829" s="6"/>
      <c r="D829" s="3"/>
      <c r="E829" s="5"/>
      <c r="F829" s="20">
        <f>LEN(G829)</f>
        <v>0</v>
      </c>
      <c r="G829" s="5"/>
      <c r="H829" s="24"/>
      <c r="I829" s="5"/>
      <c r="J829" s="5"/>
      <c r="K829" s="5"/>
      <c r="L829" s="3" t="s">
        <v>155</v>
      </c>
      <c r="M829" s="5"/>
      <c r="N829" s="4"/>
      <c r="O829" s="5"/>
      <c r="P829" s="5"/>
      <c r="Q829" s="5"/>
      <c r="R829" s="5"/>
      <c r="S829" s="5"/>
      <c r="T829" s="24"/>
      <c r="U829" s="3" t="b">
        <v>0</v>
      </c>
      <c r="V829" s="5"/>
    </row>
    <row r="830" spans="1:22" ht="45" customHeight="1">
      <c r="A830" s="3" t="s">
        <v>148</v>
      </c>
      <c r="B830" s="5"/>
      <c r="C830" s="6"/>
      <c r="D830" s="3"/>
      <c r="E830" s="5"/>
      <c r="F830" s="20">
        <f>LEN(G830)</f>
        <v>0</v>
      </c>
      <c r="G830" s="5"/>
      <c r="H830" s="24"/>
      <c r="I830" s="5"/>
      <c r="J830" s="5"/>
      <c r="K830" s="5"/>
      <c r="L830" s="3" t="s">
        <v>155</v>
      </c>
      <c r="M830" s="5"/>
      <c r="N830" s="4"/>
      <c r="O830" s="5"/>
      <c r="P830" s="5"/>
      <c r="Q830" s="5"/>
      <c r="R830" s="5"/>
      <c r="S830" s="5"/>
      <c r="T830" s="24"/>
      <c r="U830" s="3" t="b">
        <v>0</v>
      </c>
      <c r="V830" s="5"/>
    </row>
    <row r="831" spans="1:22" ht="45" customHeight="1">
      <c r="A831" s="3" t="s">
        <v>148</v>
      </c>
      <c r="B831" s="5"/>
      <c r="C831" s="6"/>
      <c r="D831" s="3"/>
      <c r="E831" s="5"/>
      <c r="F831" s="20">
        <f>LEN(G831)</f>
        <v>0</v>
      </c>
      <c r="G831" s="5"/>
      <c r="H831" s="24"/>
      <c r="I831" s="5"/>
      <c r="J831" s="5"/>
      <c r="K831" s="5"/>
      <c r="L831" s="3" t="s">
        <v>155</v>
      </c>
      <c r="M831" s="5"/>
      <c r="N831" s="4"/>
      <c r="O831" s="5"/>
      <c r="P831" s="5"/>
      <c r="Q831" s="5"/>
      <c r="R831" s="5"/>
      <c r="S831" s="5"/>
      <c r="T831" s="24"/>
      <c r="U831" s="3" t="b">
        <v>0</v>
      </c>
      <c r="V831" s="5"/>
    </row>
    <row r="832" spans="1:22" ht="45" customHeight="1">
      <c r="A832" s="3" t="s">
        <v>148</v>
      </c>
      <c r="B832" s="5"/>
      <c r="C832" s="6"/>
      <c r="D832" s="3"/>
      <c r="E832" s="5"/>
      <c r="F832" s="20">
        <f>LEN(G832)</f>
        <v>0</v>
      </c>
      <c r="G832" s="5"/>
      <c r="H832" s="24"/>
      <c r="I832" s="5"/>
      <c r="J832" s="5"/>
      <c r="K832" s="5"/>
      <c r="L832" s="3" t="s">
        <v>155</v>
      </c>
      <c r="M832" s="5"/>
      <c r="N832" s="4"/>
      <c r="O832" s="5"/>
      <c r="P832" s="5"/>
      <c r="Q832" s="5"/>
      <c r="R832" s="5"/>
      <c r="S832" s="5"/>
      <c r="T832" s="24"/>
      <c r="U832" s="3" t="b">
        <v>0</v>
      </c>
      <c r="V832" s="5"/>
    </row>
    <row r="833" spans="1:22" ht="45" customHeight="1">
      <c r="A833" s="3" t="s">
        <v>148</v>
      </c>
      <c r="B833" s="5"/>
      <c r="C833" s="6"/>
      <c r="D833" s="3"/>
      <c r="E833" s="5"/>
      <c r="F833" s="20">
        <f>LEN(G833)</f>
        <v>0</v>
      </c>
      <c r="G833" s="5"/>
      <c r="H833" s="24"/>
      <c r="I833" s="5"/>
      <c r="J833" s="5"/>
      <c r="K833" s="5"/>
      <c r="L833" s="3" t="s">
        <v>155</v>
      </c>
      <c r="M833" s="5"/>
      <c r="N833" s="4"/>
      <c r="O833" s="5"/>
      <c r="P833" s="5"/>
      <c r="Q833" s="5"/>
      <c r="R833" s="5"/>
      <c r="S833" s="5"/>
      <c r="T833" s="24"/>
      <c r="U833" s="3" t="b">
        <v>0</v>
      </c>
      <c r="V833" s="5"/>
    </row>
    <row r="834" spans="1:22" ht="45" customHeight="1">
      <c r="A834" s="3" t="s">
        <v>148</v>
      </c>
      <c r="B834" s="5"/>
      <c r="C834" s="6"/>
      <c r="D834" s="3"/>
      <c r="E834" s="5"/>
      <c r="F834" s="20">
        <f>LEN(G834)</f>
        <v>0</v>
      </c>
      <c r="G834" s="5"/>
      <c r="H834" s="24"/>
      <c r="I834" s="5"/>
      <c r="J834" s="5"/>
      <c r="K834" s="5"/>
      <c r="L834" s="3" t="s">
        <v>155</v>
      </c>
      <c r="M834" s="5"/>
      <c r="N834" s="4"/>
      <c r="O834" s="5"/>
      <c r="P834" s="5"/>
      <c r="Q834" s="5"/>
      <c r="R834" s="5"/>
      <c r="S834" s="5"/>
      <c r="T834" s="24"/>
      <c r="U834" s="3" t="b">
        <v>0</v>
      </c>
      <c r="V834" s="5"/>
    </row>
    <row r="835" spans="1:22" ht="45" customHeight="1">
      <c r="A835" s="3" t="s">
        <v>148</v>
      </c>
      <c r="B835" s="5"/>
      <c r="C835" s="6"/>
      <c r="D835" s="3"/>
      <c r="E835" s="5"/>
      <c r="F835" s="20">
        <f>LEN(G835)</f>
        <v>0</v>
      </c>
      <c r="G835" s="5"/>
      <c r="H835" s="24"/>
      <c r="I835" s="5"/>
      <c r="J835" s="5"/>
      <c r="K835" s="5"/>
      <c r="L835" s="3" t="s">
        <v>155</v>
      </c>
      <c r="M835" s="5"/>
      <c r="N835" s="4"/>
      <c r="O835" s="5"/>
      <c r="P835" s="5"/>
      <c r="Q835" s="5"/>
      <c r="R835" s="5"/>
      <c r="S835" s="5"/>
      <c r="T835" s="24"/>
      <c r="U835" s="3" t="b">
        <v>0</v>
      </c>
      <c r="V835" s="5"/>
    </row>
    <row r="836" spans="1:22" ht="45" customHeight="1">
      <c r="A836" s="3" t="s">
        <v>148</v>
      </c>
      <c r="B836" s="5"/>
      <c r="C836" s="6"/>
      <c r="D836" s="3"/>
      <c r="E836" s="5"/>
      <c r="F836" s="20">
        <f>LEN(G836)</f>
        <v>0</v>
      </c>
      <c r="G836" s="5"/>
      <c r="H836" s="24"/>
      <c r="I836" s="5"/>
      <c r="J836" s="5"/>
      <c r="K836" s="5"/>
      <c r="L836" s="3" t="s">
        <v>155</v>
      </c>
      <c r="M836" s="5"/>
      <c r="N836" s="4"/>
      <c r="O836" s="5"/>
      <c r="P836" s="5"/>
      <c r="Q836" s="5"/>
      <c r="R836" s="5"/>
      <c r="S836" s="5"/>
      <c r="T836" s="24"/>
      <c r="U836" s="3" t="b">
        <v>0</v>
      </c>
      <c r="V836" s="5"/>
    </row>
    <row r="837" spans="1:22" ht="45" customHeight="1">
      <c r="A837" s="3" t="s">
        <v>148</v>
      </c>
      <c r="B837" s="5"/>
      <c r="C837" s="6"/>
      <c r="D837" s="3"/>
      <c r="E837" s="5"/>
      <c r="F837" s="20">
        <f>LEN(G837)</f>
        <v>0</v>
      </c>
      <c r="G837" s="5"/>
      <c r="H837" s="24"/>
      <c r="I837" s="5"/>
      <c r="J837" s="5"/>
      <c r="K837" s="5"/>
      <c r="L837" s="3" t="s">
        <v>155</v>
      </c>
      <c r="M837" s="5"/>
      <c r="N837" s="4"/>
      <c r="O837" s="5"/>
      <c r="P837" s="5"/>
      <c r="Q837" s="5"/>
      <c r="R837" s="5"/>
      <c r="S837" s="5"/>
      <c r="T837" s="24"/>
      <c r="U837" s="3" t="b">
        <v>0</v>
      </c>
      <c r="V837" s="5"/>
    </row>
    <row r="838" spans="1:22" ht="45" customHeight="1">
      <c r="A838" s="3" t="s">
        <v>148</v>
      </c>
      <c r="B838" s="5"/>
      <c r="C838" s="6"/>
      <c r="D838" s="3"/>
      <c r="E838" s="5"/>
      <c r="F838" s="20">
        <f>LEN(G838)</f>
        <v>0</v>
      </c>
      <c r="G838" s="5"/>
      <c r="H838" s="24"/>
      <c r="I838" s="5"/>
      <c r="J838" s="5"/>
      <c r="K838" s="5"/>
      <c r="L838" s="3" t="s">
        <v>155</v>
      </c>
      <c r="M838" s="5"/>
      <c r="N838" s="4"/>
      <c r="O838" s="5"/>
      <c r="P838" s="5"/>
      <c r="Q838" s="5"/>
      <c r="R838" s="5"/>
      <c r="S838" s="5"/>
      <c r="T838" s="24"/>
      <c r="U838" s="3" t="b">
        <v>0</v>
      </c>
      <c r="V838" s="5"/>
    </row>
    <row r="839" spans="1:22" ht="45" customHeight="1">
      <c r="A839" s="3" t="s">
        <v>148</v>
      </c>
      <c r="B839" s="5"/>
      <c r="C839" s="6"/>
      <c r="D839" s="3"/>
      <c r="E839" s="5"/>
      <c r="F839" s="20">
        <f>LEN(G839)</f>
        <v>0</v>
      </c>
      <c r="G839" s="5"/>
      <c r="H839" s="24"/>
      <c r="I839" s="5"/>
      <c r="J839" s="5"/>
      <c r="K839" s="5"/>
      <c r="L839" s="3" t="s">
        <v>155</v>
      </c>
      <c r="M839" s="5"/>
      <c r="N839" s="4"/>
      <c r="O839" s="5"/>
      <c r="P839" s="5"/>
      <c r="Q839" s="5"/>
      <c r="R839" s="5"/>
      <c r="S839" s="5"/>
      <c r="T839" s="24"/>
      <c r="U839" s="3" t="b">
        <v>0</v>
      </c>
      <c r="V839" s="5"/>
    </row>
    <row r="840" spans="1:22" ht="45" customHeight="1">
      <c r="A840" s="3" t="s">
        <v>148</v>
      </c>
      <c r="B840" s="5"/>
      <c r="C840" s="6"/>
      <c r="D840" s="3"/>
      <c r="E840" s="5"/>
      <c r="F840" s="20">
        <f>LEN(G840)</f>
        <v>0</v>
      </c>
      <c r="G840" s="5"/>
      <c r="H840" s="24"/>
      <c r="I840" s="5"/>
      <c r="J840" s="5"/>
      <c r="K840" s="5"/>
      <c r="L840" s="3" t="s">
        <v>155</v>
      </c>
      <c r="M840" s="5"/>
      <c r="N840" s="4"/>
      <c r="O840" s="5"/>
      <c r="P840" s="5"/>
      <c r="Q840" s="5"/>
      <c r="R840" s="5"/>
      <c r="S840" s="5"/>
      <c r="T840" s="24"/>
      <c r="U840" s="3" t="b">
        <v>0</v>
      </c>
      <c r="V840" s="5"/>
    </row>
    <row r="841" spans="1:22" ht="45" customHeight="1">
      <c r="A841" s="3" t="s">
        <v>148</v>
      </c>
      <c r="B841" s="5"/>
      <c r="C841" s="6"/>
      <c r="D841" s="3"/>
      <c r="E841" s="5"/>
      <c r="F841" s="20">
        <f>LEN(G841)</f>
        <v>0</v>
      </c>
      <c r="G841" s="5"/>
      <c r="H841" s="24"/>
      <c r="I841" s="5"/>
      <c r="J841" s="5"/>
      <c r="K841" s="5"/>
      <c r="L841" s="3" t="s">
        <v>155</v>
      </c>
      <c r="M841" s="5"/>
      <c r="N841" s="4"/>
      <c r="O841" s="5"/>
      <c r="P841" s="5"/>
      <c r="Q841" s="5"/>
      <c r="R841" s="5"/>
      <c r="S841" s="5"/>
      <c r="T841" s="24"/>
      <c r="U841" s="3" t="b">
        <v>0</v>
      </c>
      <c r="V841" s="5"/>
    </row>
    <row r="842" spans="1:22" ht="45" customHeight="1">
      <c r="A842" s="3" t="s">
        <v>148</v>
      </c>
      <c r="B842" s="5"/>
      <c r="C842" s="6"/>
      <c r="D842" s="3"/>
      <c r="E842" s="5"/>
      <c r="F842" s="20">
        <f>LEN(G842)</f>
        <v>0</v>
      </c>
      <c r="G842" s="5"/>
      <c r="H842" s="24"/>
      <c r="I842" s="5"/>
      <c r="J842" s="5"/>
      <c r="K842" s="5"/>
      <c r="L842" s="3" t="s">
        <v>155</v>
      </c>
      <c r="M842" s="5"/>
      <c r="N842" s="4"/>
      <c r="O842" s="5"/>
      <c r="P842" s="5"/>
      <c r="Q842" s="5"/>
      <c r="R842" s="5"/>
      <c r="S842" s="5"/>
      <c r="T842" s="24"/>
      <c r="U842" s="3" t="b">
        <v>0</v>
      </c>
      <c r="V842" s="5"/>
    </row>
    <row r="843" spans="1:22" ht="45" customHeight="1">
      <c r="A843" s="3" t="s">
        <v>148</v>
      </c>
      <c r="B843" s="5"/>
      <c r="C843" s="6"/>
      <c r="D843" s="3"/>
      <c r="E843" s="5"/>
      <c r="F843" s="20">
        <f>LEN(G843)</f>
        <v>0</v>
      </c>
      <c r="G843" s="5"/>
      <c r="H843" s="24"/>
      <c r="I843" s="5"/>
      <c r="J843" s="5"/>
      <c r="K843" s="5"/>
      <c r="L843" s="3" t="s">
        <v>155</v>
      </c>
      <c r="M843" s="5"/>
      <c r="N843" s="4"/>
      <c r="O843" s="5"/>
      <c r="P843" s="5"/>
      <c r="Q843" s="5"/>
      <c r="R843" s="5"/>
      <c r="S843" s="5"/>
      <c r="T843" s="24"/>
      <c r="U843" s="3" t="b">
        <v>0</v>
      </c>
      <c r="V843" s="5"/>
    </row>
    <row r="844" spans="1:22" ht="45" customHeight="1">
      <c r="A844" s="3" t="s">
        <v>148</v>
      </c>
      <c r="B844" s="5"/>
      <c r="C844" s="6"/>
      <c r="D844" s="3"/>
      <c r="E844" s="5"/>
      <c r="F844" s="20">
        <f>LEN(G844)</f>
        <v>0</v>
      </c>
      <c r="G844" s="5"/>
      <c r="H844" s="24"/>
      <c r="I844" s="5"/>
      <c r="J844" s="5"/>
      <c r="K844" s="5"/>
      <c r="L844" s="3" t="s">
        <v>155</v>
      </c>
      <c r="M844" s="5"/>
      <c r="N844" s="4"/>
      <c r="O844" s="5"/>
      <c r="P844" s="5"/>
      <c r="Q844" s="5"/>
      <c r="R844" s="5"/>
      <c r="S844" s="5"/>
      <c r="T844" s="24"/>
      <c r="U844" s="3" t="b">
        <v>0</v>
      </c>
      <c r="V844" s="5"/>
    </row>
    <row r="845" spans="1:22" ht="45" customHeight="1">
      <c r="A845" s="3" t="s">
        <v>148</v>
      </c>
      <c r="B845" s="5"/>
      <c r="C845" s="6"/>
      <c r="D845" s="3"/>
      <c r="E845" s="5"/>
      <c r="F845" s="20">
        <f>LEN(G845)</f>
        <v>0</v>
      </c>
      <c r="G845" s="5"/>
      <c r="H845" s="24"/>
      <c r="I845" s="5"/>
      <c r="J845" s="5"/>
      <c r="K845" s="5"/>
      <c r="L845" s="3" t="s">
        <v>155</v>
      </c>
      <c r="M845" s="5"/>
      <c r="N845" s="4"/>
      <c r="O845" s="5"/>
      <c r="P845" s="5"/>
      <c r="Q845" s="5"/>
      <c r="R845" s="5"/>
      <c r="S845" s="5"/>
      <c r="T845" s="24"/>
      <c r="U845" s="3" t="b">
        <v>0</v>
      </c>
      <c r="V845" s="5"/>
    </row>
    <row r="846" spans="1:22" ht="45" customHeight="1">
      <c r="A846" s="3" t="s">
        <v>148</v>
      </c>
      <c r="B846" s="5"/>
      <c r="C846" s="6"/>
      <c r="D846" s="3"/>
      <c r="E846" s="5"/>
      <c r="F846" s="20">
        <f>LEN(G846)</f>
        <v>0</v>
      </c>
      <c r="G846" s="5"/>
      <c r="H846" s="24"/>
      <c r="I846" s="5"/>
      <c r="J846" s="5"/>
      <c r="K846" s="5"/>
      <c r="L846" s="3" t="s">
        <v>155</v>
      </c>
      <c r="M846" s="5"/>
      <c r="N846" s="4"/>
      <c r="O846" s="5"/>
      <c r="P846" s="5"/>
      <c r="Q846" s="5"/>
      <c r="R846" s="5"/>
      <c r="S846" s="5"/>
      <c r="T846" s="24"/>
      <c r="U846" s="3" t="b">
        <v>0</v>
      </c>
      <c r="V846" s="5"/>
    </row>
    <row r="847" spans="1:22" ht="45" customHeight="1">
      <c r="A847" s="3" t="s">
        <v>148</v>
      </c>
      <c r="B847" s="5"/>
      <c r="C847" s="6"/>
      <c r="D847" s="3"/>
      <c r="E847" s="5"/>
      <c r="F847" s="20">
        <f>LEN(G847)</f>
        <v>0</v>
      </c>
      <c r="G847" s="5"/>
      <c r="H847" s="24"/>
      <c r="I847" s="5"/>
      <c r="J847" s="5"/>
      <c r="K847" s="5"/>
      <c r="L847" s="3" t="s">
        <v>155</v>
      </c>
      <c r="M847" s="5"/>
      <c r="N847" s="4"/>
      <c r="O847" s="5"/>
      <c r="P847" s="5"/>
      <c r="Q847" s="5"/>
      <c r="R847" s="5"/>
      <c r="S847" s="5"/>
      <c r="T847" s="24"/>
      <c r="U847" s="3" t="b">
        <v>0</v>
      </c>
      <c r="V847" s="5"/>
    </row>
    <row r="848" spans="1:22" ht="45" customHeight="1">
      <c r="A848" s="3" t="s">
        <v>148</v>
      </c>
      <c r="B848" s="5"/>
      <c r="C848" s="6"/>
      <c r="D848" s="3"/>
      <c r="E848" s="5"/>
      <c r="F848" s="20">
        <f>LEN(G848)</f>
        <v>0</v>
      </c>
      <c r="G848" s="5"/>
      <c r="H848" s="24"/>
      <c r="I848" s="5"/>
      <c r="J848" s="5"/>
      <c r="K848" s="5"/>
      <c r="L848" s="3" t="s">
        <v>155</v>
      </c>
      <c r="M848" s="5"/>
      <c r="N848" s="4"/>
      <c r="O848" s="5"/>
      <c r="P848" s="5"/>
      <c r="Q848" s="5"/>
      <c r="R848" s="5"/>
      <c r="S848" s="5"/>
      <c r="T848" s="24"/>
      <c r="U848" s="3" t="b">
        <v>0</v>
      </c>
      <c r="V848" s="5"/>
    </row>
    <row r="849" spans="1:22" ht="45" customHeight="1">
      <c r="A849" s="3" t="s">
        <v>148</v>
      </c>
      <c r="B849" s="5"/>
      <c r="C849" s="6"/>
      <c r="D849" s="3"/>
      <c r="E849" s="5"/>
      <c r="F849" s="20">
        <f>LEN(G849)</f>
        <v>0</v>
      </c>
      <c r="G849" s="5"/>
      <c r="H849" s="24"/>
      <c r="I849" s="5"/>
      <c r="J849" s="5"/>
      <c r="K849" s="5"/>
      <c r="L849" s="3" t="s">
        <v>155</v>
      </c>
      <c r="M849" s="5"/>
      <c r="N849" s="4"/>
      <c r="O849" s="5"/>
      <c r="P849" s="5"/>
      <c r="Q849" s="5"/>
      <c r="R849" s="5"/>
      <c r="S849" s="5"/>
      <c r="T849" s="24"/>
      <c r="U849" s="3" t="b">
        <v>0</v>
      </c>
      <c r="V849" s="5"/>
    </row>
    <row r="850" spans="1:22" ht="45" customHeight="1">
      <c r="A850" s="3" t="s">
        <v>148</v>
      </c>
      <c r="B850" s="5"/>
      <c r="C850" s="6"/>
      <c r="D850" s="3"/>
      <c r="E850" s="5"/>
      <c r="F850" s="20">
        <f>LEN(G850)</f>
        <v>0</v>
      </c>
      <c r="G850" s="5"/>
      <c r="H850" s="24"/>
      <c r="I850" s="5"/>
      <c r="J850" s="5"/>
      <c r="K850" s="5"/>
      <c r="L850" s="3" t="s">
        <v>155</v>
      </c>
      <c r="M850" s="5"/>
      <c r="N850" s="4"/>
      <c r="O850" s="5"/>
      <c r="P850" s="5"/>
      <c r="Q850" s="5"/>
      <c r="R850" s="5"/>
      <c r="S850" s="5"/>
      <c r="T850" s="24"/>
      <c r="U850" s="3" t="b">
        <v>0</v>
      </c>
      <c r="V850" s="5"/>
    </row>
    <row r="851" spans="1:22" ht="45" customHeight="1">
      <c r="A851" s="3" t="s">
        <v>148</v>
      </c>
      <c r="B851" s="5"/>
      <c r="C851" s="6"/>
      <c r="D851" s="3"/>
      <c r="E851" s="5"/>
      <c r="F851" s="20">
        <f>LEN(G851)</f>
        <v>0</v>
      </c>
      <c r="G851" s="5"/>
      <c r="H851" s="24"/>
      <c r="I851" s="5"/>
      <c r="J851" s="5"/>
      <c r="K851" s="5"/>
      <c r="L851" s="3" t="s">
        <v>155</v>
      </c>
      <c r="M851" s="5"/>
      <c r="N851" s="4"/>
      <c r="O851" s="5"/>
      <c r="P851" s="5"/>
      <c r="Q851" s="5"/>
      <c r="R851" s="5"/>
      <c r="S851" s="5"/>
      <c r="T851" s="24"/>
      <c r="U851" s="3" t="b">
        <v>0</v>
      </c>
      <c r="V851" s="5"/>
    </row>
    <row r="852" spans="1:22" ht="45" customHeight="1">
      <c r="A852" s="3" t="s">
        <v>148</v>
      </c>
      <c r="B852" s="5"/>
      <c r="C852" s="6"/>
      <c r="D852" s="3"/>
      <c r="E852" s="5"/>
      <c r="F852" s="20">
        <f>LEN(G852)</f>
        <v>0</v>
      </c>
      <c r="G852" s="5"/>
      <c r="H852" s="24"/>
      <c r="I852" s="5"/>
      <c r="J852" s="5"/>
      <c r="K852" s="5"/>
      <c r="L852" s="3" t="s">
        <v>155</v>
      </c>
      <c r="M852" s="5"/>
      <c r="N852" s="4"/>
      <c r="O852" s="5"/>
      <c r="P852" s="5"/>
      <c r="Q852" s="5"/>
      <c r="R852" s="5"/>
      <c r="S852" s="5"/>
      <c r="T852" s="24"/>
      <c r="U852" s="3" t="b">
        <v>0</v>
      </c>
      <c r="V852" s="5"/>
    </row>
    <row r="853" spans="1:22" ht="45" customHeight="1">
      <c r="A853" s="3" t="s">
        <v>148</v>
      </c>
      <c r="B853" s="5"/>
      <c r="C853" s="6"/>
      <c r="D853" s="3"/>
      <c r="E853" s="5"/>
      <c r="F853" s="20">
        <f>LEN(G853)</f>
        <v>0</v>
      </c>
      <c r="G853" s="5"/>
      <c r="H853" s="24"/>
      <c r="I853" s="5"/>
      <c r="J853" s="5"/>
      <c r="K853" s="5"/>
      <c r="L853" s="3" t="s">
        <v>155</v>
      </c>
      <c r="M853" s="5"/>
      <c r="N853" s="4"/>
      <c r="O853" s="5"/>
      <c r="P853" s="5"/>
      <c r="Q853" s="5"/>
      <c r="R853" s="5"/>
      <c r="S853" s="5"/>
      <c r="T853" s="24"/>
      <c r="U853" s="3" t="b">
        <v>0</v>
      </c>
      <c r="V853" s="5"/>
    </row>
    <row r="854" spans="1:22" ht="45" customHeight="1">
      <c r="A854" s="3" t="s">
        <v>148</v>
      </c>
      <c r="B854" s="5"/>
      <c r="C854" s="6"/>
      <c r="D854" s="3"/>
      <c r="E854" s="5"/>
      <c r="F854" s="20">
        <f>LEN(G854)</f>
        <v>0</v>
      </c>
      <c r="G854" s="5"/>
      <c r="H854" s="24"/>
      <c r="I854" s="5"/>
      <c r="J854" s="5"/>
      <c r="K854" s="5"/>
      <c r="L854" s="3" t="s">
        <v>155</v>
      </c>
      <c r="M854" s="5"/>
      <c r="N854" s="4"/>
      <c r="O854" s="5"/>
      <c r="P854" s="5"/>
      <c r="Q854" s="5"/>
      <c r="R854" s="5"/>
      <c r="S854" s="5"/>
      <c r="T854" s="24"/>
      <c r="U854" s="3" t="b">
        <v>0</v>
      </c>
      <c r="V854" s="5"/>
    </row>
    <row r="855" spans="1:22" ht="45" customHeight="1">
      <c r="A855" s="3" t="s">
        <v>148</v>
      </c>
      <c r="B855" s="5"/>
      <c r="C855" s="6"/>
      <c r="D855" s="3"/>
      <c r="E855" s="5"/>
      <c r="F855" s="20">
        <f>LEN(G855)</f>
        <v>0</v>
      </c>
      <c r="G855" s="5"/>
      <c r="H855" s="24"/>
      <c r="I855" s="5"/>
      <c r="J855" s="5"/>
      <c r="K855" s="5"/>
      <c r="L855" s="3" t="s">
        <v>155</v>
      </c>
      <c r="M855" s="5"/>
      <c r="N855" s="4"/>
      <c r="O855" s="5"/>
      <c r="P855" s="5"/>
      <c r="Q855" s="5"/>
      <c r="R855" s="5"/>
      <c r="S855" s="5"/>
      <c r="T855" s="24"/>
      <c r="U855" s="3" t="b">
        <v>0</v>
      </c>
      <c r="V855" s="5"/>
    </row>
    <row r="856" spans="1:22" ht="45" customHeight="1">
      <c r="A856" s="3" t="s">
        <v>148</v>
      </c>
      <c r="B856" s="5"/>
      <c r="C856" s="6"/>
      <c r="D856" s="3"/>
      <c r="E856" s="5"/>
      <c r="F856" s="20">
        <f>LEN(G856)</f>
        <v>0</v>
      </c>
      <c r="G856" s="5"/>
      <c r="H856" s="24"/>
      <c r="I856" s="5"/>
      <c r="J856" s="5"/>
      <c r="K856" s="5"/>
      <c r="L856" s="3" t="s">
        <v>155</v>
      </c>
      <c r="M856" s="5"/>
      <c r="N856" s="4"/>
      <c r="O856" s="5"/>
      <c r="P856" s="5"/>
      <c r="Q856" s="5"/>
      <c r="R856" s="5"/>
      <c r="S856" s="5"/>
      <c r="T856" s="24"/>
      <c r="U856" s="3" t="b">
        <v>0</v>
      </c>
      <c r="V856" s="5"/>
    </row>
    <row r="857" spans="1:22" ht="45" customHeight="1">
      <c r="A857" s="3" t="s">
        <v>148</v>
      </c>
      <c r="B857" s="5"/>
      <c r="C857" s="6"/>
      <c r="D857" s="3"/>
      <c r="E857" s="5"/>
      <c r="F857" s="20">
        <f>LEN(G857)</f>
        <v>0</v>
      </c>
      <c r="G857" s="5"/>
      <c r="H857" s="24"/>
      <c r="I857" s="5"/>
      <c r="J857" s="5"/>
      <c r="K857" s="5"/>
      <c r="L857" s="3" t="s">
        <v>155</v>
      </c>
      <c r="M857" s="5"/>
      <c r="N857" s="4"/>
      <c r="O857" s="5"/>
      <c r="P857" s="5"/>
      <c r="Q857" s="5"/>
      <c r="R857" s="5"/>
      <c r="S857" s="5"/>
      <c r="T857" s="24"/>
      <c r="U857" s="3" t="b">
        <v>0</v>
      </c>
      <c r="V857" s="5"/>
    </row>
    <row r="858" spans="1:22" ht="45" customHeight="1">
      <c r="A858" s="3" t="s">
        <v>148</v>
      </c>
      <c r="B858" s="5"/>
      <c r="C858" s="6"/>
      <c r="D858" s="3"/>
      <c r="E858" s="5"/>
      <c r="F858" s="20">
        <f>LEN(G858)</f>
        <v>0</v>
      </c>
      <c r="G858" s="5"/>
      <c r="H858" s="24"/>
      <c r="I858" s="5"/>
      <c r="J858" s="5"/>
      <c r="K858" s="5"/>
      <c r="L858" s="3" t="s">
        <v>155</v>
      </c>
      <c r="M858" s="5"/>
      <c r="N858" s="4"/>
      <c r="O858" s="5"/>
      <c r="P858" s="5"/>
      <c r="Q858" s="5"/>
      <c r="R858" s="5"/>
      <c r="S858" s="5"/>
      <c r="T858" s="24"/>
      <c r="U858" s="3" t="b">
        <v>0</v>
      </c>
      <c r="V858" s="5"/>
    </row>
    <row r="859" spans="1:22" ht="45" customHeight="1">
      <c r="A859" s="3" t="s">
        <v>148</v>
      </c>
      <c r="B859" s="5"/>
      <c r="C859" s="6"/>
      <c r="D859" s="3"/>
      <c r="E859" s="5"/>
      <c r="F859" s="20">
        <f>LEN(G859)</f>
        <v>0</v>
      </c>
      <c r="G859" s="5"/>
      <c r="H859" s="24"/>
      <c r="I859" s="5"/>
      <c r="J859" s="5"/>
      <c r="K859" s="5"/>
      <c r="L859" s="3" t="s">
        <v>155</v>
      </c>
      <c r="M859" s="5"/>
      <c r="N859" s="4"/>
      <c r="O859" s="5"/>
      <c r="P859" s="5"/>
      <c r="Q859" s="5"/>
      <c r="R859" s="5"/>
      <c r="S859" s="5"/>
      <c r="T859" s="24"/>
      <c r="U859" s="3" t="b">
        <v>0</v>
      </c>
      <c r="V859" s="5"/>
    </row>
    <row r="860" spans="1:22" ht="45" customHeight="1">
      <c r="A860" s="3" t="s">
        <v>148</v>
      </c>
      <c r="B860" s="5"/>
      <c r="C860" s="6"/>
      <c r="D860" s="3"/>
      <c r="E860" s="5"/>
      <c r="F860" s="20">
        <f>LEN(G860)</f>
        <v>0</v>
      </c>
      <c r="G860" s="5"/>
      <c r="H860" s="24"/>
      <c r="I860" s="5"/>
      <c r="J860" s="5"/>
      <c r="K860" s="5"/>
      <c r="L860" s="3" t="s">
        <v>155</v>
      </c>
      <c r="M860" s="5"/>
      <c r="N860" s="4"/>
      <c r="O860" s="5"/>
      <c r="P860" s="5"/>
      <c r="Q860" s="5"/>
      <c r="R860" s="5"/>
      <c r="S860" s="5"/>
      <c r="T860" s="24"/>
      <c r="U860" s="3" t="b">
        <v>0</v>
      </c>
      <c r="V860" s="5"/>
    </row>
    <row r="861" spans="1:22" ht="45" customHeight="1">
      <c r="A861" s="3" t="s">
        <v>148</v>
      </c>
      <c r="B861" s="5"/>
      <c r="C861" s="6"/>
      <c r="D861" s="3"/>
      <c r="E861" s="5"/>
      <c r="F861" s="20">
        <f>LEN(G861)</f>
        <v>0</v>
      </c>
      <c r="G861" s="5"/>
      <c r="H861" s="24"/>
      <c r="I861" s="5"/>
      <c r="J861" s="5"/>
      <c r="K861" s="5"/>
      <c r="L861" s="3" t="s">
        <v>155</v>
      </c>
      <c r="M861" s="5"/>
      <c r="N861" s="4"/>
      <c r="O861" s="5"/>
      <c r="P861" s="5"/>
      <c r="Q861" s="5"/>
      <c r="R861" s="5"/>
      <c r="S861" s="5"/>
      <c r="T861" s="24"/>
      <c r="U861" s="3" t="b">
        <v>0</v>
      </c>
      <c r="V861" s="5"/>
    </row>
    <row r="862" spans="1:22" ht="45" customHeight="1">
      <c r="A862" s="3" t="s">
        <v>148</v>
      </c>
      <c r="B862" s="5"/>
      <c r="C862" s="6"/>
      <c r="D862" s="3"/>
      <c r="E862" s="5"/>
      <c r="F862" s="20">
        <f>LEN(G862)</f>
        <v>0</v>
      </c>
      <c r="G862" s="5"/>
      <c r="H862" s="24"/>
      <c r="I862" s="5"/>
      <c r="J862" s="5"/>
      <c r="K862" s="5"/>
      <c r="L862" s="3" t="s">
        <v>155</v>
      </c>
      <c r="M862" s="5"/>
      <c r="N862" s="4"/>
      <c r="O862" s="5"/>
      <c r="P862" s="5"/>
      <c r="Q862" s="5"/>
      <c r="R862" s="5"/>
      <c r="S862" s="5"/>
      <c r="T862" s="24"/>
      <c r="U862" s="3" t="b">
        <v>0</v>
      </c>
      <c r="V862" s="5"/>
    </row>
    <row r="863" spans="1:22" ht="45" customHeight="1">
      <c r="A863" s="3" t="s">
        <v>148</v>
      </c>
      <c r="B863" s="5"/>
      <c r="C863" s="6"/>
      <c r="D863" s="3"/>
      <c r="E863" s="5"/>
      <c r="F863" s="20">
        <f>LEN(G863)</f>
        <v>0</v>
      </c>
      <c r="G863" s="5"/>
      <c r="H863" s="24"/>
      <c r="I863" s="5"/>
      <c r="J863" s="5"/>
      <c r="K863" s="5"/>
      <c r="L863" s="3" t="s">
        <v>155</v>
      </c>
      <c r="M863" s="5"/>
      <c r="N863" s="4"/>
      <c r="O863" s="5"/>
      <c r="P863" s="5"/>
      <c r="Q863" s="5"/>
      <c r="R863" s="5"/>
      <c r="S863" s="5"/>
      <c r="T863" s="24"/>
      <c r="U863" s="3" t="b">
        <v>0</v>
      </c>
      <c r="V863" s="5"/>
    </row>
    <row r="864" spans="1:22" ht="45" customHeight="1">
      <c r="A864" s="3" t="s">
        <v>148</v>
      </c>
      <c r="B864" s="5"/>
      <c r="C864" s="6"/>
      <c r="D864" s="3"/>
      <c r="E864" s="5"/>
      <c r="F864" s="20">
        <f>LEN(G864)</f>
        <v>0</v>
      </c>
      <c r="G864" s="5"/>
      <c r="H864" s="24"/>
      <c r="I864" s="5"/>
      <c r="J864" s="5"/>
      <c r="K864" s="5"/>
      <c r="L864" s="3" t="s">
        <v>155</v>
      </c>
      <c r="M864" s="5"/>
      <c r="N864" s="4"/>
      <c r="O864" s="5"/>
      <c r="P864" s="5"/>
      <c r="Q864" s="5"/>
      <c r="R864" s="5"/>
      <c r="S864" s="5"/>
      <c r="T864" s="24"/>
      <c r="U864" s="3" t="b">
        <v>0</v>
      </c>
      <c r="V864" s="5"/>
    </row>
    <row r="865" spans="1:22" ht="45" customHeight="1">
      <c r="A865" s="3" t="s">
        <v>148</v>
      </c>
      <c r="B865" s="5"/>
      <c r="C865" s="6"/>
      <c r="D865" s="3"/>
      <c r="E865" s="5"/>
      <c r="F865" s="20">
        <f>LEN(G865)</f>
        <v>0</v>
      </c>
      <c r="G865" s="5"/>
      <c r="H865" s="24"/>
      <c r="I865" s="5"/>
      <c r="J865" s="5"/>
      <c r="K865" s="5"/>
      <c r="L865" s="3" t="s">
        <v>155</v>
      </c>
      <c r="M865" s="5"/>
      <c r="N865" s="4"/>
      <c r="O865" s="5"/>
      <c r="P865" s="5"/>
      <c r="Q865" s="5"/>
      <c r="R865" s="5"/>
      <c r="S865" s="5"/>
      <c r="T865" s="24"/>
      <c r="U865" s="3" t="b">
        <v>0</v>
      </c>
      <c r="V865" s="5"/>
    </row>
    <row r="866" spans="1:22" ht="45" customHeight="1">
      <c r="A866" s="5"/>
      <c r="B866" s="5"/>
      <c r="C866" s="6"/>
      <c r="D866" s="3"/>
      <c r="E866" s="5"/>
      <c r="F866" s="20">
        <f>LEN(G866)</f>
        <v>0</v>
      </c>
      <c r="G866" s="5"/>
      <c r="H866" s="24"/>
      <c r="I866" s="5"/>
      <c r="J866" s="5"/>
      <c r="K866" s="5"/>
      <c r="L866" s="3" t="s">
        <v>155</v>
      </c>
      <c r="M866" s="5"/>
      <c r="N866" s="4"/>
      <c r="O866" s="5"/>
      <c r="P866" s="5"/>
      <c r="Q866" s="5"/>
      <c r="R866" s="5"/>
      <c r="S866" s="5"/>
      <c r="T866" s="24"/>
      <c r="U866" s="3" t="b">
        <v>0</v>
      </c>
      <c r="V866" s="5"/>
    </row>
    <row r="867" spans="1:22" ht="45" customHeight="1">
      <c r="A867" s="3" t="s">
        <v>148</v>
      </c>
      <c r="B867" s="5"/>
      <c r="C867" s="6"/>
      <c r="D867" s="3"/>
      <c r="E867" s="5"/>
      <c r="F867" s="20">
        <f>LEN(G867)</f>
        <v>0</v>
      </c>
      <c r="G867" s="5"/>
      <c r="H867" s="24"/>
      <c r="I867" s="5"/>
      <c r="J867" s="5"/>
      <c r="K867" s="5"/>
      <c r="L867" s="3" t="s">
        <v>155</v>
      </c>
      <c r="M867" s="5"/>
      <c r="N867" s="4"/>
      <c r="O867" s="5"/>
      <c r="P867" s="5"/>
      <c r="Q867" s="5"/>
      <c r="R867" s="5"/>
      <c r="S867" s="5"/>
      <c r="T867" s="24"/>
      <c r="U867" s="3" t="b">
        <v>0</v>
      </c>
      <c r="V867" s="5"/>
    </row>
    <row r="868" spans="1:22" ht="45" customHeight="1">
      <c r="A868" s="3" t="s">
        <v>148</v>
      </c>
      <c r="B868" s="5"/>
      <c r="C868" s="6"/>
      <c r="D868" s="3"/>
      <c r="E868" s="5"/>
      <c r="F868" s="20">
        <f>LEN(G868)</f>
        <v>0</v>
      </c>
      <c r="G868" s="5"/>
      <c r="H868" s="24"/>
      <c r="I868" s="5"/>
      <c r="J868" s="5"/>
      <c r="K868" s="5"/>
      <c r="L868" s="3" t="s">
        <v>155</v>
      </c>
      <c r="M868" s="5"/>
      <c r="N868" s="4"/>
      <c r="O868" s="5"/>
      <c r="P868" s="5"/>
      <c r="Q868" s="5"/>
      <c r="R868" s="5"/>
      <c r="S868" s="5"/>
      <c r="T868" s="24"/>
      <c r="U868" s="3" t="b">
        <v>0</v>
      </c>
      <c r="V868" s="5"/>
    </row>
    <row r="869" spans="1:22" ht="45" customHeight="1">
      <c r="A869" s="3" t="s">
        <v>148</v>
      </c>
      <c r="B869" s="5"/>
      <c r="C869" s="6"/>
      <c r="D869" s="3"/>
      <c r="E869" s="5"/>
      <c r="F869" s="20">
        <f>LEN(G869)</f>
        <v>0</v>
      </c>
      <c r="G869" s="5"/>
      <c r="H869" s="24"/>
      <c r="I869" s="5"/>
      <c r="J869" s="5"/>
      <c r="K869" s="5"/>
      <c r="L869" s="3" t="s">
        <v>155</v>
      </c>
      <c r="M869" s="5"/>
      <c r="N869" s="4"/>
      <c r="O869" s="5"/>
      <c r="P869" s="5"/>
      <c r="Q869" s="5"/>
      <c r="R869" s="5"/>
      <c r="S869" s="5"/>
      <c r="T869" s="24"/>
      <c r="U869" s="3" t="b">
        <v>0</v>
      </c>
      <c r="V869" s="5"/>
    </row>
    <row r="870" spans="1:22" ht="45" customHeight="1">
      <c r="A870" s="3" t="s">
        <v>148</v>
      </c>
      <c r="B870" s="5"/>
      <c r="C870" s="6"/>
      <c r="D870" s="3"/>
      <c r="E870" s="5"/>
      <c r="F870" s="20">
        <f>LEN(G870)</f>
        <v>0</v>
      </c>
      <c r="G870" s="5"/>
      <c r="H870" s="24"/>
      <c r="I870" s="5"/>
      <c r="J870" s="5"/>
      <c r="K870" s="5"/>
      <c r="L870" s="3" t="s">
        <v>155</v>
      </c>
      <c r="M870" s="5"/>
      <c r="N870" s="4"/>
      <c r="O870" s="5"/>
      <c r="P870" s="5"/>
      <c r="Q870" s="5"/>
      <c r="R870" s="5"/>
      <c r="S870" s="5"/>
      <c r="T870" s="24"/>
      <c r="U870" s="3" t="b">
        <v>0</v>
      </c>
      <c r="V870" s="5"/>
    </row>
    <row r="871" spans="1:22" ht="45" customHeight="1">
      <c r="A871" s="3" t="s">
        <v>148</v>
      </c>
      <c r="B871" s="5"/>
      <c r="C871" s="6"/>
      <c r="D871" s="3"/>
      <c r="E871" s="5"/>
      <c r="F871" s="20">
        <f>LEN(G871)</f>
        <v>0</v>
      </c>
      <c r="G871" s="5"/>
      <c r="H871" s="24"/>
      <c r="I871" s="5"/>
      <c r="J871" s="5"/>
      <c r="K871" s="5"/>
      <c r="L871" s="3" t="s">
        <v>155</v>
      </c>
      <c r="M871" s="5"/>
      <c r="N871" s="4"/>
      <c r="O871" s="5"/>
      <c r="P871" s="5"/>
      <c r="Q871" s="5"/>
      <c r="R871" s="5"/>
      <c r="S871" s="5"/>
      <c r="T871" s="24"/>
      <c r="U871" s="3" t="b">
        <v>0</v>
      </c>
      <c r="V871" s="5"/>
    </row>
    <row r="872" spans="1:22" ht="45" customHeight="1">
      <c r="A872" s="3" t="s">
        <v>148</v>
      </c>
      <c r="B872" s="5"/>
      <c r="C872" s="6"/>
      <c r="D872" s="3"/>
      <c r="E872" s="5"/>
      <c r="F872" s="20">
        <f>LEN(G872)</f>
        <v>0</v>
      </c>
      <c r="G872" s="5"/>
      <c r="H872" s="24"/>
      <c r="I872" s="5"/>
      <c r="J872" s="5"/>
      <c r="K872" s="5"/>
      <c r="L872" s="3" t="s">
        <v>155</v>
      </c>
      <c r="M872" s="5"/>
      <c r="N872" s="4"/>
      <c r="O872" s="5"/>
      <c r="P872" s="5"/>
      <c r="Q872" s="5"/>
      <c r="R872" s="5"/>
      <c r="S872" s="5"/>
      <c r="T872" s="24"/>
      <c r="U872" s="3" t="b">
        <v>0</v>
      </c>
      <c r="V872" s="5"/>
    </row>
    <row r="873" spans="1:22" ht="45" customHeight="1">
      <c r="A873" s="3" t="s">
        <v>148</v>
      </c>
      <c r="B873" s="5"/>
      <c r="C873" s="6"/>
      <c r="D873" s="3"/>
      <c r="E873" s="5"/>
      <c r="F873" s="20">
        <f>LEN(G873)</f>
        <v>0</v>
      </c>
      <c r="G873" s="5"/>
      <c r="H873" s="24"/>
      <c r="I873" s="5"/>
      <c r="J873" s="5"/>
      <c r="K873" s="5"/>
      <c r="L873" s="3" t="s">
        <v>155</v>
      </c>
      <c r="M873" s="5"/>
      <c r="N873" s="4"/>
      <c r="O873" s="5"/>
      <c r="P873" s="5"/>
      <c r="Q873" s="5"/>
      <c r="R873" s="5"/>
      <c r="S873" s="5"/>
      <c r="T873" s="24"/>
      <c r="U873" s="3" t="b">
        <v>0</v>
      </c>
      <c r="V873" s="5"/>
    </row>
    <row r="874" spans="1:22" ht="45" customHeight="1">
      <c r="A874" s="3" t="s">
        <v>148</v>
      </c>
      <c r="B874" s="5"/>
      <c r="C874" s="6"/>
      <c r="D874" s="3"/>
      <c r="E874" s="5"/>
      <c r="F874" s="20">
        <f>LEN(G874)</f>
        <v>0</v>
      </c>
      <c r="G874" s="5"/>
      <c r="H874" s="24"/>
      <c r="I874" s="5"/>
      <c r="J874" s="5"/>
      <c r="K874" s="5"/>
      <c r="L874" s="3" t="s">
        <v>155</v>
      </c>
      <c r="M874" s="5"/>
      <c r="N874" s="4"/>
      <c r="O874" s="5"/>
      <c r="P874" s="5"/>
      <c r="Q874" s="5"/>
      <c r="R874" s="5"/>
      <c r="S874" s="5"/>
      <c r="T874" s="24"/>
      <c r="U874" s="3" t="b">
        <v>0</v>
      </c>
      <c r="V874" s="5"/>
    </row>
    <row r="875" spans="1:22" ht="45" customHeight="1">
      <c r="A875" s="3" t="s">
        <v>148</v>
      </c>
      <c r="B875" s="5"/>
      <c r="C875" s="6"/>
      <c r="D875" s="3"/>
      <c r="E875" s="5"/>
      <c r="F875" s="20">
        <f>LEN(G875)</f>
        <v>0</v>
      </c>
      <c r="G875" s="5"/>
      <c r="H875" s="24"/>
      <c r="I875" s="5"/>
      <c r="J875" s="5"/>
      <c r="K875" s="5"/>
      <c r="L875" s="3" t="s">
        <v>155</v>
      </c>
      <c r="M875" s="5"/>
      <c r="N875" s="4"/>
      <c r="O875" s="5"/>
      <c r="P875" s="5"/>
      <c r="Q875" s="5"/>
      <c r="R875" s="5"/>
      <c r="S875" s="5"/>
      <c r="T875" s="24"/>
      <c r="U875" s="3" t="b">
        <v>0</v>
      </c>
      <c r="V875" s="5"/>
    </row>
    <row r="876" spans="1:22" ht="45" customHeight="1">
      <c r="A876" s="3" t="s">
        <v>148</v>
      </c>
      <c r="B876" s="5"/>
      <c r="C876" s="6"/>
      <c r="D876" s="3"/>
      <c r="E876" s="5"/>
      <c r="F876" s="20">
        <f>LEN(G876)</f>
        <v>0</v>
      </c>
      <c r="G876" s="5"/>
      <c r="H876" s="24"/>
      <c r="I876" s="5"/>
      <c r="J876" s="5"/>
      <c r="K876" s="5"/>
      <c r="L876" s="3" t="s">
        <v>155</v>
      </c>
      <c r="M876" s="5"/>
      <c r="N876" s="4"/>
      <c r="O876" s="5"/>
      <c r="P876" s="5"/>
      <c r="Q876" s="5"/>
      <c r="R876" s="5"/>
      <c r="S876" s="5"/>
      <c r="T876" s="24"/>
      <c r="U876" s="3" t="b">
        <v>0</v>
      </c>
      <c r="V876" s="5"/>
    </row>
    <row r="877" spans="1:22" ht="45" customHeight="1">
      <c r="A877" s="3" t="s">
        <v>148</v>
      </c>
      <c r="B877" s="5"/>
      <c r="C877" s="6"/>
      <c r="D877" s="3"/>
      <c r="E877" s="5"/>
      <c r="F877" s="20">
        <f>LEN(G877)</f>
        <v>0</v>
      </c>
      <c r="G877" s="5"/>
      <c r="H877" s="24"/>
      <c r="I877" s="5"/>
      <c r="J877" s="5"/>
      <c r="K877" s="5"/>
      <c r="L877" s="3" t="s">
        <v>155</v>
      </c>
      <c r="M877" s="5"/>
      <c r="N877" s="4"/>
      <c r="O877" s="5"/>
      <c r="P877" s="5"/>
      <c r="Q877" s="5"/>
      <c r="R877" s="5"/>
      <c r="S877" s="5"/>
      <c r="T877" s="24"/>
      <c r="U877" s="3" t="b">
        <v>0</v>
      </c>
      <c r="V877" s="5"/>
    </row>
    <row r="878" spans="1:22" ht="45" customHeight="1">
      <c r="A878" s="3" t="s">
        <v>148</v>
      </c>
      <c r="B878" s="5"/>
      <c r="C878" s="6"/>
      <c r="D878" s="3"/>
      <c r="E878" s="5"/>
      <c r="F878" s="20">
        <f>LEN(G878)</f>
        <v>0</v>
      </c>
      <c r="G878" s="5"/>
      <c r="H878" s="24"/>
      <c r="I878" s="5"/>
      <c r="J878" s="5"/>
      <c r="K878" s="5"/>
      <c r="L878" s="3" t="s">
        <v>155</v>
      </c>
      <c r="M878" s="5"/>
      <c r="N878" s="4"/>
      <c r="O878" s="5"/>
      <c r="P878" s="5"/>
      <c r="Q878" s="5"/>
      <c r="R878" s="5"/>
      <c r="S878" s="5"/>
      <c r="T878" s="24"/>
      <c r="U878" s="3" t="b">
        <v>0</v>
      </c>
      <c r="V878" s="5"/>
    </row>
    <row r="879" spans="1:22" ht="45" customHeight="1">
      <c r="A879" s="3" t="s">
        <v>148</v>
      </c>
      <c r="B879" s="5"/>
      <c r="C879" s="6"/>
      <c r="D879" s="3"/>
      <c r="E879" s="5"/>
      <c r="F879" s="20">
        <f>LEN(G879)</f>
        <v>0</v>
      </c>
      <c r="G879" s="5"/>
      <c r="H879" s="24"/>
      <c r="I879" s="5"/>
      <c r="J879" s="5"/>
      <c r="K879" s="5"/>
      <c r="L879" s="3" t="s">
        <v>155</v>
      </c>
      <c r="M879" s="5"/>
      <c r="N879" s="4"/>
      <c r="O879" s="5"/>
      <c r="P879" s="5"/>
      <c r="Q879" s="5"/>
      <c r="R879" s="5"/>
      <c r="S879" s="5"/>
      <c r="T879" s="24"/>
      <c r="U879" s="3" t="b">
        <v>0</v>
      </c>
      <c r="V879" s="5"/>
    </row>
    <row r="880" spans="1:22" ht="45" customHeight="1">
      <c r="A880" s="3" t="s">
        <v>148</v>
      </c>
      <c r="B880" s="5"/>
      <c r="C880" s="6"/>
      <c r="D880" s="3"/>
      <c r="E880" s="5"/>
      <c r="F880" s="20">
        <f>LEN(G880)</f>
        <v>0</v>
      </c>
      <c r="G880" s="5"/>
      <c r="H880" s="24"/>
      <c r="I880" s="5"/>
      <c r="J880" s="5"/>
      <c r="K880" s="5"/>
      <c r="L880" s="3" t="s">
        <v>155</v>
      </c>
      <c r="M880" s="5"/>
      <c r="N880" s="4"/>
      <c r="O880" s="5"/>
      <c r="P880" s="5"/>
      <c r="Q880" s="5"/>
      <c r="R880" s="5"/>
      <c r="S880" s="5"/>
      <c r="T880" s="24"/>
      <c r="U880" s="3" t="b">
        <v>0</v>
      </c>
      <c r="V880" s="5"/>
    </row>
    <row r="881" spans="1:22" ht="45" customHeight="1">
      <c r="A881" s="3" t="s">
        <v>148</v>
      </c>
      <c r="B881" s="5"/>
      <c r="C881" s="6"/>
      <c r="D881" s="3"/>
      <c r="E881" s="5"/>
      <c r="F881" s="20">
        <f>LEN(G881)</f>
        <v>0</v>
      </c>
      <c r="G881" s="5"/>
      <c r="H881" s="24"/>
      <c r="I881" s="5"/>
      <c r="J881" s="5"/>
      <c r="K881" s="5"/>
      <c r="L881" s="3" t="s">
        <v>155</v>
      </c>
      <c r="M881" s="5"/>
      <c r="N881" s="4"/>
      <c r="O881" s="5"/>
      <c r="P881" s="5"/>
      <c r="Q881" s="5"/>
      <c r="R881" s="5"/>
      <c r="S881" s="5"/>
      <c r="T881" s="24"/>
      <c r="U881" s="3" t="b">
        <v>0</v>
      </c>
      <c r="V881" s="5"/>
    </row>
    <row r="882" spans="1:22" ht="45" customHeight="1">
      <c r="A882" s="3" t="s">
        <v>148</v>
      </c>
      <c r="B882" s="5"/>
      <c r="C882" s="6"/>
      <c r="D882" s="3"/>
      <c r="E882" s="5"/>
      <c r="F882" s="20">
        <f>LEN(G882)</f>
        <v>0</v>
      </c>
      <c r="G882" s="5"/>
      <c r="H882" s="24"/>
      <c r="I882" s="5"/>
      <c r="J882" s="5"/>
      <c r="K882" s="5"/>
      <c r="L882" s="3" t="s">
        <v>155</v>
      </c>
      <c r="M882" s="5"/>
      <c r="N882" s="4"/>
      <c r="O882" s="5"/>
      <c r="P882" s="5"/>
      <c r="Q882" s="5"/>
      <c r="R882" s="5"/>
      <c r="S882" s="5"/>
      <c r="T882" s="24"/>
      <c r="U882" s="3" t="b">
        <v>0</v>
      </c>
      <c r="V882" s="5"/>
    </row>
    <row r="883" spans="1:22" ht="45" customHeight="1">
      <c r="A883" s="3" t="s">
        <v>148</v>
      </c>
      <c r="B883" s="5"/>
      <c r="C883" s="6"/>
      <c r="D883" s="3"/>
      <c r="E883" s="5"/>
      <c r="F883" s="20">
        <f>LEN(G883)</f>
        <v>0</v>
      </c>
      <c r="G883" s="5"/>
      <c r="H883" s="24"/>
      <c r="I883" s="5"/>
      <c r="J883" s="5"/>
      <c r="K883" s="5"/>
      <c r="L883" s="3" t="s">
        <v>155</v>
      </c>
      <c r="M883" s="5"/>
      <c r="N883" s="4"/>
      <c r="O883" s="5"/>
      <c r="P883" s="5"/>
      <c r="Q883" s="5"/>
      <c r="R883" s="5"/>
      <c r="S883" s="5"/>
      <c r="T883" s="24"/>
      <c r="U883" s="3" t="b">
        <v>0</v>
      </c>
      <c r="V883" s="5"/>
    </row>
    <row r="884" spans="1:22" ht="45" customHeight="1">
      <c r="A884" s="3" t="s">
        <v>148</v>
      </c>
      <c r="B884" s="5"/>
      <c r="C884" s="6"/>
      <c r="D884" s="3"/>
      <c r="E884" s="5"/>
      <c r="F884" s="20">
        <f>LEN(G884)</f>
        <v>0</v>
      </c>
      <c r="G884" s="5"/>
      <c r="H884" s="24"/>
      <c r="I884" s="5"/>
      <c r="J884" s="5"/>
      <c r="K884" s="5"/>
      <c r="L884" s="3" t="s">
        <v>155</v>
      </c>
      <c r="M884" s="5"/>
      <c r="N884" s="4"/>
      <c r="O884" s="5"/>
      <c r="P884" s="5"/>
      <c r="Q884" s="5"/>
      <c r="R884" s="5"/>
      <c r="S884" s="5"/>
      <c r="T884" s="24"/>
      <c r="U884" s="3" t="b">
        <v>0</v>
      </c>
      <c r="V884" s="5"/>
    </row>
    <row r="885" spans="1:22" ht="45" customHeight="1">
      <c r="A885" s="3" t="s">
        <v>148</v>
      </c>
      <c r="B885" s="5"/>
      <c r="C885" s="6"/>
      <c r="D885" s="3"/>
      <c r="E885" s="5"/>
      <c r="F885" s="20">
        <f>LEN(G885)</f>
        <v>0</v>
      </c>
      <c r="G885" s="5"/>
      <c r="H885" s="24"/>
      <c r="I885" s="5"/>
      <c r="J885" s="5"/>
      <c r="K885" s="5"/>
      <c r="L885" s="3" t="s">
        <v>155</v>
      </c>
      <c r="M885" s="5"/>
      <c r="N885" s="4"/>
      <c r="O885" s="5"/>
      <c r="P885" s="5"/>
      <c r="Q885" s="5"/>
      <c r="R885" s="5"/>
      <c r="S885" s="5"/>
      <c r="T885" s="24"/>
      <c r="U885" s="3" t="b">
        <v>0</v>
      </c>
      <c r="V885" s="5"/>
    </row>
    <row r="886" spans="1:22" ht="45" customHeight="1">
      <c r="A886" s="3" t="s">
        <v>148</v>
      </c>
      <c r="B886" s="5"/>
      <c r="C886" s="6"/>
      <c r="D886" s="3"/>
      <c r="E886" s="5"/>
      <c r="F886" s="20">
        <f>LEN(G886)</f>
        <v>0</v>
      </c>
      <c r="G886" s="5"/>
      <c r="H886" s="24"/>
      <c r="I886" s="5"/>
      <c r="J886" s="5"/>
      <c r="K886" s="5"/>
      <c r="L886" s="3" t="s">
        <v>155</v>
      </c>
      <c r="M886" s="5"/>
      <c r="N886" s="4"/>
      <c r="O886" s="5"/>
      <c r="P886" s="5"/>
      <c r="Q886" s="5"/>
      <c r="R886" s="5"/>
      <c r="S886" s="5"/>
      <c r="T886" s="24"/>
      <c r="U886" s="3" t="b">
        <v>0</v>
      </c>
      <c r="V886" s="5"/>
    </row>
    <row r="887" spans="1:22" ht="45" customHeight="1">
      <c r="A887" s="3" t="s">
        <v>148</v>
      </c>
      <c r="B887" s="5"/>
      <c r="C887" s="6"/>
      <c r="D887" s="3"/>
      <c r="E887" s="5"/>
      <c r="F887" s="20">
        <f>LEN(G887)</f>
        <v>0</v>
      </c>
      <c r="G887" s="5"/>
      <c r="H887" s="24"/>
      <c r="I887" s="5"/>
      <c r="J887" s="5"/>
      <c r="K887" s="5"/>
      <c r="L887" s="3" t="s">
        <v>155</v>
      </c>
      <c r="M887" s="5"/>
      <c r="N887" s="4"/>
      <c r="O887" s="5"/>
      <c r="P887" s="5"/>
      <c r="Q887" s="5"/>
      <c r="R887" s="5"/>
      <c r="S887" s="5"/>
      <c r="T887" s="24"/>
      <c r="U887" s="3" t="b">
        <v>0</v>
      </c>
      <c r="V887" s="5"/>
    </row>
    <row r="888" spans="1:22" ht="45" customHeight="1">
      <c r="A888" s="3" t="s">
        <v>148</v>
      </c>
      <c r="B888" s="5"/>
      <c r="C888" s="6"/>
      <c r="D888" s="3"/>
      <c r="E888" s="5"/>
      <c r="F888" s="20">
        <f>LEN(G888)</f>
        <v>0</v>
      </c>
      <c r="G888" s="5"/>
      <c r="H888" s="24"/>
      <c r="I888" s="5"/>
      <c r="J888" s="5"/>
      <c r="K888" s="5"/>
      <c r="L888" s="3" t="s">
        <v>155</v>
      </c>
      <c r="M888" s="5"/>
      <c r="N888" s="4"/>
      <c r="O888" s="5"/>
      <c r="P888" s="5"/>
      <c r="Q888" s="5"/>
      <c r="R888" s="5"/>
      <c r="S888" s="5"/>
      <c r="T888" s="24"/>
      <c r="U888" s="3" t="b">
        <v>0</v>
      </c>
      <c r="V888" s="5"/>
    </row>
    <row r="889" spans="1:22" ht="45" customHeight="1">
      <c r="A889" s="3" t="s">
        <v>148</v>
      </c>
      <c r="B889" s="5"/>
      <c r="C889" s="6"/>
      <c r="D889" s="3"/>
      <c r="E889" s="5"/>
      <c r="F889" s="20">
        <f>LEN(G889)</f>
        <v>0</v>
      </c>
      <c r="G889" s="5"/>
      <c r="H889" s="24"/>
      <c r="I889" s="5"/>
      <c r="J889" s="5"/>
      <c r="K889" s="5"/>
      <c r="L889" s="3" t="s">
        <v>155</v>
      </c>
      <c r="M889" s="5"/>
      <c r="N889" s="4"/>
      <c r="O889" s="5"/>
      <c r="P889" s="5"/>
      <c r="Q889" s="5"/>
      <c r="R889" s="5"/>
      <c r="S889" s="5"/>
      <c r="T889" s="24"/>
      <c r="U889" s="3" t="b">
        <v>0</v>
      </c>
      <c r="V889" s="5"/>
    </row>
    <row r="890" spans="1:22" ht="45" customHeight="1">
      <c r="A890" s="3" t="s">
        <v>148</v>
      </c>
      <c r="B890" s="5"/>
      <c r="C890" s="6"/>
      <c r="D890" s="3"/>
      <c r="E890" s="5"/>
      <c r="F890" s="20">
        <f>LEN(G890)</f>
        <v>0</v>
      </c>
      <c r="G890" s="5"/>
      <c r="H890" s="24"/>
      <c r="I890" s="5"/>
      <c r="J890" s="5"/>
      <c r="K890" s="5"/>
      <c r="L890" s="3" t="s">
        <v>155</v>
      </c>
      <c r="M890" s="5"/>
      <c r="N890" s="4"/>
      <c r="O890" s="5"/>
      <c r="P890" s="5"/>
      <c r="Q890" s="5"/>
      <c r="R890" s="5"/>
      <c r="S890" s="5"/>
      <c r="T890" s="24"/>
      <c r="U890" s="3" t="b">
        <v>0</v>
      </c>
      <c r="V890" s="5"/>
    </row>
    <row r="891" spans="1:22" ht="45" customHeight="1">
      <c r="A891" s="3" t="s">
        <v>148</v>
      </c>
      <c r="B891" s="5"/>
      <c r="C891" s="6"/>
      <c r="D891" s="3"/>
      <c r="E891" s="5"/>
      <c r="F891" s="20">
        <f>LEN(G891)</f>
        <v>0</v>
      </c>
      <c r="G891" s="5"/>
      <c r="H891" s="24"/>
      <c r="I891" s="5"/>
      <c r="J891" s="5"/>
      <c r="K891" s="5"/>
      <c r="L891" s="3" t="s">
        <v>155</v>
      </c>
      <c r="M891" s="5"/>
      <c r="N891" s="4"/>
      <c r="O891" s="5"/>
      <c r="P891" s="5"/>
      <c r="Q891" s="5"/>
      <c r="R891" s="5"/>
      <c r="S891" s="5"/>
      <c r="T891" s="24"/>
      <c r="U891" s="3" t="b">
        <v>0</v>
      </c>
      <c r="V891" s="5"/>
    </row>
    <row r="892" spans="1:22" ht="45" customHeight="1">
      <c r="A892" s="3" t="s">
        <v>148</v>
      </c>
      <c r="B892" s="5"/>
      <c r="C892" s="6"/>
      <c r="D892" s="3"/>
      <c r="E892" s="5"/>
      <c r="F892" s="20">
        <f>LEN(G892)</f>
        <v>0</v>
      </c>
      <c r="G892" s="5"/>
      <c r="H892" s="24"/>
      <c r="I892" s="5"/>
      <c r="J892" s="5"/>
      <c r="K892" s="5"/>
      <c r="L892" s="3" t="s">
        <v>155</v>
      </c>
      <c r="M892" s="5"/>
      <c r="N892" s="4"/>
      <c r="O892" s="5"/>
      <c r="P892" s="5"/>
      <c r="Q892" s="5"/>
      <c r="R892" s="5"/>
      <c r="S892" s="5"/>
      <c r="T892" s="24"/>
      <c r="U892" s="3" t="b">
        <v>0</v>
      </c>
      <c r="V892" s="5"/>
    </row>
    <row r="893" spans="1:22" ht="45" customHeight="1">
      <c r="A893" s="3" t="s">
        <v>148</v>
      </c>
      <c r="B893" s="5"/>
      <c r="C893" s="6"/>
      <c r="D893" s="3"/>
      <c r="E893" s="5"/>
      <c r="F893" s="20">
        <f>LEN(G893)</f>
        <v>0</v>
      </c>
      <c r="G893" s="5"/>
      <c r="H893" s="24"/>
      <c r="I893" s="5"/>
      <c r="J893" s="5"/>
      <c r="K893" s="5"/>
      <c r="L893" s="3" t="s">
        <v>155</v>
      </c>
      <c r="M893" s="5"/>
      <c r="N893" s="4"/>
      <c r="O893" s="5"/>
      <c r="P893" s="5"/>
      <c r="Q893" s="5"/>
      <c r="R893" s="5"/>
      <c r="S893" s="5"/>
      <c r="T893" s="24"/>
      <c r="U893" s="3" t="b">
        <v>0</v>
      </c>
      <c r="V893" s="5"/>
    </row>
    <row r="894" spans="1:22" ht="45" customHeight="1">
      <c r="A894" s="3" t="s">
        <v>148</v>
      </c>
      <c r="B894" s="5"/>
      <c r="C894" s="6"/>
      <c r="D894" s="3"/>
      <c r="E894" s="5"/>
      <c r="F894" s="20">
        <f>LEN(G894)</f>
        <v>0</v>
      </c>
      <c r="G894" s="5"/>
      <c r="H894" s="24"/>
      <c r="I894" s="5"/>
      <c r="J894" s="5"/>
      <c r="K894" s="5"/>
      <c r="L894" s="3" t="s">
        <v>155</v>
      </c>
      <c r="M894" s="5"/>
      <c r="N894" s="4"/>
      <c r="O894" s="5"/>
      <c r="P894" s="5"/>
      <c r="Q894" s="5"/>
      <c r="R894" s="5"/>
      <c r="S894" s="5"/>
      <c r="T894" s="24"/>
      <c r="U894" s="3" t="b">
        <v>0</v>
      </c>
      <c r="V894" s="5"/>
    </row>
    <row r="895" spans="1:22" ht="45" customHeight="1">
      <c r="A895" s="3" t="s">
        <v>148</v>
      </c>
      <c r="B895" s="5"/>
      <c r="C895" s="6"/>
      <c r="D895" s="3"/>
      <c r="E895" s="5"/>
      <c r="F895" s="20">
        <f>LEN(G895)</f>
        <v>0</v>
      </c>
      <c r="G895" s="5"/>
      <c r="H895" s="24"/>
      <c r="I895" s="5"/>
      <c r="J895" s="5"/>
      <c r="K895" s="5"/>
      <c r="L895" s="3" t="s">
        <v>155</v>
      </c>
      <c r="M895" s="5"/>
      <c r="N895" s="4"/>
      <c r="O895" s="5"/>
      <c r="P895" s="5"/>
      <c r="Q895" s="5"/>
      <c r="R895" s="5"/>
      <c r="S895" s="5"/>
      <c r="T895" s="24"/>
      <c r="U895" s="3" t="b">
        <v>0</v>
      </c>
      <c r="V895" s="5"/>
    </row>
    <row r="896" spans="1:22" ht="45" customHeight="1">
      <c r="A896" s="3" t="s">
        <v>148</v>
      </c>
      <c r="B896" s="5"/>
      <c r="C896" s="6"/>
      <c r="D896" s="3"/>
      <c r="E896" s="5"/>
      <c r="F896" s="20">
        <f>LEN(G896)</f>
        <v>0</v>
      </c>
      <c r="G896" s="5"/>
      <c r="H896" s="24"/>
      <c r="I896" s="5"/>
      <c r="J896" s="5"/>
      <c r="K896" s="5"/>
      <c r="L896" s="3" t="s">
        <v>155</v>
      </c>
      <c r="M896" s="5"/>
      <c r="N896" s="4"/>
      <c r="O896" s="5"/>
      <c r="P896" s="5"/>
      <c r="Q896" s="5"/>
      <c r="R896" s="5"/>
      <c r="S896" s="5"/>
      <c r="T896" s="24"/>
      <c r="U896" s="3" t="b">
        <v>0</v>
      </c>
      <c r="V896" s="5"/>
    </row>
    <row r="897" spans="1:22" ht="45" customHeight="1">
      <c r="A897" s="3" t="s">
        <v>148</v>
      </c>
      <c r="B897" s="5"/>
      <c r="C897" s="6"/>
      <c r="D897" s="3"/>
      <c r="E897" s="5"/>
      <c r="F897" s="20">
        <f>LEN(G897)</f>
        <v>0</v>
      </c>
      <c r="G897" s="5"/>
      <c r="H897" s="24"/>
      <c r="I897" s="5"/>
      <c r="J897" s="5"/>
      <c r="K897" s="5"/>
      <c r="L897" s="3" t="s">
        <v>155</v>
      </c>
      <c r="M897" s="5"/>
      <c r="N897" s="4"/>
      <c r="O897" s="5"/>
      <c r="P897" s="5"/>
      <c r="Q897" s="5"/>
      <c r="R897" s="5"/>
      <c r="S897" s="5"/>
      <c r="T897" s="24"/>
      <c r="U897" s="3" t="b">
        <v>0</v>
      </c>
      <c r="V897" s="5"/>
    </row>
    <row r="898" spans="1:22" ht="45" customHeight="1">
      <c r="A898" s="3" t="s">
        <v>148</v>
      </c>
      <c r="B898" s="5"/>
      <c r="C898" s="6"/>
      <c r="D898" s="3"/>
      <c r="E898" s="5"/>
      <c r="F898" s="20">
        <f>LEN(G898)</f>
        <v>0</v>
      </c>
      <c r="G898" s="5"/>
      <c r="H898" s="24"/>
      <c r="I898" s="5"/>
      <c r="J898" s="5"/>
      <c r="K898" s="5"/>
      <c r="L898" s="3" t="s">
        <v>155</v>
      </c>
      <c r="M898" s="5"/>
      <c r="N898" s="4"/>
      <c r="O898" s="5"/>
      <c r="P898" s="5"/>
      <c r="Q898" s="5"/>
      <c r="R898" s="5"/>
      <c r="S898" s="5"/>
      <c r="T898" s="24"/>
      <c r="U898" s="3" t="b">
        <v>0</v>
      </c>
      <c r="V898" s="5"/>
    </row>
    <row r="899" spans="1:22" ht="45" customHeight="1">
      <c r="A899" s="3" t="s">
        <v>148</v>
      </c>
      <c r="B899" s="5"/>
      <c r="C899" s="6"/>
      <c r="D899" s="3"/>
      <c r="E899" s="5"/>
      <c r="F899" s="20">
        <f>LEN(G899)</f>
        <v>0</v>
      </c>
      <c r="G899" s="5"/>
      <c r="H899" s="24"/>
      <c r="I899" s="5"/>
      <c r="J899" s="5"/>
      <c r="K899" s="5"/>
      <c r="L899" s="3" t="s">
        <v>155</v>
      </c>
      <c r="M899" s="5"/>
      <c r="N899" s="4"/>
      <c r="O899" s="5"/>
      <c r="P899" s="5"/>
      <c r="Q899" s="5"/>
      <c r="R899" s="5"/>
      <c r="S899" s="5"/>
      <c r="T899" s="24"/>
      <c r="U899" s="3" t="b">
        <v>0</v>
      </c>
      <c r="V899" s="5"/>
    </row>
    <row r="900" spans="1:22" ht="45" customHeight="1">
      <c r="A900" s="3" t="s">
        <v>148</v>
      </c>
      <c r="B900" s="5"/>
      <c r="C900" s="6"/>
      <c r="D900" s="3"/>
      <c r="E900" s="5"/>
      <c r="F900" s="20">
        <f>LEN(G900)</f>
        <v>0</v>
      </c>
      <c r="G900" s="5"/>
      <c r="H900" s="24"/>
      <c r="I900" s="5"/>
      <c r="J900" s="5"/>
      <c r="K900" s="5"/>
      <c r="L900" s="3" t="s">
        <v>155</v>
      </c>
      <c r="M900" s="5"/>
      <c r="N900" s="4"/>
      <c r="O900" s="5"/>
      <c r="P900" s="5"/>
      <c r="Q900" s="5"/>
      <c r="R900" s="5"/>
      <c r="S900" s="5"/>
      <c r="T900" s="24"/>
      <c r="U900" s="3" t="b">
        <v>0</v>
      </c>
      <c r="V900" s="5"/>
    </row>
    <row r="901" spans="1:22" ht="45" customHeight="1">
      <c r="A901" s="3" t="s">
        <v>148</v>
      </c>
      <c r="B901" s="5"/>
      <c r="C901" s="6"/>
      <c r="D901" s="3"/>
      <c r="E901" s="5"/>
      <c r="F901" s="20">
        <f>LEN(G901)</f>
        <v>0</v>
      </c>
      <c r="G901" s="5"/>
      <c r="H901" s="24"/>
      <c r="I901" s="5"/>
      <c r="J901" s="5"/>
      <c r="K901" s="5"/>
      <c r="L901" s="3" t="s">
        <v>155</v>
      </c>
      <c r="M901" s="5"/>
      <c r="N901" s="4"/>
      <c r="O901" s="5"/>
      <c r="P901" s="5"/>
      <c r="Q901" s="5"/>
      <c r="R901" s="5"/>
      <c r="S901" s="5"/>
      <c r="T901" s="24"/>
      <c r="U901" s="3" t="b">
        <v>0</v>
      </c>
      <c r="V901" s="5"/>
    </row>
    <row r="902" spans="1:22" ht="45" customHeight="1">
      <c r="A902" s="3" t="s">
        <v>148</v>
      </c>
      <c r="B902" s="5"/>
      <c r="C902" s="6"/>
      <c r="D902" s="3"/>
      <c r="E902" s="5"/>
      <c r="F902" s="20">
        <f>LEN(G902)</f>
        <v>0</v>
      </c>
      <c r="G902" s="5"/>
      <c r="H902" s="24"/>
      <c r="I902" s="5"/>
      <c r="J902" s="5"/>
      <c r="K902" s="5"/>
      <c r="L902" s="3" t="s">
        <v>155</v>
      </c>
      <c r="M902" s="5"/>
      <c r="N902" s="4"/>
      <c r="O902" s="5"/>
      <c r="P902" s="5"/>
      <c r="Q902" s="5"/>
      <c r="R902" s="5"/>
      <c r="S902" s="5"/>
      <c r="T902" s="24"/>
      <c r="U902" s="3" t="b">
        <v>0</v>
      </c>
      <c r="V902" s="5"/>
    </row>
    <row r="903" spans="1:22" ht="45" customHeight="1">
      <c r="A903" s="3" t="s">
        <v>148</v>
      </c>
      <c r="B903" s="5"/>
      <c r="C903" s="6"/>
      <c r="D903" s="3"/>
      <c r="E903" s="5"/>
      <c r="F903" s="20">
        <f>LEN(G903)</f>
        <v>0</v>
      </c>
      <c r="G903" s="5"/>
      <c r="H903" s="24"/>
      <c r="I903" s="5"/>
      <c r="J903" s="5"/>
      <c r="K903" s="5"/>
      <c r="L903" s="3" t="s">
        <v>155</v>
      </c>
      <c r="M903" s="5"/>
      <c r="N903" s="4"/>
      <c r="O903" s="5"/>
      <c r="P903" s="5"/>
      <c r="Q903" s="5"/>
      <c r="R903" s="5"/>
      <c r="S903" s="5"/>
      <c r="T903" s="24"/>
      <c r="U903" s="3" t="b">
        <v>0</v>
      </c>
      <c r="V903" s="5"/>
    </row>
    <row r="904" spans="1:22" ht="45" customHeight="1">
      <c r="A904" s="3" t="s">
        <v>148</v>
      </c>
      <c r="B904" s="5"/>
      <c r="C904" s="6"/>
      <c r="D904" s="3"/>
      <c r="E904" s="5"/>
      <c r="F904" s="20">
        <f>LEN(G904)</f>
        <v>0</v>
      </c>
      <c r="G904" s="5"/>
      <c r="H904" s="24"/>
      <c r="I904" s="5"/>
      <c r="J904" s="5"/>
      <c r="K904" s="5"/>
      <c r="L904" s="3" t="s">
        <v>155</v>
      </c>
      <c r="M904" s="5"/>
      <c r="N904" s="4"/>
      <c r="O904" s="5"/>
      <c r="P904" s="5"/>
      <c r="Q904" s="5"/>
      <c r="R904" s="5"/>
      <c r="S904" s="5"/>
      <c r="T904" s="24"/>
      <c r="U904" s="3" t="b">
        <v>0</v>
      </c>
      <c r="V904" s="5"/>
    </row>
    <row r="905" spans="1:22" ht="45" customHeight="1">
      <c r="A905" s="3" t="s">
        <v>148</v>
      </c>
      <c r="B905" s="5"/>
      <c r="C905" s="6"/>
      <c r="D905" s="3"/>
      <c r="E905" s="5"/>
      <c r="F905" s="20">
        <f>LEN(G905)</f>
        <v>0</v>
      </c>
      <c r="G905" s="5"/>
      <c r="H905" s="24"/>
      <c r="I905" s="5"/>
      <c r="J905" s="5"/>
      <c r="K905" s="5"/>
      <c r="L905" s="3" t="s">
        <v>155</v>
      </c>
      <c r="M905" s="5"/>
      <c r="N905" s="4"/>
      <c r="O905" s="5"/>
      <c r="P905" s="5"/>
      <c r="Q905" s="5"/>
      <c r="R905" s="5"/>
      <c r="S905" s="5"/>
      <c r="T905" s="24"/>
      <c r="U905" s="3" t="b">
        <v>0</v>
      </c>
      <c r="V905" s="5"/>
    </row>
    <row r="906" spans="1:22" ht="45" customHeight="1">
      <c r="A906" s="3" t="s">
        <v>148</v>
      </c>
      <c r="B906" s="5"/>
      <c r="C906" s="6"/>
      <c r="D906" s="3"/>
      <c r="E906" s="5"/>
      <c r="F906" s="20">
        <f>LEN(G906)</f>
        <v>0</v>
      </c>
      <c r="G906" s="5"/>
      <c r="H906" s="24"/>
      <c r="I906" s="5"/>
      <c r="J906" s="5"/>
      <c r="K906" s="5"/>
      <c r="L906" s="3" t="s">
        <v>155</v>
      </c>
      <c r="M906" s="5"/>
      <c r="N906" s="4"/>
      <c r="O906" s="5"/>
      <c r="P906" s="5"/>
      <c r="Q906" s="5"/>
      <c r="R906" s="5"/>
      <c r="S906" s="5"/>
      <c r="T906" s="24"/>
      <c r="U906" s="3" t="b">
        <v>0</v>
      </c>
      <c r="V906" s="5"/>
    </row>
    <row r="907" spans="1:22" ht="45" customHeight="1">
      <c r="A907" s="3" t="s">
        <v>148</v>
      </c>
      <c r="B907" s="5"/>
      <c r="C907" s="6"/>
      <c r="D907" s="3"/>
      <c r="E907" s="5"/>
      <c r="F907" s="20">
        <f>LEN(G907)</f>
        <v>0</v>
      </c>
      <c r="G907" s="5"/>
      <c r="H907" s="24"/>
      <c r="I907" s="5"/>
      <c r="J907" s="5"/>
      <c r="K907" s="5"/>
      <c r="L907" s="3" t="s">
        <v>155</v>
      </c>
      <c r="M907" s="5"/>
      <c r="N907" s="4"/>
      <c r="O907" s="5"/>
      <c r="P907" s="5"/>
      <c r="Q907" s="5"/>
      <c r="R907" s="5"/>
      <c r="S907" s="5"/>
      <c r="T907" s="24"/>
      <c r="U907" s="3" t="b">
        <v>0</v>
      </c>
      <c r="V907" s="5"/>
    </row>
    <row r="908" spans="1:22" ht="45" customHeight="1">
      <c r="A908" s="3" t="s">
        <v>148</v>
      </c>
      <c r="B908" s="5"/>
      <c r="C908" s="6"/>
      <c r="D908" s="3"/>
      <c r="E908" s="5"/>
      <c r="F908" s="20">
        <f>LEN(G908)</f>
        <v>0</v>
      </c>
      <c r="G908" s="5"/>
      <c r="H908" s="24"/>
      <c r="I908" s="5"/>
      <c r="J908" s="5"/>
      <c r="K908" s="5"/>
      <c r="L908" s="3" t="s">
        <v>155</v>
      </c>
      <c r="M908" s="5"/>
      <c r="N908" s="4"/>
      <c r="O908" s="5"/>
      <c r="P908" s="5"/>
      <c r="Q908" s="5"/>
      <c r="R908" s="5"/>
      <c r="S908" s="5"/>
      <c r="T908" s="24"/>
      <c r="U908" s="3" t="b">
        <v>0</v>
      </c>
      <c r="V908" s="5"/>
    </row>
    <row r="909" spans="1:22" ht="45" customHeight="1">
      <c r="A909" s="3" t="s">
        <v>148</v>
      </c>
      <c r="B909" s="5"/>
      <c r="C909" s="6"/>
      <c r="D909" s="3"/>
      <c r="E909" s="5"/>
      <c r="F909" s="20">
        <f>LEN(G909)</f>
        <v>0</v>
      </c>
      <c r="G909" s="5"/>
      <c r="H909" s="24"/>
      <c r="I909" s="5"/>
      <c r="J909" s="5"/>
      <c r="K909" s="5"/>
      <c r="L909" s="3" t="s">
        <v>155</v>
      </c>
      <c r="M909" s="5"/>
      <c r="N909" s="4"/>
      <c r="O909" s="5"/>
      <c r="P909" s="5"/>
      <c r="Q909" s="5"/>
      <c r="R909" s="5"/>
      <c r="S909" s="5"/>
      <c r="T909" s="24"/>
      <c r="U909" s="3" t="b">
        <v>0</v>
      </c>
      <c r="V909" s="5"/>
    </row>
    <row r="910" spans="1:22" ht="45" customHeight="1">
      <c r="A910" s="3" t="s">
        <v>148</v>
      </c>
      <c r="B910" s="5"/>
      <c r="C910" s="6"/>
      <c r="D910" s="3"/>
      <c r="E910" s="5"/>
      <c r="F910" s="20">
        <f>LEN(G910)</f>
        <v>0</v>
      </c>
      <c r="G910" s="5"/>
      <c r="H910" s="24"/>
      <c r="I910" s="5"/>
      <c r="J910" s="5"/>
      <c r="K910" s="5"/>
      <c r="L910" s="3" t="s">
        <v>155</v>
      </c>
      <c r="M910" s="5"/>
      <c r="N910" s="4"/>
      <c r="O910" s="5"/>
      <c r="P910" s="5"/>
      <c r="Q910" s="5"/>
      <c r="R910" s="5"/>
      <c r="S910" s="5"/>
      <c r="T910" s="24"/>
      <c r="U910" s="3" t="b">
        <v>0</v>
      </c>
      <c r="V910" s="5"/>
    </row>
    <row r="911" spans="1:22" ht="45" customHeight="1">
      <c r="A911" s="3" t="s">
        <v>148</v>
      </c>
      <c r="B911" s="5"/>
      <c r="C911" s="6"/>
      <c r="D911" s="3"/>
      <c r="E911" s="5"/>
      <c r="F911" s="20">
        <f>LEN(G911)</f>
        <v>0</v>
      </c>
      <c r="G911" s="5"/>
      <c r="H911" s="24"/>
      <c r="I911" s="5"/>
      <c r="J911" s="5"/>
      <c r="K911" s="5"/>
      <c r="L911" s="3" t="s">
        <v>155</v>
      </c>
      <c r="M911" s="5"/>
      <c r="N911" s="4"/>
      <c r="O911" s="5"/>
      <c r="P911" s="5"/>
      <c r="Q911" s="5"/>
      <c r="R911" s="5"/>
      <c r="S911" s="5"/>
      <c r="T911" s="24"/>
      <c r="U911" s="3" t="b">
        <v>0</v>
      </c>
      <c r="V911" s="5"/>
    </row>
    <row r="912" spans="1:22" ht="45" customHeight="1">
      <c r="A912" s="3" t="s">
        <v>148</v>
      </c>
      <c r="B912" s="5"/>
      <c r="C912" s="6"/>
      <c r="D912" s="3"/>
      <c r="E912" s="5"/>
      <c r="F912" s="20">
        <f>LEN(G912)</f>
        <v>0</v>
      </c>
      <c r="G912" s="5"/>
      <c r="H912" s="24"/>
      <c r="I912" s="5"/>
      <c r="J912" s="5"/>
      <c r="K912" s="5"/>
      <c r="L912" s="3" t="s">
        <v>155</v>
      </c>
      <c r="M912" s="5"/>
      <c r="N912" s="4"/>
      <c r="O912" s="5"/>
      <c r="P912" s="5"/>
      <c r="Q912" s="5"/>
      <c r="R912" s="5"/>
      <c r="S912" s="5"/>
      <c r="T912" s="24"/>
      <c r="U912" s="3" t="b">
        <v>0</v>
      </c>
      <c r="V912" s="5"/>
    </row>
    <row r="913" spans="1:22" ht="45" customHeight="1">
      <c r="A913" s="3" t="s">
        <v>148</v>
      </c>
      <c r="B913" s="5"/>
      <c r="C913" s="6"/>
      <c r="D913" s="3"/>
      <c r="E913" s="5"/>
      <c r="F913" s="20">
        <f>LEN(G913)</f>
        <v>0</v>
      </c>
      <c r="G913" s="5"/>
      <c r="H913" s="24"/>
      <c r="I913" s="5"/>
      <c r="J913" s="5"/>
      <c r="K913" s="5"/>
      <c r="L913" s="3" t="s">
        <v>155</v>
      </c>
      <c r="M913" s="5"/>
      <c r="N913" s="4"/>
      <c r="O913" s="5"/>
      <c r="P913" s="5"/>
      <c r="Q913" s="5"/>
      <c r="R913" s="5"/>
      <c r="S913" s="5"/>
      <c r="T913" s="24"/>
      <c r="U913" s="3" t="b">
        <v>0</v>
      </c>
      <c r="V913" s="5"/>
    </row>
    <row r="914" spans="1:22" ht="45" customHeight="1">
      <c r="A914" s="3" t="s">
        <v>148</v>
      </c>
      <c r="B914" s="5"/>
      <c r="C914" s="6"/>
      <c r="D914" s="3"/>
      <c r="E914" s="5"/>
      <c r="F914" s="20">
        <f>LEN(G914)</f>
        <v>0</v>
      </c>
      <c r="G914" s="5"/>
      <c r="H914" s="24"/>
      <c r="I914" s="5"/>
      <c r="J914" s="5"/>
      <c r="K914" s="5"/>
      <c r="L914" s="3" t="s">
        <v>155</v>
      </c>
      <c r="M914" s="5"/>
      <c r="N914" s="4"/>
      <c r="O914" s="5"/>
      <c r="P914" s="5"/>
      <c r="Q914" s="5"/>
      <c r="R914" s="5"/>
      <c r="S914" s="5"/>
      <c r="T914" s="24"/>
      <c r="U914" s="3" t="b">
        <v>0</v>
      </c>
      <c r="V914" s="5"/>
    </row>
    <row r="915" spans="1:22" ht="45" customHeight="1">
      <c r="A915" s="3" t="s">
        <v>148</v>
      </c>
      <c r="B915" s="5"/>
      <c r="C915" s="6"/>
      <c r="D915" s="3"/>
      <c r="E915" s="5"/>
      <c r="F915" s="20">
        <f>LEN(G915)</f>
        <v>0</v>
      </c>
      <c r="G915" s="5"/>
      <c r="H915" s="24"/>
      <c r="I915" s="5"/>
      <c r="J915" s="5"/>
      <c r="K915" s="5"/>
      <c r="L915" s="3" t="s">
        <v>155</v>
      </c>
      <c r="M915" s="5"/>
      <c r="N915" s="4"/>
      <c r="O915" s="5"/>
      <c r="P915" s="5"/>
      <c r="Q915" s="5"/>
      <c r="R915" s="5"/>
      <c r="S915" s="5"/>
      <c r="T915" s="24"/>
      <c r="U915" s="3" t="b">
        <v>0</v>
      </c>
      <c r="V915" s="5"/>
    </row>
    <row r="916" spans="1:22" ht="45" customHeight="1">
      <c r="A916" s="3" t="s">
        <v>148</v>
      </c>
      <c r="B916" s="5"/>
      <c r="C916" s="6"/>
      <c r="D916" s="3"/>
      <c r="E916" s="5"/>
      <c r="F916" s="20">
        <f>LEN(G916)</f>
        <v>0</v>
      </c>
      <c r="G916" s="5"/>
      <c r="H916" s="24"/>
      <c r="I916" s="5"/>
      <c r="J916" s="5"/>
      <c r="K916" s="5"/>
      <c r="L916" s="3" t="s">
        <v>155</v>
      </c>
      <c r="M916" s="5"/>
      <c r="N916" s="4"/>
      <c r="O916" s="5"/>
      <c r="P916" s="5"/>
      <c r="Q916" s="5"/>
      <c r="R916" s="5"/>
      <c r="S916" s="5"/>
      <c r="T916" s="24"/>
      <c r="U916" s="3" t="b">
        <v>0</v>
      </c>
      <c r="V916" s="5"/>
    </row>
    <row r="917" spans="1:22" ht="45" customHeight="1">
      <c r="A917" s="3" t="s">
        <v>148</v>
      </c>
      <c r="B917" s="5"/>
      <c r="C917" s="6"/>
      <c r="D917" s="3"/>
      <c r="E917" s="5"/>
      <c r="F917" s="20">
        <f>LEN(G917)</f>
        <v>0</v>
      </c>
      <c r="G917" s="5"/>
      <c r="H917" s="24"/>
      <c r="I917" s="5"/>
      <c r="J917" s="5"/>
      <c r="K917" s="5"/>
      <c r="L917" s="3" t="s">
        <v>155</v>
      </c>
      <c r="M917" s="5"/>
      <c r="N917" s="4"/>
      <c r="O917" s="5"/>
      <c r="P917" s="5"/>
      <c r="Q917" s="5"/>
      <c r="R917" s="5"/>
      <c r="S917" s="5"/>
      <c r="T917" s="24"/>
      <c r="U917" s="3" t="b">
        <v>0</v>
      </c>
      <c r="V917" s="5"/>
    </row>
    <row r="918" spans="1:22" ht="45" customHeight="1">
      <c r="A918" s="3" t="s">
        <v>148</v>
      </c>
      <c r="B918" s="5"/>
      <c r="C918" s="6"/>
      <c r="D918" s="3"/>
      <c r="E918" s="5"/>
      <c r="F918" s="20">
        <f>LEN(G918)</f>
        <v>0</v>
      </c>
      <c r="G918" s="5"/>
      <c r="H918" s="24"/>
      <c r="I918" s="5"/>
      <c r="J918" s="5"/>
      <c r="K918" s="5"/>
      <c r="L918" s="3" t="s">
        <v>155</v>
      </c>
      <c r="M918" s="5"/>
      <c r="N918" s="4"/>
      <c r="O918" s="5"/>
      <c r="P918" s="5"/>
      <c r="Q918" s="5"/>
      <c r="R918" s="5"/>
      <c r="S918" s="5"/>
      <c r="T918" s="24"/>
      <c r="U918" s="3" t="b">
        <v>0</v>
      </c>
      <c r="V918" s="5"/>
    </row>
    <row r="919" spans="1:22" ht="45" customHeight="1">
      <c r="A919" s="3" t="s">
        <v>148</v>
      </c>
      <c r="B919" s="5"/>
      <c r="C919" s="6"/>
      <c r="D919" s="3"/>
      <c r="E919" s="5"/>
      <c r="F919" s="20">
        <f>LEN(G919)</f>
        <v>0</v>
      </c>
      <c r="G919" s="5"/>
      <c r="H919" s="24"/>
      <c r="I919" s="5"/>
      <c r="J919" s="5"/>
      <c r="K919" s="5"/>
      <c r="L919" s="3" t="s">
        <v>155</v>
      </c>
      <c r="M919" s="5"/>
      <c r="N919" s="4"/>
      <c r="O919" s="5"/>
      <c r="P919" s="5"/>
      <c r="Q919" s="5"/>
      <c r="R919" s="5"/>
      <c r="S919" s="5"/>
      <c r="T919" s="24"/>
      <c r="U919" s="3" t="b">
        <v>0</v>
      </c>
      <c r="V919" s="5"/>
    </row>
    <row r="920" spans="1:22" ht="45" customHeight="1">
      <c r="A920" s="3" t="s">
        <v>148</v>
      </c>
      <c r="B920" s="5"/>
      <c r="C920" s="6"/>
      <c r="D920" s="3"/>
      <c r="E920" s="5"/>
      <c r="F920" s="20">
        <f>LEN(G920)</f>
        <v>0</v>
      </c>
      <c r="G920" s="5"/>
      <c r="H920" s="24"/>
      <c r="I920" s="5"/>
      <c r="J920" s="5"/>
      <c r="K920" s="5"/>
      <c r="L920" s="3" t="s">
        <v>155</v>
      </c>
      <c r="M920" s="5"/>
      <c r="N920" s="4"/>
      <c r="O920" s="5"/>
      <c r="P920" s="5"/>
      <c r="Q920" s="5"/>
      <c r="R920" s="5"/>
      <c r="S920" s="5"/>
      <c r="T920" s="24"/>
      <c r="U920" s="3" t="b">
        <v>0</v>
      </c>
      <c r="V920" s="5"/>
    </row>
    <row r="921" spans="1:22" ht="45" customHeight="1">
      <c r="A921" s="3" t="s">
        <v>148</v>
      </c>
      <c r="B921" s="5"/>
      <c r="C921" s="6"/>
      <c r="D921" s="3"/>
      <c r="E921" s="5"/>
      <c r="F921" s="20">
        <f>LEN(G921)</f>
        <v>0</v>
      </c>
      <c r="G921" s="5"/>
      <c r="H921" s="24"/>
      <c r="I921" s="5"/>
      <c r="J921" s="5"/>
      <c r="K921" s="5"/>
      <c r="L921" s="3" t="s">
        <v>155</v>
      </c>
      <c r="M921" s="5"/>
      <c r="N921" s="4"/>
      <c r="O921" s="5"/>
      <c r="P921" s="5"/>
      <c r="Q921" s="5"/>
      <c r="R921" s="5"/>
      <c r="S921" s="5"/>
      <c r="T921" s="24"/>
      <c r="U921" s="3" t="b">
        <v>0</v>
      </c>
      <c r="V921" s="5"/>
    </row>
    <row r="922" spans="1:22" ht="45" customHeight="1">
      <c r="A922" s="3" t="s">
        <v>148</v>
      </c>
      <c r="B922" s="5"/>
      <c r="C922" s="6"/>
      <c r="D922" s="3"/>
      <c r="E922" s="5"/>
      <c r="F922" s="20">
        <f>LEN(G922)</f>
        <v>0</v>
      </c>
      <c r="G922" s="5"/>
      <c r="H922" s="24"/>
      <c r="I922" s="5"/>
      <c r="J922" s="5"/>
      <c r="K922" s="5"/>
      <c r="L922" s="3" t="s">
        <v>155</v>
      </c>
      <c r="M922" s="5"/>
      <c r="N922" s="4"/>
      <c r="O922" s="5"/>
      <c r="P922" s="5"/>
      <c r="Q922" s="5"/>
      <c r="R922" s="5"/>
      <c r="S922" s="5"/>
      <c r="T922" s="24"/>
      <c r="U922" s="3" t="b">
        <v>0</v>
      </c>
      <c r="V922" s="5"/>
    </row>
    <row r="923" spans="1:22" ht="45" customHeight="1">
      <c r="A923" s="3" t="s">
        <v>148</v>
      </c>
      <c r="B923" s="5"/>
      <c r="C923" s="6"/>
      <c r="D923" s="3"/>
      <c r="E923" s="5"/>
      <c r="F923" s="20">
        <f>LEN(G923)</f>
        <v>0</v>
      </c>
      <c r="G923" s="5"/>
      <c r="H923" s="24"/>
      <c r="I923" s="5"/>
      <c r="J923" s="5"/>
      <c r="K923" s="5"/>
      <c r="L923" s="3" t="s">
        <v>155</v>
      </c>
      <c r="M923" s="5"/>
      <c r="N923" s="4"/>
      <c r="O923" s="5"/>
      <c r="P923" s="5"/>
      <c r="Q923" s="5"/>
      <c r="R923" s="5"/>
      <c r="S923" s="5"/>
      <c r="T923" s="24"/>
      <c r="U923" s="3" t="b">
        <v>0</v>
      </c>
      <c r="V923" s="5"/>
    </row>
    <row r="924" spans="1:22" ht="45" customHeight="1">
      <c r="A924" s="3" t="s">
        <v>148</v>
      </c>
      <c r="B924" s="5"/>
      <c r="C924" s="6"/>
      <c r="D924" s="3"/>
      <c r="E924" s="5"/>
      <c r="F924" s="20">
        <f>LEN(G924)</f>
        <v>0</v>
      </c>
      <c r="G924" s="5"/>
      <c r="H924" s="24"/>
      <c r="I924" s="5"/>
      <c r="J924" s="5"/>
      <c r="K924" s="5"/>
      <c r="L924" s="3" t="s">
        <v>155</v>
      </c>
      <c r="M924" s="5"/>
      <c r="N924" s="4"/>
      <c r="O924" s="5"/>
      <c r="P924" s="5"/>
      <c r="Q924" s="5"/>
      <c r="R924" s="5"/>
      <c r="S924" s="5"/>
      <c r="T924" s="24"/>
      <c r="U924" s="3" t="b">
        <v>0</v>
      </c>
      <c r="V924" s="5"/>
    </row>
    <row r="925" spans="1:22" ht="45" customHeight="1">
      <c r="A925" s="3" t="s">
        <v>148</v>
      </c>
      <c r="B925" s="5"/>
      <c r="C925" s="6"/>
      <c r="D925" s="3"/>
      <c r="E925" s="5"/>
      <c r="F925" s="20">
        <f>LEN(G925)</f>
        <v>0</v>
      </c>
      <c r="G925" s="5"/>
      <c r="H925" s="24"/>
      <c r="I925" s="5"/>
      <c r="J925" s="5"/>
      <c r="K925" s="5"/>
      <c r="L925" s="3" t="s">
        <v>155</v>
      </c>
      <c r="M925" s="5"/>
      <c r="N925" s="4"/>
      <c r="O925" s="5"/>
      <c r="P925" s="5"/>
      <c r="Q925" s="5"/>
      <c r="R925" s="5"/>
      <c r="S925" s="5"/>
      <c r="T925" s="24"/>
      <c r="U925" s="3" t="b">
        <v>0</v>
      </c>
      <c r="V925" s="5"/>
    </row>
    <row r="926" spans="1:22" ht="45" customHeight="1">
      <c r="A926" s="3" t="s">
        <v>148</v>
      </c>
      <c r="B926" s="5"/>
      <c r="C926" s="6"/>
      <c r="D926" s="3"/>
      <c r="E926" s="5"/>
      <c r="F926" s="20">
        <f>LEN(G926)</f>
        <v>0</v>
      </c>
      <c r="G926" s="5"/>
      <c r="H926" s="24"/>
      <c r="I926" s="5"/>
      <c r="J926" s="5"/>
      <c r="K926" s="5"/>
      <c r="L926" s="3" t="s">
        <v>155</v>
      </c>
      <c r="M926" s="5"/>
      <c r="N926" s="4"/>
      <c r="O926" s="5"/>
      <c r="P926" s="5"/>
      <c r="Q926" s="5"/>
      <c r="R926" s="5"/>
      <c r="S926" s="5"/>
      <c r="T926" s="24"/>
      <c r="U926" s="3" t="b">
        <v>0</v>
      </c>
      <c r="V926" s="5"/>
    </row>
    <row r="927" spans="1:22" ht="45" customHeight="1">
      <c r="A927" s="3" t="s">
        <v>148</v>
      </c>
      <c r="B927" s="5"/>
      <c r="C927" s="6"/>
      <c r="D927" s="3"/>
      <c r="E927" s="5"/>
      <c r="F927" s="20">
        <f>LEN(G927)</f>
        <v>0</v>
      </c>
      <c r="G927" s="5"/>
      <c r="H927" s="24"/>
      <c r="I927" s="5"/>
      <c r="J927" s="5"/>
      <c r="K927" s="5"/>
      <c r="L927" s="3" t="s">
        <v>155</v>
      </c>
      <c r="M927" s="5"/>
      <c r="N927" s="4"/>
      <c r="O927" s="5"/>
      <c r="P927" s="5"/>
      <c r="Q927" s="5"/>
      <c r="R927" s="5"/>
      <c r="S927" s="5"/>
      <c r="T927" s="24"/>
      <c r="U927" s="3" t="b">
        <v>0</v>
      </c>
      <c r="V927" s="5"/>
    </row>
    <row r="928" spans="1:22" ht="45" customHeight="1">
      <c r="A928" s="3" t="s">
        <v>148</v>
      </c>
      <c r="B928" s="5"/>
      <c r="C928" s="6"/>
      <c r="D928" s="3"/>
      <c r="E928" s="5"/>
      <c r="F928" s="20">
        <f>LEN(G928)</f>
        <v>0</v>
      </c>
      <c r="G928" s="5"/>
      <c r="H928" s="24"/>
      <c r="I928" s="5"/>
      <c r="J928" s="5"/>
      <c r="K928" s="5"/>
      <c r="L928" s="3" t="s">
        <v>155</v>
      </c>
      <c r="M928" s="5"/>
      <c r="N928" s="4"/>
      <c r="O928" s="5"/>
      <c r="P928" s="5"/>
      <c r="Q928" s="5"/>
      <c r="R928" s="5"/>
      <c r="S928" s="5"/>
      <c r="T928" s="24"/>
      <c r="U928" s="3" t="b">
        <v>0</v>
      </c>
      <c r="V928" s="5"/>
    </row>
    <row r="929" spans="1:22" ht="45" customHeight="1">
      <c r="A929" s="3" t="s">
        <v>148</v>
      </c>
      <c r="B929" s="5"/>
      <c r="C929" s="6"/>
      <c r="D929" s="3"/>
      <c r="E929" s="5"/>
      <c r="F929" s="20">
        <f>LEN(G929)</f>
        <v>0</v>
      </c>
      <c r="G929" s="5"/>
      <c r="H929" s="24"/>
      <c r="I929" s="5"/>
      <c r="J929" s="5"/>
      <c r="K929" s="5"/>
      <c r="L929" s="3" t="s">
        <v>155</v>
      </c>
      <c r="M929" s="5"/>
      <c r="N929" s="4"/>
      <c r="O929" s="5"/>
      <c r="P929" s="5"/>
      <c r="Q929" s="5"/>
      <c r="R929" s="5"/>
      <c r="S929" s="5"/>
      <c r="T929" s="24"/>
      <c r="U929" s="3" t="b">
        <v>0</v>
      </c>
      <c r="V929" s="5"/>
    </row>
    <row r="930" spans="1:22" ht="45" customHeight="1">
      <c r="A930" s="3" t="s">
        <v>148</v>
      </c>
      <c r="B930" s="5"/>
      <c r="C930" s="6"/>
      <c r="D930" s="3"/>
      <c r="E930" s="5"/>
      <c r="F930" s="20">
        <f>LEN(G930)</f>
        <v>0</v>
      </c>
      <c r="G930" s="5"/>
      <c r="H930" s="24"/>
      <c r="I930" s="5"/>
      <c r="J930" s="5"/>
      <c r="K930" s="5"/>
      <c r="L930" s="3" t="s">
        <v>155</v>
      </c>
      <c r="M930" s="5"/>
      <c r="N930" s="4"/>
      <c r="O930" s="5"/>
      <c r="P930" s="5"/>
      <c r="Q930" s="5"/>
      <c r="R930" s="5"/>
      <c r="S930" s="5"/>
      <c r="T930" s="24"/>
      <c r="U930" s="3" t="b">
        <v>0</v>
      </c>
      <c r="V930" s="5"/>
    </row>
    <row r="931" spans="1:22" ht="45" customHeight="1">
      <c r="A931" s="3" t="s">
        <v>148</v>
      </c>
      <c r="B931" s="5"/>
      <c r="C931" s="6"/>
      <c r="D931" s="3"/>
      <c r="E931" s="5"/>
      <c r="F931" s="20">
        <f>LEN(G931)</f>
        <v>0</v>
      </c>
      <c r="G931" s="5"/>
      <c r="H931" s="24"/>
      <c r="I931" s="5"/>
      <c r="J931" s="5"/>
      <c r="K931" s="5"/>
      <c r="L931" s="3" t="s">
        <v>155</v>
      </c>
      <c r="M931" s="5"/>
      <c r="N931" s="4"/>
      <c r="O931" s="5"/>
      <c r="P931" s="5"/>
      <c r="Q931" s="5"/>
      <c r="R931" s="5"/>
      <c r="S931" s="5"/>
      <c r="T931" s="24"/>
      <c r="U931" s="3" t="b">
        <v>0</v>
      </c>
      <c r="V931" s="5"/>
    </row>
    <row r="932" spans="1:22" ht="45" customHeight="1">
      <c r="A932" s="3" t="s">
        <v>148</v>
      </c>
      <c r="B932" s="5"/>
      <c r="C932" s="6"/>
      <c r="D932" s="3"/>
      <c r="E932" s="5"/>
      <c r="F932" s="20">
        <f>LEN(G932)</f>
        <v>0</v>
      </c>
      <c r="G932" s="5"/>
      <c r="H932" s="24"/>
      <c r="I932" s="5"/>
      <c r="J932" s="5"/>
      <c r="K932" s="5"/>
      <c r="L932" s="3" t="s">
        <v>155</v>
      </c>
      <c r="M932" s="5"/>
      <c r="N932" s="4"/>
      <c r="O932" s="5"/>
      <c r="P932" s="5"/>
      <c r="Q932" s="5"/>
      <c r="R932" s="5"/>
      <c r="S932" s="5"/>
      <c r="T932" s="24"/>
      <c r="U932" s="3" t="b">
        <v>0</v>
      </c>
      <c r="V932" s="5"/>
    </row>
    <row r="933" spans="1:22" ht="45" customHeight="1">
      <c r="A933" s="3" t="s">
        <v>148</v>
      </c>
      <c r="B933" s="5"/>
      <c r="C933" s="6"/>
      <c r="D933" s="3"/>
      <c r="E933" s="5"/>
      <c r="F933" s="20">
        <f>LEN(G933)</f>
        <v>0</v>
      </c>
      <c r="G933" s="5"/>
      <c r="H933" s="24"/>
      <c r="I933" s="5"/>
      <c r="J933" s="5"/>
      <c r="K933" s="5"/>
      <c r="L933" s="3" t="s">
        <v>155</v>
      </c>
      <c r="M933" s="5"/>
      <c r="N933" s="4"/>
      <c r="O933" s="5"/>
      <c r="P933" s="5"/>
      <c r="Q933" s="5"/>
      <c r="R933" s="5"/>
      <c r="S933" s="5"/>
      <c r="T933" s="24"/>
      <c r="U933" s="3" t="b">
        <v>0</v>
      </c>
      <c r="V933" s="5"/>
    </row>
    <row r="934" spans="1:22" ht="45" customHeight="1">
      <c r="A934" s="3" t="s">
        <v>148</v>
      </c>
      <c r="B934" s="5"/>
      <c r="C934" s="6"/>
      <c r="D934" s="3"/>
      <c r="E934" s="5"/>
      <c r="F934" s="20">
        <f>LEN(G934)</f>
        <v>0</v>
      </c>
      <c r="G934" s="5"/>
      <c r="H934" s="24"/>
      <c r="I934" s="5"/>
      <c r="J934" s="5"/>
      <c r="K934" s="5"/>
      <c r="L934" s="3" t="s">
        <v>155</v>
      </c>
      <c r="M934" s="5"/>
      <c r="N934" s="4"/>
      <c r="O934" s="5"/>
      <c r="P934" s="5"/>
      <c r="Q934" s="5"/>
      <c r="R934" s="5"/>
      <c r="S934" s="5"/>
      <c r="T934" s="24"/>
      <c r="U934" s="3" t="b">
        <v>0</v>
      </c>
      <c r="V934" s="5"/>
    </row>
    <row r="935" spans="1:22" ht="45" customHeight="1">
      <c r="A935" s="3" t="s">
        <v>148</v>
      </c>
      <c r="B935" s="5"/>
      <c r="C935" s="6"/>
      <c r="D935" s="3"/>
      <c r="E935" s="5"/>
      <c r="F935" s="20">
        <f>LEN(G935)</f>
        <v>0</v>
      </c>
      <c r="G935" s="5"/>
      <c r="H935" s="24"/>
      <c r="I935" s="5"/>
      <c r="J935" s="5"/>
      <c r="K935" s="5"/>
      <c r="L935" s="3" t="s">
        <v>155</v>
      </c>
      <c r="M935" s="5"/>
      <c r="N935" s="4"/>
      <c r="O935" s="5"/>
      <c r="P935" s="5"/>
      <c r="Q935" s="5"/>
      <c r="R935" s="5"/>
      <c r="S935" s="5"/>
      <c r="T935" s="24"/>
      <c r="U935" s="3" t="b">
        <v>0</v>
      </c>
      <c r="V935" s="5"/>
    </row>
    <row r="936" spans="1:22" ht="45" customHeight="1">
      <c r="A936" s="3" t="s">
        <v>148</v>
      </c>
      <c r="B936" s="5"/>
      <c r="C936" s="6"/>
      <c r="D936" s="3"/>
      <c r="E936" s="5"/>
      <c r="F936" s="20">
        <f>LEN(G936)</f>
        <v>0</v>
      </c>
      <c r="G936" s="5"/>
      <c r="H936" s="24"/>
      <c r="I936" s="5"/>
      <c r="J936" s="5"/>
      <c r="K936" s="5"/>
      <c r="L936" s="3" t="s">
        <v>155</v>
      </c>
      <c r="M936" s="5"/>
      <c r="N936" s="4"/>
      <c r="O936" s="5"/>
      <c r="P936" s="5"/>
      <c r="Q936" s="5"/>
      <c r="R936" s="5"/>
      <c r="S936" s="5"/>
      <c r="T936" s="24"/>
      <c r="U936" s="3" t="b">
        <v>0</v>
      </c>
      <c r="V936" s="5"/>
    </row>
    <row r="937" spans="1:22" ht="45" customHeight="1">
      <c r="A937" s="3" t="s">
        <v>148</v>
      </c>
      <c r="B937" s="5"/>
      <c r="C937" s="6"/>
      <c r="D937" s="3"/>
      <c r="E937" s="5"/>
      <c r="F937" s="20">
        <f>LEN(G937)</f>
        <v>0</v>
      </c>
      <c r="G937" s="5"/>
      <c r="H937" s="24"/>
      <c r="I937" s="5"/>
      <c r="J937" s="5"/>
      <c r="K937" s="5"/>
      <c r="L937" s="3" t="s">
        <v>155</v>
      </c>
      <c r="M937" s="5"/>
      <c r="N937" s="4"/>
      <c r="O937" s="5"/>
      <c r="P937" s="5"/>
      <c r="Q937" s="5"/>
      <c r="R937" s="5"/>
      <c r="S937" s="5"/>
      <c r="T937" s="24"/>
      <c r="U937" s="3" t="b">
        <v>0</v>
      </c>
      <c r="V937" s="5"/>
    </row>
    <row r="938" spans="1:22" ht="45" customHeight="1">
      <c r="A938" s="3" t="s">
        <v>148</v>
      </c>
      <c r="B938" s="5"/>
      <c r="C938" s="6"/>
      <c r="D938" s="3"/>
      <c r="E938" s="5"/>
      <c r="F938" s="20">
        <f>LEN(G938)</f>
        <v>0</v>
      </c>
      <c r="G938" s="5"/>
      <c r="H938" s="24"/>
      <c r="I938" s="5"/>
      <c r="J938" s="5"/>
      <c r="K938" s="5"/>
      <c r="L938" s="3" t="s">
        <v>155</v>
      </c>
      <c r="M938" s="5"/>
      <c r="N938" s="4"/>
      <c r="O938" s="5"/>
      <c r="P938" s="5"/>
      <c r="Q938" s="5"/>
      <c r="R938" s="5"/>
      <c r="S938" s="5"/>
      <c r="T938" s="24"/>
      <c r="U938" s="3" t="b">
        <v>0</v>
      </c>
      <c r="V938" s="5"/>
    </row>
    <row r="939" spans="1:22" ht="45" customHeight="1">
      <c r="A939" s="3" t="s">
        <v>148</v>
      </c>
      <c r="B939" s="5"/>
      <c r="C939" s="6"/>
      <c r="D939" s="3"/>
      <c r="E939" s="5"/>
      <c r="F939" s="20">
        <f>LEN(G939)</f>
        <v>0</v>
      </c>
      <c r="G939" s="5"/>
      <c r="H939" s="24"/>
      <c r="I939" s="5"/>
      <c r="J939" s="5"/>
      <c r="K939" s="5"/>
      <c r="L939" s="3" t="s">
        <v>155</v>
      </c>
      <c r="M939" s="5"/>
      <c r="N939" s="4"/>
      <c r="O939" s="5"/>
      <c r="P939" s="5"/>
      <c r="Q939" s="5"/>
      <c r="R939" s="5"/>
      <c r="S939" s="5"/>
      <c r="T939" s="24"/>
      <c r="U939" s="3" t="b">
        <v>0</v>
      </c>
      <c r="V939" s="5"/>
    </row>
    <row r="940" spans="1:22" ht="45" customHeight="1">
      <c r="A940" s="3" t="s">
        <v>148</v>
      </c>
      <c r="B940" s="5"/>
      <c r="C940" s="6"/>
      <c r="D940" s="3"/>
      <c r="E940" s="5"/>
      <c r="F940" s="20">
        <f>LEN(G940)</f>
        <v>0</v>
      </c>
      <c r="G940" s="5"/>
      <c r="H940" s="24"/>
      <c r="I940" s="5"/>
      <c r="J940" s="5"/>
      <c r="K940" s="5"/>
      <c r="L940" s="3" t="s">
        <v>155</v>
      </c>
      <c r="M940" s="5"/>
      <c r="N940" s="4"/>
      <c r="O940" s="5"/>
      <c r="P940" s="5"/>
      <c r="Q940" s="5"/>
      <c r="R940" s="5"/>
      <c r="S940" s="5"/>
      <c r="T940" s="24"/>
      <c r="U940" s="3" t="b">
        <v>0</v>
      </c>
      <c r="V940" s="5"/>
    </row>
    <row r="941" spans="1:22" ht="45" customHeight="1">
      <c r="A941" s="3" t="s">
        <v>148</v>
      </c>
      <c r="B941" s="5"/>
      <c r="C941" s="6"/>
      <c r="D941" s="3"/>
      <c r="E941" s="5"/>
      <c r="F941" s="20">
        <f>LEN(G941)</f>
        <v>0</v>
      </c>
      <c r="G941" s="5"/>
      <c r="H941" s="24"/>
      <c r="I941" s="5"/>
      <c r="J941" s="5"/>
      <c r="K941" s="5"/>
      <c r="L941" s="3" t="s">
        <v>155</v>
      </c>
      <c r="M941" s="5"/>
      <c r="N941" s="4"/>
      <c r="O941" s="5"/>
      <c r="P941" s="5"/>
      <c r="Q941" s="5"/>
      <c r="R941" s="5"/>
      <c r="S941" s="5"/>
      <c r="T941" s="24"/>
      <c r="U941" s="3" t="b">
        <v>0</v>
      </c>
      <c r="V941" s="5"/>
    </row>
    <row r="942" spans="1:22" ht="45" customHeight="1">
      <c r="A942" s="3" t="s">
        <v>148</v>
      </c>
      <c r="B942" s="5"/>
      <c r="C942" s="6"/>
      <c r="D942" s="3"/>
      <c r="E942" s="5"/>
      <c r="F942" s="20">
        <f>LEN(G942)</f>
        <v>0</v>
      </c>
      <c r="G942" s="5"/>
      <c r="H942" s="24"/>
      <c r="I942" s="5"/>
      <c r="J942" s="5"/>
      <c r="K942" s="5"/>
      <c r="L942" s="3" t="s">
        <v>155</v>
      </c>
      <c r="M942" s="5"/>
      <c r="N942" s="4"/>
      <c r="O942" s="5"/>
      <c r="P942" s="5"/>
      <c r="Q942" s="5"/>
      <c r="R942" s="5"/>
      <c r="S942" s="5"/>
      <c r="T942" s="24"/>
      <c r="U942" s="3" t="b">
        <v>0</v>
      </c>
      <c r="V942" s="5"/>
    </row>
    <row r="943" spans="1:22" ht="45" customHeight="1">
      <c r="A943" s="3" t="s">
        <v>148</v>
      </c>
      <c r="B943" s="5"/>
      <c r="C943" s="6"/>
      <c r="D943" s="3"/>
      <c r="E943" s="5"/>
      <c r="F943" s="20">
        <f>LEN(G943)</f>
        <v>0</v>
      </c>
      <c r="G943" s="5"/>
      <c r="H943" s="24"/>
      <c r="I943" s="5"/>
      <c r="J943" s="5"/>
      <c r="K943" s="5"/>
      <c r="L943" s="3" t="s">
        <v>155</v>
      </c>
      <c r="M943" s="5"/>
      <c r="N943" s="4"/>
      <c r="O943" s="5"/>
      <c r="P943" s="5"/>
      <c r="Q943" s="5"/>
      <c r="R943" s="5"/>
      <c r="S943" s="5"/>
      <c r="T943" s="24"/>
      <c r="U943" s="3" t="b">
        <v>0</v>
      </c>
      <c r="V943" s="5"/>
    </row>
    <row r="944" spans="1:22" ht="45" customHeight="1">
      <c r="A944" s="3" t="s">
        <v>148</v>
      </c>
      <c r="B944" s="5"/>
      <c r="C944" s="6"/>
      <c r="D944" s="3"/>
      <c r="E944" s="5"/>
      <c r="F944" s="20">
        <f>LEN(G944)</f>
        <v>0</v>
      </c>
      <c r="G944" s="5"/>
      <c r="H944" s="24"/>
      <c r="I944" s="5"/>
      <c r="J944" s="5"/>
      <c r="K944" s="5"/>
      <c r="L944" s="3" t="s">
        <v>155</v>
      </c>
      <c r="M944" s="5"/>
      <c r="N944" s="4"/>
      <c r="O944" s="5"/>
      <c r="P944" s="5"/>
      <c r="Q944" s="5"/>
      <c r="R944" s="5"/>
      <c r="S944" s="5"/>
      <c r="T944" s="24"/>
      <c r="U944" s="3" t="b">
        <v>0</v>
      </c>
      <c r="V944" s="5"/>
    </row>
    <row r="945" spans="1:22" ht="45" customHeight="1">
      <c r="A945" s="3" t="s">
        <v>148</v>
      </c>
      <c r="B945" s="5"/>
      <c r="C945" s="6"/>
      <c r="D945" s="3"/>
      <c r="E945" s="5"/>
      <c r="F945" s="20">
        <f>LEN(G945)</f>
        <v>0</v>
      </c>
      <c r="G945" s="5"/>
      <c r="H945" s="24"/>
      <c r="I945" s="5"/>
      <c r="J945" s="5"/>
      <c r="K945" s="5"/>
      <c r="L945" s="3" t="s">
        <v>155</v>
      </c>
      <c r="M945" s="5"/>
      <c r="N945" s="4"/>
      <c r="O945" s="5"/>
      <c r="P945" s="5"/>
      <c r="Q945" s="5"/>
      <c r="R945" s="5"/>
      <c r="S945" s="5"/>
      <c r="T945" s="24"/>
      <c r="U945" s="3" t="b">
        <v>0</v>
      </c>
      <c r="V945" s="5"/>
    </row>
    <row r="946" spans="1:22" ht="45" customHeight="1">
      <c r="A946" s="3" t="s">
        <v>148</v>
      </c>
      <c r="B946" s="5"/>
      <c r="C946" s="6"/>
      <c r="D946" s="3"/>
      <c r="E946" s="5"/>
      <c r="F946" s="20">
        <f>LEN(G946)</f>
        <v>0</v>
      </c>
      <c r="G946" s="5"/>
      <c r="H946" s="24"/>
      <c r="I946" s="5"/>
      <c r="J946" s="5"/>
      <c r="K946" s="5"/>
      <c r="L946" s="3" t="s">
        <v>155</v>
      </c>
      <c r="M946" s="5"/>
      <c r="N946" s="4"/>
      <c r="O946" s="5"/>
      <c r="P946" s="5"/>
      <c r="Q946" s="5"/>
      <c r="R946" s="5"/>
      <c r="S946" s="5"/>
      <c r="T946" s="24"/>
      <c r="U946" s="3" t="b">
        <v>0</v>
      </c>
      <c r="V946" s="5"/>
    </row>
    <row r="947" spans="1:22" ht="45" customHeight="1">
      <c r="A947" s="3" t="s">
        <v>148</v>
      </c>
      <c r="B947" s="5"/>
      <c r="C947" s="6"/>
      <c r="D947" s="3"/>
      <c r="E947" s="5"/>
      <c r="F947" s="20">
        <f>LEN(G947)</f>
        <v>0</v>
      </c>
      <c r="G947" s="5"/>
      <c r="H947" s="24"/>
      <c r="I947" s="5"/>
      <c r="J947" s="5"/>
      <c r="K947" s="5"/>
      <c r="L947" s="3" t="s">
        <v>155</v>
      </c>
      <c r="M947" s="5"/>
      <c r="N947" s="4"/>
      <c r="O947" s="5"/>
      <c r="P947" s="5"/>
      <c r="Q947" s="5"/>
      <c r="R947" s="5"/>
      <c r="S947" s="5"/>
      <c r="T947" s="24"/>
      <c r="U947" s="3" t="b">
        <v>0</v>
      </c>
      <c r="V947" s="5"/>
    </row>
    <row r="948" spans="1:22" ht="45" customHeight="1">
      <c r="A948" s="3" t="s">
        <v>148</v>
      </c>
      <c r="B948" s="5"/>
      <c r="C948" s="6"/>
      <c r="D948" s="3"/>
      <c r="E948" s="5"/>
      <c r="F948" s="20">
        <f>LEN(G948)</f>
        <v>0</v>
      </c>
      <c r="G948" s="5"/>
      <c r="H948" s="24"/>
      <c r="I948" s="5"/>
      <c r="J948" s="5"/>
      <c r="K948" s="5"/>
      <c r="L948" s="3" t="s">
        <v>155</v>
      </c>
      <c r="M948" s="5"/>
      <c r="N948" s="4"/>
      <c r="O948" s="5"/>
      <c r="P948" s="5"/>
      <c r="Q948" s="5"/>
      <c r="R948" s="5"/>
      <c r="S948" s="5"/>
      <c r="T948" s="24"/>
      <c r="U948" s="3" t="b">
        <v>0</v>
      </c>
      <c r="V948" s="5"/>
    </row>
    <row r="949" spans="1:22" ht="45" customHeight="1">
      <c r="A949" s="3" t="s">
        <v>148</v>
      </c>
      <c r="B949" s="5"/>
      <c r="C949" s="6"/>
      <c r="D949" s="3"/>
      <c r="E949" s="5"/>
      <c r="F949" s="20">
        <f>LEN(G949)</f>
        <v>0</v>
      </c>
      <c r="G949" s="5"/>
      <c r="H949" s="24"/>
      <c r="I949" s="5"/>
      <c r="J949" s="5"/>
      <c r="K949" s="5"/>
      <c r="L949" s="3" t="s">
        <v>155</v>
      </c>
      <c r="M949" s="5"/>
      <c r="N949" s="4"/>
      <c r="O949" s="5"/>
      <c r="P949" s="5"/>
      <c r="Q949" s="5"/>
      <c r="R949" s="5"/>
      <c r="S949" s="5"/>
      <c r="T949" s="24"/>
      <c r="U949" s="3" t="b">
        <v>0</v>
      </c>
      <c r="V949" s="5"/>
    </row>
    <row r="950" spans="1:22" ht="45" customHeight="1">
      <c r="A950" s="3" t="s">
        <v>148</v>
      </c>
      <c r="B950" s="5"/>
      <c r="C950" s="6"/>
      <c r="D950" s="3"/>
      <c r="E950" s="5"/>
      <c r="F950" s="20">
        <f>LEN(G950)</f>
        <v>0</v>
      </c>
      <c r="G950" s="5"/>
      <c r="H950" s="24"/>
      <c r="I950" s="5"/>
      <c r="J950" s="5"/>
      <c r="K950" s="5"/>
      <c r="L950" s="3" t="s">
        <v>155</v>
      </c>
      <c r="M950" s="5"/>
      <c r="N950" s="4"/>
      <c r="O950" s="5"/>
      <c r="P950" s="5"/>
      <c r="Q950" s="5"/>
      <c r="R950" s="5"/>
      <c r="S950" s="5"/>
      <c r="T950" s="24"/>
      <c r="U950" s="3" t="b">
        <v>0</v>
      </c>
      <c r="V950" s="5"/>
    </row>
    <row r="951" spans="1:22" ht="45" customHeight="1">
      <c r="A951" s="3" t="s">
        <v>148</v>
      </c>
      <c r="B951" s="5"/>
      <c r="C951" s="6"/>
      <c r="D951" s="3"/>
      <c r="E951" s="5"/>
      <c r="F951" s="20">
        <f>LEN(G951)</f>
        <v>0</v>
      </c>
      <c r="G951" s="5"/>
      <c r="H951" s="24"/>
      <c r="I951" s="5"/>
      <c r="J951" s="5"/>
      <c r="K951" s="5"/>
      <c r="L951" s="3" t="s">
        <v>155</v>
      </c>
      <c r="M951" s="5"/>
      <c r="N951" s="4"/>
      <c r="O951" s="5"/>
      <c r="P951" s="5"/>
      <c r="Q951" s="5"/>
      <c r="R951" s="5"/>
      <c r="S951" s="5"/>
      <c r="T951" s="24"/>
      <c r="U951" s="3" t="b">
        <v>0</v>
      </c>
      <c r="V951" s="5"/>
    </row>
    <row r="952" spans="1:22" ht="45" customHeight="1">
      <c r="A952" s="3" t="s">
        <v>148</v>
      </c>
      <c r="B952" s="5"/>
      <c r="C952" s="6"/>
      <c r="D952" s="3"/>
      <c r="E952" s="5"/>
      <c r="F952" s="20">
        <f>LEN(G952)</f>
        <v>0</v>
      </c>
      <c r="G952" s="5"/>
      <c r="H952" s="24"/>
      <c r="I952" s="5"/>
      <c r="J952" s="5"/>
      <c r="K952" s="5"/>
      <c r="L952" s="3" t="s">
        <v>155</v>
      </c>
      <c r="M952" s="5"/>
      <c r="N952" s="4"/>
      <c r="O952" s="5"/>
      <c r="P952" s="5"/>
      <c r="Q952" s="5"/>
      <c r="R952" s="5"/>
      <c r="S952" s="5"/>
      <c r="T952" s="24"/>
      <c r="U952" s="3" t="b">
        <v>0</v>
      </c>
      <c r="V952" s="5"/>
    </row>
    <row r="953" spans="1:22" ht="45" customHeight="1">
      <c r="A953" s="3" t="s">
        <v>148</v>
      </c>
      <c r="B953" s="5"/>
      <c r="C953" s="6"/>
      <c r="D953" s="3"/>
      <c r="E953" s="5"/>
      <c r="F953" s="20">
        <f>LEN(G953)</f>
        <v>0</v>
      </c>
      <c r="G953" s="5"/>
      <c r="H953" s="24"/>
      <c r="I953" s="5"/>
      <c r="J953" s="5"/>
      <c r="K953" s="5"/>
      <c r="L953" s="3" t="s">
        <v>155</v>
      </c>
      <c r="M953" s="5"/>
      <c r="N953" s="4"/>
      <c r="O953" s="5"/>
      <c r="P953" s="5"/>
      <c r="Q953" s="5"/>
      <c r="R953" s="5"/>
      <c r="S953" s="5"/>
      <c r="T953" s="24"/>
      <c r="U953" s="3" t="b">
        <v>0</v>
      </c>
      <c r="V953" s="5"/>
    </row>
    <row r="954" spans="1:22" ht="45" customHeight="1">
      <c r="A954" s="3" t="s">
        <v>148</v>
      </c>
      <c r="B954" s="5"/>
      <c r="C954" s="6"/>
      <c r="D954" s="3"/>
      <c r="E954" s="5"/>
      <c r="F954" s="20">
        <f>LEN(G954)</f>
        <v>0</v>
      </c>
      <c r="G954" s="5"/>
      <c r="H954" s="24"/>
      <c r="I954" s="5"/>
      <c r="J954" s="5"/>
      <c r="K954" s="5"/>
      <c r="L954" s="3" t="s">
        <v>155</v>
      </c>
      <c r="M954" s="5"/>
      <c r="N954" s="4"/>
      <c r="O954" s="5"/>
      <c r="P954" s="5"/>
      <c r="Q954" s="5"/>
      <c r="R954" s="5"/>
      <c r="S954" s="5"/>
      <c r="T954" s="24"/>
      <c r="U954" s="3" t="b">
        <v>0</v>
      </c>
      <c r="V954" s="5"/>
    </row>
    <row r="955" spans="1:22" ht="45" customHeight="1">
      <c r="A955" s="3" t="s">
        <v>148</v>
      </c>
      <c r="B955" s="5"/>
      <c r="C955" s="6"/>
      <c r="D955" s="3"/>
      <c r="E955" s="5"/>
      <c r="F955" s="20">
        <f>LEN(G955)</f>
        <v>0</v>
      </c>
      <c r="G955" s="5"/>
      <c r="H955" s="24"/>
      <c r="I955" s="5"/>
      <c r="J955" s="5"/>
      <c r="K955" s="5"/>
      <c r="L955" s="3" t="s">
        <v>155</v>
      </c>
      <c r="M955" s="5"/>
      <c r="N955" s="4"/>
      <c r="O955" s="5"/>
      <c r="P955" s="5"/>
      <c r="Q955" s="5"/>
      <c r="R955" s="5"/>
      <c r="S955" s="5"/>
      <c r="T955" s="24"/>
      <c r="U955" s="3" t="b">
        <v>0</v>
      </c>
      <c r="V955" s="5"/>
    </row>
    <row r="956" spans="1:22" ht="45" customHeight="1">
      <c r="A956" s="3" t="s">
        <v>148</v>
      </c>
      <c r="B956" s="5"/>
      <c r="C956" s="6"/>
      <c r="D956" s="3"/>
      <c r="E956" s="5"/>
      <c r="F956" s="20">
        <f>LEN(G956)</f>
        <v>0</v>
      </c>
      <c r="G956" s="5"/>
      <c r="H956" s="24"/>
      <c r="I956" s="5"/>
      <c r="J956" s="5"/>
      <c r="K956" s="5"/>
      <c r="L956" s="3" t="s">
        <v>155</v>
      </c>
      <c r="M956" s="5"/>
      <c r="N956" s="4"/>
      <c r="O956" s="5"/>
      <c r="P956" s="5"/>
      <c r="Q956" s="5"/>
      <c r="R956" s="5"/>
      <c r="S956" s="5"/>
      <c r="T956" s="24"/>
      <c r="U956" s="3" t="b">
        <v>0</v>
      </c>
      <c r="V956" s="5"/>
    </row>
    <row r="957" spans="1:22" ht="45" customHeight="1">
      <c r="A957" s="3" t="s">
        <v>148</v>
      </c>
      <c r="B957" s="5"/>
      <c r="C957" s="6"/>
      <c r="D957" s="3"/>
      <c r="E957" s="5"/>
      <c r="F957" s="20">
        <f>LEN(G957)</f>
        <v>0</v>
      </c>
      <c r="G957" s="5"/>
      <c r="H957" s="24"/>
      <c r="I957" s="5"/>
      <c r="J957" s="5"/>
      <c r="K957" s="5"/>
      <c r="L957" s="3" t="s">
        <v>155</v>
      </c>
      <c r="M957" s="5"/>
      <c r="N957" s="4"/>
      <c r="O957" s="5"/>
      <c r="P957" s="5"/>
      <c r="Q957" s="5"/>
      <c r="R957" s="5"/>
      <c r="S957" s="5"/>
      <c r="T957" s="24"/>
      <c r="U957" s="3" t="b">
        <v>0</v>
      </c>
      <c r="V957" s="5"/>
    </row>
    <row r="958" spans="1:22" ht="45" customHeight="1">
      <c r="A958" s="3" t="s">
        <v>148</v>
      </c>
      <c r="B958" s="5"/>
      <c r="C958" s="6"/>
      <c r="D958" s="3"/>
      <c r="E958" s="5"/>
      <c r="F958" s="20">
        <f>LEN(G958)</f>
        <v>0</v>
      </c>
      <c r="G958" s="5"/>
      <c r="H958" s="24"/>
      <c r="I958" s="5"/>
      <c r="J958" s="5"/>
      <c r="K958" s="5"/>
      <c r="L958" s="3" t="s">
        <v>155</v>
      </c>
      <c r="M958" s="5"/>
      <c r="N958" s="4"/>
      <c r="O958" s="5"/>
      <c r="P958" s="5"/>
      <c r="Q958" s="5"/>
      <c r="R958" s="5"/>
      <c r="S958" s="5"/>
      <c r="T958" s="24"/>
      <c r="U958" s="3" t="b">
        <v>0</v>
      </c>
      <c r="V958" s="5"/>
    </row>
    <row r="959" spans="1:22" ht="45" customHeight="1">
      <c r="A959" s="3" t="s">
        <v>148</v>
      </c>
      <c r="B959" s="5"/>
      <c r="C959" s="6"/>
      <c r="D959" s="3"/>
      <c r="E959" s="5"/>
      <c r="F959" s="20">
        <f>LEN(G959)</f>
        <v>0</v>
      </c>
      <c r="G959" s="5"/>
      <c r="H959" s="24"/>
      <c r="I959" s="5"/>
      <c r="J959" s="5"/>
      <c r="K959" s="5"/>
      <c r="L959" s="3" t="s">
        <v>155</v>
      </c>
      <c r="M959" s="5"/>
      <c r="N959" s="4"/>
      <c r="O959" s="5"/>
      <c r="P959" s="5"/>
      <c r="Q959" s="5"/>
      <c r="R959" s="5"/>
      <c r="S959" s="5"/>
      <c r="T959" s="24"/>
      <c r="U959" s="3" t="b">
        <v>0</v>
      </c>
      <c r="V959" s="5"/>
    </row>
    <row r="960" spans="1:22" ht="45" customHeight="1">
      <c r="A960" s="3" t="s">
        <v>148</v>
      </c>
      <c r="B960" s="5"/>
      <c r="C960" s="6"/>
      <c r="D960" s="3"/>
      <c r="E960" s="5"/>
      <c r="F960" s="20">
        <f>LEN(G960)</f>
        <v>0</v>
      </c>
      <c r="G960" s="5"/>
      <c r="H960" s="24"/>
      <c r="I960" s="5"/>
      <c r="J960" s="5"/>
      <c r="K960" s="5"/>
      <c r="L960" s="3" t="s">
        <v>155</v>
      </c>
      <c r="M960" s="5"/>
      <c r="N960" s="4"/>
      <c r="O960" s="5"/>
      <c r="P960" s="5"/>
      <c r="Q960" s="5"/>
      <c r="R960" s="5"/>
      <c r="S960" s="5"/>
      <c r="T960" s="24"/>
      <c r="U960" s="3" t="b">
        <v>0</v>
      </c>
      <c r="V960" s="5"/>
    </row>
    <row r="961" spans="1:22" ht="45" customHeight="1">
      <c r="A961" s="3" t="s">
        <v>148</v>
      </c>
      <c r="B961" s="5"/>
      <c r="C961" s="6"/>
      <c r="D961" s="3"/>
      <c r="E961" s="5"/>
      <c r="F961" s="20">
        <f>LEN(G961)</f>
        <v>0</v>
      </c>
      <c r="G961" s="5"/>
      <c r="H961" s="24"/>
      <c r="I961" s="5"/>
      <c r="J961" s="5"/>
      <c r="K961" s="5"/>
      <c r="L961" s="3" t="s">
        <v>155</v>
      </c>
      <c r="M961" s="5"/>
      <c r="N961" s="4"/>
      <c r="O961" s="5"/>
      <c r="P961" s="5"/>
      <c r="Q961" s="5"/>
      <c r="R961" s="5"/>
      <c r="S961" s="5"/>
      <c r="T961" s="24"/>
      <c r="U961" s="3" t="b">
        <v>0</v>
      </c>
      <c r="V961" s="5"/>
    </row>
    <row r="962" spans="1:22" ht="45" customHeight="1">
      <c r="A962" s="3" t="s">
        <v>148</v>
      </c>
      <c r="B962" s="5"/>
      <c r="C962" s="6"/>
      <c r="D962" s="3"/>
      <c r="E962" s="5"/>
      <c r="F962" s="20">
        <f>LEN(G962)</f>
        <v>0</v>
      </c>
      <c r="G962" s="5"/>
      <c r="H962" s="24"/>
      <c r="I962" s="5"/>
      <c r="J962" s="5"/>
      <c r="K962" s="5"/>
      <c r="L962" s="3" t="s">
        <v>155</v>
      </c>
      <c r="M962" s="5"/>
      <c r="N962" s="4"/>
      <c r="O962" s="5"/>
      <c r="P962" s="5"/>
      <c r="Q962" s="5"/>
      <c r="R962" s="5"/>
      <c r="S962" s="5"/>
      <c r="T962" s="24"/>
      <c r="U962" s="3" t="b">
        <v>0</v>
      </c>
      <c r="V962" s="5"/>
    </row>
    <row r="963" spans="1:22" ht="45" customHeight="1">
      <c r="A963" s="3" t="s">
        <v>148</v>
      </c>
      <c r="B963" s="5"/>
      <c r="C963" s="6"/>
      <c r="D963" s="3"/>
      <c r="E963" s="5"/>
      <c r="F963" s="20">
        <f>LEN(G963)</f>
        <v>0</v>
      </c>
      <c r="G963" s="5"/>
      <c r="H963" s="24"/>
      <c r="I963" s="5"/>
      <c r="J963" s="5"/>
      <c r="K963" s="5"/>
      <c r="L963" s="3" t="s">
        <v>155</v>
      </c>
      <c r="M963" s="5"/>
      <c r="N963" s="4"/>
      <c r="O963" s="5"/>
      <c r="P963" s="5"/>
      <c r="Q963" s="5"/>
      <c r="R963" s="5"/>
      <c r="S963" s="5"/>
      <c r="T963" s="24"/>
      <c r="U963" s="3" t="b">
        <v>0</v>
      </c>
      <c r="V963" s="5"/>
    </row>
    <row r="964" spans="1:22" ht="45" customHeight="1">
      <c r="A964" s="3" t="s">
        <v>148</v>
      </c>
      <c r="B964" s="5"/>
      <c r="C964" s="6"/>
      <c r="D964" s="3"/>
      <c r="E964" s="5"/>
      <c r="F964" s="20">
        <f>LEN(G964)</f>
        <v>0</v>
      </c>
      <c r="G964" s="5"/>
      <c r="H964" s="24"/>
      <c r="I964" s="5"/>
      <c r="J964" s="5"/>
      <c r="K964" s="5"/>
      <c r="L964" s="3" t="s">
        <v>155</v>
      </c>
      <c r="M964" s="5"/>
      <c r="N964" s="4"/>
      <c r="O964" s="5"/>
      <c r="P964" s="5"/>
      <c r="Q964" s="5"/>
      <c r="R964" s="5"/>
      <c r="S964" s="5"/>
      <c r="T964" s="24"/>
      <c r="U964" s="3" t="b">
        <v>0</v>
      </c>
      <c r="V964" s="5"/>
    </row>
    <row r="965" spans="1:22" ht="45" customHeight="1">
      <c r="A965" s="3" t="s">
        <v>148</v>
      </c>
      <c r="B965" s="5"/>
      <c r="C965" s="6"/>
      <c r="D965" s="3"/>
      <c r="E965" s="5"/>
      <c r="F965" s="20">
        <f>LEN(G965)</f>
        <v>0</v>
      </c>
      <c r="G965" s="5"/>
      <c r="H965" s="24"/>
      <c r="I965" s="5"/>
      <c r="J965" s="5"/>
      <c r="K965" s="5"/>
      <c r="L965" s="3" t="s">
        <v>155</v>
      </c>
      <c r="M965" s="5"/>
      <c r="N965" s="4"/>
      <c r="O965" s="5"/>
      <c r="P965" s="5"/>
      <c r="Q965" s="5"/>
      <c r="R965" s="5"/>
      <c r="S965" s="5"/>
      <c r="T965" s="24"/>
      <c r="U965" s="3" t="b">
        <v>0</v>
      </c>
      <c r="V965" s="5"/>
    </row>
    <row r="966" spans="1:22" ht="45" customHeight="1">
      <c r="A966" s="3" t="s">
        <v>148</v>
      </c>
      <c r="B966" s="5"/>
      <c r="C966" s="6"/>
      <c r="D966" s="3"/>
      <c r="E966" s="5"/>
      <c r="F966" s="20">
        <f>LEN(G966)</f>
        <v>0</v>
      </c>
      <c r="G966" s="5"/>
      <c r="H966" s="24"/>
      <c r="I966" s="5"/>
      <c r="J966" s="5"/>
      <c r="K966" s="5"/>
      <c r="L966" s="3" t="s">
        <v>155</v>
      </c>
      <c r="M966" s="5"/>
      <c r="N966" s="4"/>
      <c r="O966" s="5"/>
      <c r="P966" s="5"/>
      <c r="Q966" s="5"/>
      <c r="R966" s="5"/>
      <c r="S966" s="5"/>
      <c r="T966" s="24"/>
      <c r="U966" s="3" t="b">
        <v>0</v>
      </c>
      <c r="V966" s="5"/>
    </row>
    <row r="967" spans="1:22" ht="45" customHeight="1">
      <c r="A967" s="3" t="s">
        <v>148</v>
      </c>
      <c r="B967" s="5"/>
      <c r="C967" s="6"/>
      <c r="D967" s="3"/>
      <c r="E967" s="5"/>
      <c r="F967" s="20">
        <f>LEN(G967)</f>
        <v>0</v>
      </c>
      <c r="G967" s="5"/>
      <c r="H967" s="24"/>
      <c r="I967" s="5"/>
      <c r="J967" s="5"/>
      <c r="K967" s="5"/>
      <c r="L967" s="3" t="s">
        <v>155</v>
      </c>
      <c r="M967" s="5"/>
      <c r="N967" s="4"/>
      <c r="O967" s="5"/>
      <c r="P967" s="5"/>
      <c r="Q967" s="5"/>
      <c r="R967" s="5"/>
      <c r="S967" s="5"/>
      <c r="T967" s="24"/>
      <c r="U967" s="3" t="b">
        <v>0</v>
      </c>
      <c r="V967" s="5"/>
    </row>
    <row r="968" spans="1:22" ht="45" customHeight="1">
      <c r="A968" s="3" t="s">
        <v>148</v>
      </c>
      <c r="B968" s="5"/>
      <c r="C968" s="6"/>
      <c r="D968" s="3"/>
      <c r="E968" s="5"/>
      <c r="F968" s="20">
        <f>LEN(G968)</f>
        <v>0</v>
      </c>
      <c r="G968" s="5"/>
      <c r="H968" s="24"/>
      <c r="I968" s="5"/>
      <c r="J968" s="5"/>
      <c r="K968" s="5"/>
      <c r="L968" s="3" t="s">
        <v>155</v>
      </c>
      <c r="M968" s="5"/>
      <c r="N968" s="4"/>
      <c r="O968" s="5"/>
      <c r="P968" s="5"/>
      <c r="Q968" s="5"/>
      <c r="R968" s="5"/>
      <c r="S968" s="5"/>
      <c r="T968" s="24"/>
      <c r="U968" s="3" t="b">
        <v>0</v>
      </c>
      <c r="V968" s="5"/>
    </row>
    <row r="969" spans="1:22" ht="45" customHeight="1">
      <c r="A969" s="3" t="s">
        <v>148</v>
      </c>
      <c r="B969" s="5"/>
      <c r="C969" s="6"/>
      <c r="D969" s="3"/>
      <c r="E969" s="5"/>
      <c r="F969" s="20">
        <f>LEN(G969)</f>
        <v>0</v>
      </c>
      <c r="G969" s="5"/>
      <c r="H969" s="24"/>
      <c r="I969" s="5"/>
      <c r="J969" s="5"/>
      <c r="K969" s="5"/>
      <c r="L969" s="3" t="s">
        <v>155</v>
      </c>
      <c r="M969" s="5"/>
      <c r="N969" s="4"/>
      <c r="O969" s="5"/>
      <c r="P969" s="5"/>
      <c r="Q969" s="5"/>
      <c r="R969" s="5"/>
      <c r="S969" s="5"/>
      <c r="T969" s="24"/>
      <c r="U969" s="3" t="b">
        <v>0</v>
      </c>
      <c r="V969" s="5"/>
    </row>
    <row r="970" spans="1:22" ht="45" customHeight="1">
      <c r="A970" s="3" t="s">
        <v>148</v>
      </c>
      <c r="B970" s="5"/>
      <c r="C970" s="6"/>
      <c r="D970" s="3"/>
      <c r="E970" s="5"/>
      <c r="F970" s="20">
        <f>LEN(G970)</f>
        <v>0</v>
      </c>
      <c r="G970" s="5"/>
      <c r="H970" s="24"/>
      <c r="I970" s="5"/>
      <c r="J970" s="5"/>
      <c r="K970" s="5"/>
      <c r="L970" s="3" t="s">
        <v>155</v>
      </c>
      <c r="M970" s="5"/>
      <c r="N970" s="4"/>
      <c r="O970" s="5"/>
      <c r="P970" s="5"/>
      <c r="Q970" s="5"/>
      <c r="R970" s="5"/>
      <c r="S970" s="5"/>
      <c r="T970" s="24"/>
      <c r="U970" s="3" t="b">
        <v>0</v>
      </c>
      <c r="V970" s="5"/>
    </row>
    <row r="971" spans="1:22" ht="45" customHeight="1">
      <c r="A971" s="3" t="s">
        <v>148</v>
      </c>
      <c r="B971" s="5"/>
      <c r="C971" s="6"/>
      <c r="D971" s="3"/>
      <c r="E971" s="5"/>
      <c r="F971" s="20">
        <f>LEN(G971)</f>
        <v>0</v>
      </c>
      <c r="G971" s="5"/>
      <c r="H971" s="24"/>
      <c r="I971" s="5"/>
      <c r="J971" s="5"/>
      <c r="K971" s="5"/>
      <c r="L971" s="3" t="s">
        <v>155</v>
      </c>
      <c r="M971" s="5"/>
      <c r="N971" s="4"/>
      <c r="O971" s="5"/>
      <c r="P971" s="5"/>
      <c r="Q971" s="5"/>
      <c r="R971" s="5"/>
      <c r="S971" s="5"/>
      <c r="T971" s="24"/>
      <c r="U971" s="3" t="b">
        <v>0</v>
      </c>
      <c r="V971" s="5"/>
    </row>
    <row r="972" spans="1:22" ht="45" customHeight="1">
      <c r="A972" s="3" t="s">
        <v>148</v>
      </c>
      <c r="B972" s="5"/>
      <c r="C972" s="6"/>
      <c r="D972" s="3"/>
      <c r="E972" s="5"/>
      <c r="F972" s="20">
        <f>LEN(G972)</f>
        <v>0</v>
      </c>
      <c r="G972" s="5"/>
      <c r="H972" s="24"/>
      <c r="I972" s="5"/>
      <c r="J972" s="5"/>
      <c r="K972" s="5"/>
      <c r="L972" s="3" t="s">
        <v>155</v>
      </c>
      <c r="M972" s="5"/>
      <c r="N972" s="4"/>
      <c r="O972" s="5"/>
      <c r="P972" s="5"/>
      <c r="Q972" s="5"/>
      <c r="R972" s="5"/>
      <c r="S972" s="5"/>
      <c r="T972" s="24"/>
      <c r="U972" s="3" t="b">
        <v>0</v>
      </c>
      <c r="V972" s="5"/>
    </row>
    <row r="973" spans="1:22" ht="45" customHeight="1">
      <c r="A973" s="3" t="s">
        <v>148</v>
      </c>
      <c r="B973" s="5"/>
      <c r="C973" s="6"/>
      <c r="D973" s="3"/>
      <c r="E973" s="5"/>
      <c r="F973" s="20">
        <f>LEN(G973)</f>
        <v>0</v>
      </c>
      <c r="G973" s="5"/>
      <c r="H973" s="24"/>
      <c r="I973" s="5"/>
      <c r="J973" s="5"/>
      <c r="K973" s="5"/>
      <c r="L973" s="3" t="s">
        <v>155</v>
      </c>
      <c r="M973" s="5"/>
      <c r="N973" s="4"/>
      <c r="O973" s="5"/>
      <c r="P973" s="5"/>
      <c r="Q973" s="5"/>
      <c r="R973" s="5"/>
      <c r="S973" s="5"/>
      <c r="T973" s="24"/>
      <c r="U973" s="3" t="b">
        <v>0</v>
      </c>
      <c r="V973" s="5"/>
    </row>
    <row r="974" spans="1:22" ht="45" customHeight="1">
      <c r="A974" s="3" t="s">
        <v>148</v>
      </c>
      <c r="B974" s="5"/>
      <c r="C974" s="6"/>
      <c r="D974" s="3"/>
      <c r="E974" s="5"/>
      <c r="F974" s="20">
        <f>LEN(G974)</f>
        <v>0</v>
      </c>
      <c r="G974" s="5"/>
      <c r="H974" s="24"/>
      <c r="I974" s="5"/>
      <c r="J974" s="5"/>
      <c r="K974" s="5"/>
      <c r="L974" s="3" t="s">
        <v>155</v>
      </c>
      <c r="M974" s="5"/>
      <c r="N974" s="4"/>
      <c r="O974" s="5"/>
      <c r="P974" s="5"/>
      <c r="Q974" s="5"/>
      <c r="R974" s="5"/>
      <c r="S974" s="5"/>
      <c r="T974" s="24"/>
      <c r="U974" s="3" t="b">
        <v>0</v>
      </c>
      <c r="V974" s="5"/>
    </row>
    <row r="975" spans="1:22" ht="45" customHeight="1">
      <c r="A975" s="3" t="s">
        <v>148</v>
      </c>
      <c r="B975" s="5"/>
      <c r="C975" s="6"/>
      <c r="D975" s="3"/>
      <c r="E975" s="5"/>
      <c r="F975" s="20">
        <f>LEN(G975)</f>
        <v>0</v>
      </c>
      <c r="G975" s="5"/>
      <c r="H975" s="24"/>
      <c r="I975" s="5"/>
      <c r="J975" s="5"/>
      <c r="K975" s="5"/>
      <c r="L975" s="3" t="s">
        <v>155</v>
      </c>
      <c r="M975" s="5"/>
      <c r="N975" s="4"/>
      <c r="O975" s="5"/>
      <c r="P975" s="5"/>
      <c r="Q975" s="5"/>
      <c r="R975" s="5"/>
      <c r="S975" s="5"/>
      <c r="T975" s="24"/>
      <c r="U975" s="3" t="b">
        <v>0</v>
      </c>
      <c r="V975" s="5"/>
    </row>
    <row r="976" spans="1:22" ht="45" customHeight="1">
      <c r="A976" s="3" t="s">
        <v>148</v>
      </c>
      <c r="B976" s="5"/>
      <c r="C976" s="6"/>
      <c r="D976" s="3"/>
      <c r="E976" s="5"/>
      <c r="F976" s="20">
        <f>LEN(G976)</f>
        <v>0</v>
      </c>
      <c r="G976" s="5"/>
      <c r="H976" s="24"/>
      <c r="I976" s="5"/>
      <c r="J976" s="5"/>
      <c r="K976" s="5"/>
      <c r="L976" s="3" t="s">
        <v>155</v>
      </c>
      <c r="M976" s="5"/>
      <c r="N976" s="4"/>
      <c r="O976" s="5"/>
      <c r="P976" s="5"/>
      <c r="Q976" s="5"/>
      <c r="R976" s="5"/>
      <c r="S976" s="5"/>
      <c r="T976" s="24"/>
      <c r="U976" s="3" t="b">
        <v>0</v>
      </c>
      <c r="V976" s="5"/>
    </row>
    <row r="977" spans="1:22" ht="45" customHeight="1">
      <c r="A977" s="3" t="s">
        <v>148</v>
      </c>
      <c r="B977" s="5"/>
      <c r="C977" s="6"/>
      <c r="D977" s="3"/>
      <c r="E977" s="5"/>
      <c r="F977" s="20">
        <f>LEN(G977)</f>
        <v>0</v>
      </c>
      <c r="G977" s="5"/>
      <c r="H977" s="24"/>
      <c r="I977" s="5"/>
      <c r="J977" s="5"/>
      <c r="K977" s="5"/>
      <c r="L977" s="3" t="s">
        <v>155</v>
      </c>
      <c r="M977" s="5"/>
      <c r="N977" s="4"/>
      <c r="O977" s="5"/>
      <c r="P977" s="5"/>
      <c r="Q977" s="5"/>
      <c r="R977" s="5"/>
      <c r="S977" s="5"/>
      <c r="T977" s="24"/>
      <c r="U977" s="3" t="b">
        <v>0</v>
      </c>
      <c r="V977" s="5"/>
    </row>
    <row r="978" spans="1:22" ht="45" customHeight="1">
      <c r="A978" s="3" t="s">
        <v>148</v>
      </c>
      <c r="B978" s="5"/>
      <c r="C978" s="6"/>
      <c r="D978" s="3"/>
      <c r="E978" s="5"/>
      <c r="F978" s="20">
        <f>LEN(G978)</f>
        <v>0</v>
      </c>
      <c r="G978" s="5"/>
      <c r="H978" s="24"/>
      <c r="I978" s="5"/>
      <c r="J978" s="5"/>
      <c r="K978" s="5"/>
      <c r="L978" s="3" t="s">
        <v>155</v>
      </c>
      <c r="M978" s="5"/>
      <c r="N978" s="4"/>
      <c r="O978" s="5"/>
      <c r="P978" s="5"/>
      <c r="Q978" s="5"/>
      <c r="R978" s="5"/>
      <c r="S978" s="5"/>
      <c r="T978" s="24"/>
      <c r="U978" s="3" t="b">
        <v>0</v>
      </c>
      <c r="V978" s="5"/>
    </row>
    <row r="979" spans="1:22" ht="45" customHeight="1">
      <c r="A979" s="3" t="s">
        <v>148</v>
      </c>
      <c r="B979" s="5"/>
      <c r="C979" s="6"/>
      <c r="D979" s="3"/>
      <c r="E979" s="5"/>
      <c r="F979" s="20">
        <f>LEN(G979)</f>
        <v>0</v>
      </c>
      <c r="G979" s="5"/>
      <c r="H979" s="24"/>
      <c r="I979" s="5"/>
      <c r="J979" s="5"/>
      <c r="K979" s="5"/>
      <c r="L979" s="3" t="s">
        <v>155</v>
      </c>
      <c r="M979" s="5"/>
      <c r="N979" s="4"/>
      <c r="O979" s="5"/>
      <c r="P979" s="5"/>
      <c r="Q979" s="5"/>
      <c r="R979" s="5"/>
      <c r="S979" s="5"/>
      <c r="T979" s="24"/>
      <c r="U979" s="3" t="b">
        <v>0</v>
      </c>
      <c r="V979" s="5"/>
    </row>
    <row r="980" spans="1:22" ht="45" customHeight="1">
      <c r="A980" s="3" t="s">
        <v>148</v>
      </c>
      <c r="B980" s="5"/>
      <c r="C980" s="6"/>
      <c r="D980" s="3"/>
      <c r="E980" s="5"/>
      <c r="F980" s="20">
        <f>LEN(G980)</f>
        <v>0</v>
      </c>
      <c r="G980" s="5"/>
      <c r="H980" s="24"/>
      <c r="I980" s="5"/>
      <c r="J980" s="5"/>
      <c r="K980" s="5"/>
      <c r="L980" s="3" t="s">
        <v>155</v>
      </c>
      <c r="M980" s="5"/>
      <c r="N980" s="4"/>
      <c r="O980" s="5"/>
      <c r="P980" s="5"/>
      <c r="Q980" s="5"/>
      <c r="R980" s="5"/>
      <c r="S980" s="5"/>
      <c r="T980" s="24"/>
      <c r="U980" s="3" t="b">
        <v>0</v>
      </c>
      <c r="V980" s="5"/>
    </row>
    <row r="981" spans="1:22" ht="45" customHeight="1">
      <c r="A981" s="3" t="s">
        <v>148</v>
      </c>
      <c r="B981" s="5"/>
      <c r="C981" s="6"/>
      <c r="D981" s="3"/>
      <c r="E981" s="5"/>
      <c r="F981" s="20">
        <f>LEN(G981)</f>
        <v>0</v>
      </c>
      <c r="G981" s="5"/>
      <c r="H981" s="24"/>
      <c r="I981" s="5"/>
      <c r="J981" s="5"/>
      <c r="K981" s="5"/>
      <c r="L981" s="3" t="s">
        <v>155</v>
      </c>
      <c r="M981" s="5"/>
      <c r="N981" s="4"/>
      <c r="O981" s="5"/>
      <c r="P981" s="5"/>
      <c r="Q981" s="5"/>
      <c r="R981" s="5"/>
      <c r="S981" s="5"/>
      <c r="T981" s="24"/>
      <c r="U981" s="3" t="b">
        <v>0</v>
      </c>
      <c r="V981" s="5"/>
    </row>
    <row r="982" spans="1:22" ht="45" customHeight="1">
      <c r="A982" s="3" t="s">
        <v>148</v>
      </c>
      <c r="B982" s="5"/>
      <c r="C982" s="6"/>
      <c r="D982" s="3"/>
      <c r="E982" s="5"/>
      <c r="F982" s="20">
        <f>LEN(G982)</f>
        <v>0</v>
      </c>
      <c r="G982" s="5"/>
      <c r="H982" s="24"/>
      <c r="I982" s="5"/>
      <c r="J982" s="5"/>
      <c r="K982" s="5"/>
      <c r="L982" s="3" t="s">
        <v>155</v>
      </c>
      <c r="M982" s="5"/>
      <c r="N982" s="4"/>
      <c r="O982" s="5"/>
      <c r="P982" s="5"/>
      <c r="Q982" s="5"/>
      <c r="R982" s="5"/>
      <c r="S982" s="5"/>
      <c r="T982" s="24"/>
      <c r="U982" s="3" t="b">
        <v>0</v>
      </c>
      <c r="V982" s="5"/>
    </row>
    <row r="983" spans="1:22" ht="45" customHeight="1">
      <c r="A983" s="3" t="s">
        <v>148</v>
      </c>
      <c r="B983" s="5"/>
      <c r="C983" s="6"/>
      <c r="D983" s="3"/>
      <c r="E983" s="5"/>
      <c r="F983" s="20">
        <f>LEN(G983)</f>
        <v>0</v>
      </c>
      <c r="G983" s="5"/>
      <c r="H983" s="24"/>
      <c r="I983" s="5"/>
      <c r="J983" s="5"/>
      <c r="K983" s="5"/>
      <c r="L983" s="3" t="s">
        <v>155</v>
      </c>
      <c r="M983" s="5"/>
      <c r="N983" s="4"/>
      <c r="O983" s="5"/>
      <c r="P983" s="5"/>
      <c r="Q983" s="5"/>
      <c r="R983" s="5"/>
      <c r="S983" s="5"/>
      <c r="T983" s="24"/>
      <c r="U983" s="3" t="b">
        <v>0</v>
      </c>
      <c r="V983" s="5"/>
    </row>
    <row r="984" spans="1:22" ht="45" customHeight="1">
      <c r="A984" s="3" t="s">
        <v>148</v>
      </c>
      <c r="B984" s="5"/>
      <c r="C984" s="6"/>
      <c r="D984" s="3"/>
      <c r="E984" s="5"/>
      <c r="F984" s="20">
        <f>LEN(G984)</f>
        <v>0</v>
      </c>
      <c r="G984" s="5"/>
      <c r="H984" s="24"/>
      <c r="I984" s="5"/>
      <c r="J984" s="5"/>
      <c r="K984" s="5"/>
      <c r="L984" s="3" t="s">
        <v>155</v>
      </c>
      <c r="M984" s="5"/>
      <c r="N984" s="4"/>
      <c r="O984" s="5"/>
      <c r="P984" s="5"/>
      <c r="Q984" s="5"/>
      <c r="R984" s="5"/>
      <c r="S984" s="5"/>
      <c r="T984" s="24"/>
      <c r="U984" s="3" t="b">
        <v>0</v>
      </c>
      <c r="V984" s="5"/>
    </row>
    <row r="985" spans="1:22" ht="45" customHeight="1">
      <c r="A985" s="3" t="s">
        <v>148</v>
      </c>
      <c r="B985" s="5"/>
      <c r="C985" s="6"/>
      <c r="D985" s="3"/>
      <c r="E985" s="5"/>
      <c r="F985" s="20">
        <f>LEN(G985)</f>
        <v>0</v>
      </c>
      <c r="G985" s="5"/>
      <c r="H985" s="24"/>
      <c r="I985" s="5"/>
      <c r="J985" s="5"/>
      <c r="K985" s="5"/>
      <c r="L985" s="3" t="s">
        <v>155</v>
      </c>
      <c r="M985" s="5"/>
      <c r="N985" s="4"/>
      <c r="O985" s="5"/>
      <c r="P985" s="5"/>
      <c r="Q985" s="5"/>
      <c r="R985" s="5"/>
      <c r="S985" s="5"/>
      <c r="T985" s="24"/>
      <c r="U985" s="3" t="b">
        <v>0</v>
      </c>
      <c r="V985" s="5"/>
    </row>
    <row r="986" spans="1:22" ht="45" customHeight="1">
      <c r="A986" s="3" t="s">
        <v>148</v>
      </c>
      <c r="B986" s="5"/>
      <c r="C986" s="6"/>
      <c r="D986" s="3"/>
      <c r="E986" s="5"/>
      <c r="F986" s="20">
        <f>LEN(G986)</f>
        <v>0</v>
      </c>
      <c r="G986" s="5"/>
      <c r="H986" s="24"/>
      <c r="I986" s="5"/>
      <c r="J986" s="5"/>
      <c r="K986" s="5"/>
      <c r="L986" s="3" t="s">
        <v>155</v>
      </c>
      <c r="M986" s="5"/>
      <c r="N986" s="4"/>
      <c r="O986" s="5"/>
      <c r="P986" s="5"/>
      <c r="Q986" s="5"/>
      <c r="R986" s="5"/>
      <c r="S986" s="5"/>
      <c r="T986" s="24"/>
      <c r="U986" s="3" t="b">
        <v>0</v>
      </c>
      <c r="V986" s="5"/>
    </row>
    <row r="987" spans="1:22" ht="45" customHeight="1">
      <c r="A987" s="3" t="s">
        <v>148</v>
      </c>
      <c r="B987" s="5"/>
      <c r="C987" s="6"/>
      <c r="D987" s="3"/>
      <c r="E987" s="5"/>
      <c r="F987" s="20">
        <f>LEN(G987)</f>
        <v>0</v>
      </c>
      <c r="G987" s="5"/>
      <c r="H987" s="24"/>
      <c r="I987" s="5"/>
      <c r="J987" s="5"/>
      <c r="K987" s="5"/>
      <c r="L987" s="3" t="s">
        <v>155</v>
      </c>
      <c r="M987" s="5"/>
      <c r="N987" s="4"/>
      <c r="O987" s="5"/>
      <c r="P987" s="5"/>
      <c r="Q987" s="5"/>
      <c r="R987" s="5"/>
      <c r="S987" s="5"/>
      <c r="T987" s="24"/>
      <c r="U987" s="3" t="b">
        <v>0</v>
      </c>
      <c r="V987" s="5"/>
    </row>
    <row r="988" spans="1:22" ht="45" customHeight="1">
      <c r="A988" s="3" t="s">
        <v>148</v>
      </c>
      <c r="B988" s="5"/>
      <c r="C988" s="6"/>
      <c r="D988" s="3"/>
      <c r="E988" s="5"/>
      <c r="F988" s="20">
        <f>LEN(G988)</f>
        <v>0</v>
      </c>
      <c r="G988" s="5"/>
      <c r="H988" s="24"/>
      <c r="I988" s="5"/>
      <c r="J988" s="5"/>
      <c r="K988" s="5"/>
      <c r="L988" s="3" t="s">
        <v>155</v>
      </c>
      <c r="M988" s="5"/>
      <c r="N988" s="4"/>
      <c r="O988" s="5"/>
      <c r="P988" s="5"/>
      <c r="Q988" s="5"/>
      <c r="R988" s="5"/>
      <c r="S988" s="5"/>
      <c r="T988" s="24"/>
      <c r="U988" s="3" t="b">
        <v>0</v>
      </c>
      <c r="V988" s="5"/>
    </row>
    <row r="989" spans="1:22" ht="45" customHeight="1">
      <c r="A989" s="3" t="s">
        <v>148</v>
      </c>
      <c r="B989" s="5"/>
      <c r="C989" s="6"/>
      <c r="D989" s="3"/>
      <c r="E989" s="5"/>
      <c r="F989" s="20">
        <f>LEN(G989)</f>
        <v>0</v>
      </c>
      <c r="G989" s="5"/>
      <c r="H989" s="24"/>
      <c r="I989" s="5"/>
      <c r="J989" s="5"/>
      <c r="K989" s="5"/>
      <c r="L989" s="3" t="s">
        <v>155</v>
      </c>
      <c r="M989" s="5"/>
      <c r="N989" s="4"/>
      <c r="O989" s="5"/>
      <c r="P989" s="5"/>
      <c r="Q989" s="5"/>
      <c r="R989" s="5"/>
      <c r="S989" s="5"/>
      <c r="T989" s="24"/>
      <c r="U989" s="3" t="b">
        <v>0</v>
      </c>
      <c r="V989" s="5"/>
    </row>
    <row r="990" spans="1:22" ht="45" customHeight="1">
      <c r="A990" s="3" t="s">
        <v>148</v>
      </c>
      <c r="B990" s="5"/>
      <c r="C990" s="6"/>
      <c r="D990" s="3"/>
      <c r="E990" s="5"/>
      <c r="F990" s="20">
        <f>LEN(G990)</f>
        <v>0</v>
      </c>
      <c r="G990" s="5"/>
      <c r="H990" s="24"/>
      <c r="I990" s="5"/>
      <c r="J990" s="5"/>
      <c r="K990" s="5"/>
      <c r="L990" s="3" t="s">
        <v>155</v>
      </c>
      <c r="M990" s="5"/>
      <c r="N990" s="4"/>
      <c r="O990" s="5"/>
      <c r="P990" s="5"/>
      <c r="Q990" s="5"/>
      <c r="R990" s="5"/>
      <c r="S990" s="5"/>
      <c r="T990" s="24"/>
      <c r="U990" s="3" t="b">
        <v>0</v>
      </c>
      <c r="V990" s="5"/>
    </row>
    <row r="991" spans="1:22" ht="45" customHeight="1">
      <c r="A991" s="3" t="s">
        <v>148</v>
      </c>
      <c r="B991" s="5"/>
      <c r="C991" s="6"/>
      <c r="D991" s="3"/>
      <c r="E991" s="5"/>
      <c r="F991" s="20">
        <f>LEN(G991)</f>
        <v>0</v>
      </c>
      <c r="G991" s="5"/>
      <c r="H991" s="24"/>
      <c r="I991" s="5"/>
      <c r="J991" s="5"/>
      <c r="K991" s="5"/>
      <c r="L991" s="3" t="s">
        <v>155</v>
      </c>
      <c r="M991" s="5"/>
      <c r="N991" s="4"/>
      <c r="O991" s="5"/>
      <c r="P991" s="5"/>
      <c r="Q991" s="5"/>
      <c r="R991" s="5"/>
      <c r="S991" s="5"/>
      <c r="T991" s="24"/>
      <c r="U991" s="3" t="b">
        <v>0</v>
      </c>
      <c r="V991" s="5"/>
    </row>
    <row r="992" spans="1:22" ht="45" customHeight="1">
      <c r="A992" s="3" t="s">
        <v>148</v>
      </c>
      <c r="B992" s="5"/>
      <c r="C992" s="6"/>
      <c r="D992" s="3"/>
      <c r="E992" s="5"/>
      <c r="F992" s="20">
        <f>LEN(G992)</f>
        <v>0</v>
      </c>
      <c r="G992" s="5"/>
      <c r="H992" s="24"/>
      <c r="I992" s="5"/>
      <c r="J992" s="5"/>
      <c r="K992" s="5"/>
      <c r="L992" s="3" t="s">
        <v>155</v>
      </c>
      <c r="M992" s="5"/>
      <c r="N992" s="4"/>
      <c r="O992" s="5"/>
      <c r="P992" s="5"/>
      <c r="Q992" s="5"/>
      <c r="R992" s="5"/>
      <c r="S992" s="5"/>
      <c r="T992" s="24"/>
      <c r="U992" s="3" t="b">
        <v>0</v>
      </c>
      <c r="V992" s="5"/>
    </row>
    <row r="993" spans="1:22" ht="45" customHeight="1">
      <c r="A993" s="3" t="s">
        <v>148</v>
      </c>
      <c r="B993" s="5"/>
      <c r="C993" s="6"/>
      <c r="D993" s="3"/>
      <c r="E993" s="5"/>
      <c r="F993" s="20">
        <f>LEN(G993)</f>
        <v>0</v>
      </c>
      <c r="G993" s="5"/>
      <c r="H993" s="24"/>
      <c r="I993" s="5"/>
      <c r="J993" s="5"/>
      <c r="K993" s="5"/>
      <c r="L993" s="3" t="s">
        <v>155</v>
      </c>
      <c r="M993" s="5"/>
      <c r="N993" s="4"/>
      <c r="O993" s="5"/>
      <c r="P993" s="5"/>
      <c r="Q993" s="5"/>
      <c r="R993" s="5"/>
      <c r="S993" s="5"/>
      <c r="T993" s="24"/>
      <c r="U993" s="3" t="b">
        <v>0</v>
      </c>
      <c r="V993" s="5"/>
    </row>
    <row r="994" spans="1:22" ht="45" customHeight="1">
      <c r="A994" s="3" t="s">
        <v>148</v>
      </c>
      <c r="B994" s="5"/>
      <c r="C994" s="6"/>
      <c r="D994" s="3"/>
      <c r="E994" s="5"/>
      <c r="F994" s="20">
        <f>LEN(G994)</f>
        <v>0</v>
      </c>
      <c r="G994" s="5"/>
      <c r="H994" s="24"/>
      <c r="I994" s="5"/>
      <c r="J994" s="5"/>
      <c r="K994" s="5"/>
      <c r="L994" s="3" t="s">
        <v>155</v>
      </c>
      <c r="M994" s="5"/>
      <c r="N994" s="4"/>
      <c r="O994" s="5"/>
      <c r="P994" s="5"/>
      <c r="Q994" s="5"/>
      <c r="R994" s="5"/>
      <c r="S994" s="5"/>
      <c r="T994" s="24"/>
      <c r="U994" s="3" t="b">
        <v>0</v>
      </c>
      <c r="V994" s="5"/>
    </row>
    <row r="995" spans="1:22" ht="45" customHeight="1">
      <c r="A995" s="3" t="s">
        <v>148</v>
      </c>
      <c r="B995" s="5"/>
      <c r="C995" s="6"/>
      <c r="D995" s="3"/>
      <c r="E995" s="5"/>
      <c r="F995" s="20">
        <f>LEN(G995)</f>
        <v>0</v>
      </c>
      <c r="G995" s="5"/>
      <c r="H995" s="24"/>
      <c r="I995" s="5"/>
      <c r="J995" s="5"/>
      <c r="K995" s="5"/>
      <c r="L995" s="3" t="s">
        <v>155</v>
      </c>
      <c r="M995" s="5"/>
      <c r="N995" s="4"/>
      <c r="O995" s="5"/>
      <c r="P995" s="5"/>
      <c r="Q995" s="5"/>
      <c r="R995" s="5"/>
      <c r="S995" s="5"/>
      <c r="T995" s="24"/>
      <c r="U995" s="3" t="b">
        <v>0</v>
      </c>
      <c r="V995" s="5"/>
    </row>
    <row r="996" spans="1:22" ht="45" customHeight="1">
      <c r="A996" s="3" t="s">
        <v>148</v>
      </c>
      <c r="B996" s="5"/>
      <c r="C996" s="6"/>
      <c r="D996" s="3"/>
      <c r="E996" s="5"/>
      <c r="F996" s="20">
        <f>LEN(G996)</f>
        <v>0</v>
      </c>
      <c r="G996" s="5"/>
      <c r="H996" s="24"/>
      <c r="I996" s="5"/>
      <c r="J996" s="5"/>
      <c r="K996" s="5"/>
      <c r="L996" s="3" t="s">
        <v>155</v>
      </c>
      <c r="M996" s="5"/>
      <c r="N996" s="4"/>
      <c r="O996" s="5"/>
      <c r="P996" s="5"/>
      <c r="Q996" s="5"/>
      <c r="R996" s="5"/>
      <c r="S996" s="5"/>
      <c r="T996" s="24"/>
      <c r="U996" s="3" t="b">
        <v>0</v>
      </c>
      <c r="V996" s="5"/>
    </row>
    <row r="997" spans="1:22" ht="45" customHeight="1">
      <c r="A997" s="3" t="s">
        <v>148</v>
      </c>
      <c r="B997" s="5"/>
      <c r="C997" s="6"/>
      <c r="D997" s="3"/>
      <c r="E997" s="5"/>
      <c r="F997" s="20">
        <f>LEN(G997)</f>
        <v>0</v>
      </c>
      <c r="G997" s="5"/>
      <c r="H997" s="24"/>
      <c r="I997" s="5"/>
      <c r="J997" s="5"/>
      <c r="K997" s="5"/>
      <c r="L997" s="3" t="s">
        <v>155</v>
      </c>
      <c r="M997" s="5"/>
      <c r="N997" s="4"/>
      <c r="O997" s="5"/>
      <c r="P997" s="5"/>
      <c r="Q997" s="5"/>
      <c r="R997" s="5"/>
      <c r="S997" s="5"/>
      <c r="T997" s="24"/>
      <c r="U997" s="3" t="b">
        <v>0</v>
      </c>
      <c r="V997" s="5"/>
    </row>
    <row r="998" spans="1:22" ht="45" customHeight="1">
      <c r="A998" s="3" t="s">
        <v>148</v>
      </c>
      <c r="B998" s="5"/>
      <c r="C998" s="6"/>
      <c r="D998" s="3"/>
      <c r="E998" s="5"/>
      <c r="F998" s="20">
        <f>LEN(G998)</f>
        <v>0</v>
      </c>
      <c r="G998" s="5"/>
      <c r="H998" s="24"/>
      <c r="I998" s="5"/>
      <c r="J998" s="5"/>
      <c r="K998" s="5"/>
      <c r="L998" s="3" t="s">
        <v>155</v>
      </c>
      <c r="M998" s="5"/>
      <c r="N998" s="4"/>
      <c r="O998" s="5"/>
      <c r="P998" s="5"/>
      <c r="Q998" s="5"/>
      <c r="R998" s="5"/>
      <c r="S998" s="5"/>
      <c r="T998" s="24"/>
      <c r="U998" s="3" t="b">
        <v>0</v>
      </c>
      <c r="V998" s="5"/>
    </row>
    <row r="999" spans="1:22" ht="45" customHeight="1">
      <c r="A999" s="3" t="s">
        <v>148</v>
      </c>
      <c r="B999" s="5"/>
      <c r="C999" s="6"/>
      <c r="D999" s="3"/>
      <c r="E999" s="5"/>
      <c r="F999" s="20">
        <f>LEN(G999)</f>
        <v>0</v>
      </c>
      <c r="G999" s="5"/>
      <c r="H999" s="24"/>
      <c r="I999" s="5"/>
      <c r="J999" s="5"/>
      <c r="K999" s="5"/>
      <c r="L999" s="3" t="s">
        <v>155</v>
      </c>
      <c r="M999" s="5"/>
      <c r="N999" s="4"/>
      <c r="O999" s="5"/>
      <c r="P999" s="5"/>
      <c r="Q999" s="5"/>
      <c r="R999" s="5"/>
      <c r="S999" s="5"/>
      <c r="T999" s="24"/>
      <c r="U999" s="3" t="b">
        <v>0</v>
      </c>
      <c r="V999" s="5"/>
    </row>
    <row r="1000" spans="1:22" ht="45" customHeight="1">
      <c r="A1000" s="3" t="s">
        <v>148</v>
      </c>
      <c r="B1000" s="5"/>
      <c r="C1000" s="6"/>
      <c r="D1000" s="3"/>
      <c r="E1000" s="5"/>
      <c r="F1000" s="20">
        <f>LEN(G1000)</f>
        <v>0</v>
      </c>
      <c r="G1000" s="5"/>
      <c r="H1000" s="24"/>
      <c r="I1000" s="5"/>
      <c r="J1000" s="5"/>
      <c r="K1000" s="5"/>
      <c r="L1000" s="3" t="s">
        <v>155</v>
      </c>
      <c r="M1000" s="5"/>
      <c r="N1000" s="4"/>
      <c r="O1000" s="5"/>
      <c r="P1000" s="5"/>
      <c r="Q1000" s="5"/>
      <c r="R1000" s="5"/>
      <c r="S1000" s="5"/>
      <c r="T1000" s="24"/>
      <c r="U1000" s="3" t="b">
        <v>0</v>
      </c>
      <c r="V1000" s="5"/>
    </row>
    <row r="1001" spans="1:22" ht="45" customHeight="1">
      <c r="A1001" s="7"/>
      <c r="B1001" s="7"/>
      <c r="C1001" s="13"/>
      <c r="D1001" s="16"/>
      <c r="E1001" s="17"/>
      <c r="F1001" s="21"/>
      <c r="G1001" s="7"/>
      <c r="H1001" s="7"/>
      <c r="I1001" s="7"/>
      <c r="J1001" s="7"/>
      <c r="K1001" s="7"/>
      <c r="L1001" s="21"/>
      <c r="M1001" s="7"/>
      <c r="N1001" s="22"/>
      <c r="O1001" s="16"/>
      <c r="P1001" s="17"/>
      <c r="Q1001" s="7"/>
      <c r="R1001" s="32"/>
      <c r="S1001" s="13"/>
      <c r="T1001" s="17"/>
      <c r="U1001" s="7"/>
      <c r="V1001" s="5"/>
    </row>
    <row r="1002" spans="1:22" ht="45" customHeight="1">
      <c r="A1002" s="7"/>
      <c r="B1002" s="7"/>
      <c r="C1002" s="13"/>
      <c r="D1002" s="16"/>
      <c r="E1002" s="17"/>
      <c r="F1002" s="22"/>
      <c r="G1002" s="7"/>
      <c r="H1002" s="7"/>
      <c r="I1002" s="7"/>
      <c r="J1002" s="7"/>
      <c r="K1002" s="7"/>
      <c r="L1002" s="7"/>
      <c r="M1002" s="7"/>
      <c r="N1002" s="22"/>
      <c r="O1002" s="16"/>
      <c r="P1002" s="17"/>
      <c r="Q1002" s="7"/>
      <c r="R1002" s="32"/>
      <c r="S1002" s="13"/>
      <c r="T1002" s="17"/>
      <c r="U1002" s="7"/>
      <c r="V1002" s="5"/>
    </row>
    <row r="1003" spans="1:22" ht="45" customHeight="1">
      <c r="A1003" s="7"/>
      <c r="B1003" s="7"/>
      <c r="C1003" s="13"/>
      <c r="D1003" s="16"/>
      <c r="E1003" s="17"/>
      <c r="F1003" s="22"/>
      <c r="G1003" s="7"/>
      <c r="H1003" s="7"/>
      <c r="I1003" s="7"/>
      <c r="J1003" s="7"/>
      <c r="K1003" s="7"/>
      <c r="L1003" s="7"/>
      <c r="M1003" s="7"/>
      <c r="N1003" s="22"/>
      <c r="O1003" s="16"/>
      <c r="P1003" s="17"/>
      <c r="Q1003" s="7"/>
      <c r="R1003" s="32"/>
      <c r="S1003" s="13"/>
      <c r="T1003" s="17"/>
      <c r="U1003" s="7"/>
      <c r="V1003" s="5"/>
    </row>
    <row r="1004" spans="1:22" ht="45" customHeight="1">
      <c r="A1004" s="7"/>
      <c r="B1004" s="7"/>
      <c r="C1004" s="13"/>
      <c r="D1004" s="16"/>
      <c r="E1004" s="17"/>
      <c r="F1004" s="22"/>
      <c r="G1004" s="7"/>
      <c r="H1004" s="7"/>
      <c r="I1004" s="7"/>
      <c r="J1004" s="7"/>
      <c r="K1004" s="7"/>
      <c r="L1004" s="7"/>
      <c r="M1004" s="7"/>
      <c r="N1004" s="22"/>
      <c r="O1004" s="16"/>
      <c r="P1004" s="17"/>
      <c r="Q1004" s="7"/>
      <c r="R1004" s="32"/>
      <c r="S1004" s="13"/>
      <c r="T1004" s="17"/>
      <c r="U1004" s="7"/>
      <c r="V1004" s="5"/>
    </row>
    <row r="1005" spans="1:22" ht="45" customHeight="1">
      <c r="A1005" s="7"/>
      <c r="B1005" s="7"/>
      <c r="C1005" s="13"/>
      <c r="D1005" s="16"/>
      <c r="E1005" s="17"/>
      <c r="F1005" s="22"/>
      <c r="G1005" s="7"/>
      <c r="H1005" s="7"/>
      <c r="I1005" s="7"/>
      <c r="J1005" s="7"/>
      <c r="K1005" s="7"/>
      <c r="L1005" s="7"/>
      <c r="M1005" s="7"/>
      <c r="N1005" s="22"/>
      <c r="O1005" s="16"/>
      <c r="P1005" s="17"/>
      <c r="Q1005" s="7"/>
      <c r="R1005" s="32"/>
      <c r="S1005" s="13"/>
      <c r="T1005" s="17"/>
      <c r="U1005" s="7"/>
      <c r="V1005" s="5"/>
    </row>
    <row r="1006" spans="1:22" ht="45" customHeight="1">
      <c r="A1006" s="7"/>
      <c r="B1006" s="7"/>
      <c r="C1006" s="13"/>
      <c r="D1006" s="16"/>
      <c r="E1006" s="17"/>
      <c r="F1006" s="22"/>
      <c r="G1006" s="7"/>
      <c r="H1006" s="7"/>
      <c r="I1006" s="7"/>
      <c r="J1006" s="7"/>
      <c r="K1006" s="7"/>
      <c r="L1006" s="7"/>
      <c r="M1006" s="7"/>
      <c r="N1006" s="22"/>
      <c r="O1006" s="16"/>
      <c r="P1006" s="17"/>
      <c r="Q1006" s="7"/>
      <c r="R1006" s="32"/>
      <c r="S1006" s="13"/>
      <c r="T1006" s="17"/>
      <c r="U1006" s="7"/>
      <c r="V1006" s="5"/>
    </row>
    <row r="1007" spans="1:22" ht="45" customHeight="1">
      <c r="A1007" s="7"/>
      <c r="B1007" s="7"/>
      <c r="C1007" s="13"/>
      <c r="D1007" s="16"/>
      <c r="E1007" s="17"/>
      <c r="F1007" s="22"/>
      <c r="G1007" s="7"/>
      <c r="H1007" s="7"/>
      <c r="I1007" s="7"/>
      <c r="J1007" s="7"/>
      <c r="K1007" s="7"/>
      <c r="L1007" s="7"/>
      <c r="M1007" s="7"/>
      <c r="N1007" s="22"/>
      <c r="O1007" s="16"/>
      <c r="P1007" s="17"/>
      <c r="Q1007" s="7"/>
      <c r="R1007" s="32"/>
      <c r="S1007" s="13"/>
      <c r="T1007" s="17"/>
      <c r="U1007" s="7"/>
      <c r="V1007" s="5"/>
    </row>
    <row r="1008" spans="1:22" ht="45" customHeight="1">
      <c r="A1008" s="7"/>
      <c r="B1008" s="7"/>
      <c r="C1008" s="13"/>
      <c r="D1008" s="16"/>
      <c r="E1008" s="17"/>
      <c r="F1008" s="22"/>
      <c r="G1008" s="7"/>
      <c r="H1008" s="7"/>
      <c r="I1008" s="7"/>
      <c r="J1008" s="7"/>
      <c r="K1008" s="7"/>
      <c r="L1008" s="7"/>
      <c r="M1008" s="7"/>
      <c r="N1008" s="22"/>
      <c r="O1008" s="16"/>
      <c r="P1008" s="17"/>
      <c r="Q1008" s="7"/>
      <c r="R1008" s="32"/>
      <c r="S1008" s="13"/>
      <c r="T1008" s="17"/>
      <c r="U1008" s="7"/>
      <c r="V1008" s="5"/>
    </row>
    <row r="1009" spans="1:22" ht="45" customHeight="1">
      <c r="A1009" s="7"/>
      <c r="B1009" s="7"/>
      <c r="C1009" s="13"/>
      <c r="D1009" s="16"/>
      <c r="E1009" s="17"/>
      <c r="F1009" s="22"/>
      <c r="G1009" s="7"/>
      <c r="H1009" s="7"/>
      <c r="I1009" s="7"/>
      <c r="J1009" s="7"/>
      <c r="K1009" s="7"/>
      <c r="L1009" s="7"/>
      <c r="M1009" s="7"/>
      <c r="N1009" s="22"/>
      <c r="O1009" s="16"/>
      <c r="P1009" s="17"/>
      <c r="Q1009" s="7"/>
      <c r="R1009" s="32"/>
      <c r="S1009" s="13"/>
      <c r="T1009" s="17"/>
      <c r="U1009" s="7"/>
      <c r="V1009" s="5"/>
    </row>
    <row r="1010" spans="1:22" ht="45" customHeight="1">
      <c r="A1010" s="7"/>
      <c r="B1010" s="7"/>
      <c r="C1010" s="13"/>
      <c r="D1010" s="16"/>
      <c r="E1010" s="17"/>
      <c r="F1010" s="22"/>
      <c r="G1010" s="7"/>
      <c r="H1010" s="7"/>
      <c r="I1010" s="7"/>
      <c r="J1010" s="7"/>
      <c r="K1010" s="7"/>
      <c r="L1010" s="7"/>
      <c r="M1010" s="7"/>
      <c r="N1010" s="22"/>
      <c r="O1010" s="16"/>
      <c r="P1010" s="17"/>
      <c r="Q1010" s="7"/>
      <c r="R1010" s="32"/>
      <c r="S1010" s="13"/>
      <c r="T1010" s="17"/>
      <c r="U1010" s="7"/>
      <c r="V1010" s="5"/>
    </row>
    <row r="1011" spans="1:22" ht="45" customHeight="1">
      <c r="A1011" s="7"/>
      <c r="B1011" s="7"/>
      <c r="C1011" s="13"/>
      <c r="D1011" s="16"/>
      <c r="E1011" s="17"/>
      <c r="F1011" s="22"/>
      <c r="G1011" s="7"/>
      <c r="H1011" s="7"/>
      <c r="I1011" s="7"/>
      <c r="J1011" s="7"/>
      <c r="K1011" s="7"/>
      <c r="L1011" s="7"/>
      <c r="M1011" s="7"/>
      <c r="N1011" s="22"/>
      <c r="O1011" s="16"/>
      <c r="P1011" s="17"/>
      <c r="Q1011" s="7"/>
      <c r="R1011" s="32"/>
      <c r="S1011" s="13"/>
      <c r="T1011" s="17"/>
      <c r="U1011" s="7"/>
      <c r="V1011" s="5"/>
    </row>
    <row r="1012" spans="1:22" ht="45" customHeight="1">
      <c r="A1012" s="7"/>
      <c r="B1012" s="7"/>
      <c r="C1012" s="13"/>
      <c r="D1012" s="16"/>
      <c r="E1012" s="17"/>
      <c r="F1012" s="22"/>
      <c r="G1012" s="7"/>
      <c r="H1012" s="7"/>
      <c r="I1012" s="7"/>
      <c r="J1012" s="7"/>
      <c r="K1012" s="7"/>
      <c r="L1012" s="7"/>
      <c r="M1012" s="7"/>
      <c r="N1012" s="22"/>
      <c r="O1012" s="16"/>
      <c r="P1012" s="17"/>
      <c r="Q1012" s="7"/>
      <c r="R1012" s="32"/>
      <c r="S1012" s="13"/>
      <c r="T1012" s="17"/>
      <c r="U1012" s="7"/>
      <c r="V1012" s="5"/>
    </row>
    <row r="1013" spans="1:22" ht="45" customHeight="1">
      <c r="A1013" s="7"/>
      <c r="B1013" s="7"/>
      <c r="C1013" s="13"/>
      <c r="D1013" s="16"/>
      <c r="E1013" s="17"/>
      <c r="F1013" s="22"/>
      <c r="G1013" s="7"/>
      <c r="H1013" s="7"/>
      <c r="I1013" s="7"/>
      <c r="J1013" s="7"/>
      <c r="K1013" s="7"/>
      <c r="L1013" s="7"/>
      <c r="M1013" s="7"/>
      <c r="N1013" s="22"/>
      <c r="O1013" s="16"/>
      <c r="P1013" s="17"/>
      <c r="Q1013" s="7"/>
      <c r="R1013" s="32"/>
      <c r="S1013" s="13"/>
      <c r="T1013" s="17"/>
      <c r="U1013" s="7"/>
      <c r="V1013" s="5"/>
    </row>
    <row r="1014" spans="1:22" ht="45" customHeight="1">
      <c r="A1014" s="7"/>
      <c r="B1014" s="7"/>
      <c r="C1014" s="13"/>
      <c r="D1014" s="16"/>
      <c r="E1014" s="17"/>
      <c r="F1014" s="22"/>
      <c r="G1014" s="7"/>
      <c r="H1014" s="7"/>
      <c r="I1014" s="7"/>
      <c r="J1014" s="7"/>
      <c r="K1014" s="7"/>
      <c r="L1014" s="7"/>
      <c r="M1014" s="7"/>
      <c r="N1014" s="22"/>
      <c r="O1014" s="16"/>
      <c r="P1014" s="17"/>
      <c r="Q1014" s="7"/>
      <c r="R1014" s="32"/>
      <c r="S1014" s="13"/>
      <c r="T1014" s="17"/>
      <c r="U1014" s="7"/>
      <c r="V1014" s="5"/>
    </row>
    <row r="1015" spans="1:22" ht="45" customHeight="1">
      <c r="A1015" s="7"/>
      <c r="B1015" s="7"/>
      <c r="C1015" s="13"/>
      <c r="D1015" s="16"/>
      <c r="E1015" s="17"/>
      <c r="F1015" s="22"/>
      <c r="G1015" s="7"/>
      <c r="H1015" s="7"/>
      <c r="I1015" s="7"/>
      <c r="J1015" s="7"/>
      <c r="K1015" s="7"/>
      <c r="L1015" s="7"/>
      <c r="M1015" s="7"/>
      <c r="N1015" s="22"/>
      <c r="O1015" s="16"/>
      <c r="P1015" s="17"/>
      <c r="Q1015" s="7"/>
      <c r="R1015" s="32"/>
      <c r="S1015" s="13"/>
      <c r="T1015" s="17"/>
      <c r="U1015" s="7"/>
      <c r="V1015" s="5"/>
    </row>
    <row r="1016" spans="1:22" ht="45" customHeight="1">
      <c r="A1016" s="7"/>
      <c r="B1016" s="7"/>
      <c r="C1016" s="13"/>
      <c r="D1016" s="16"/>
      <c r="E1016" s="17"/>
      <c r="F1016" s="22"/>
      <c r="G1016" s="7"/>
      <c r="H1016" s="7"/>
      <c r="I1016" s="7"/>
      <c r="J1016" s="7"/>
      <c r="K1016" s="7"/>
      <c r="L1016" s="7"/>
      <c r="M1016" s="7"/>
      <c r="N1016" s="22"/>
      <c r="O1016" s="16"/>
      <c r="P1016" s="17"/>
      <c r="Q1016" s="7"/>
      <c r="R1016" s="32"/>
      <c r="S1016" s="13"/>
      <c r="T1016" s="17"/>
      <c r="U1016" s="7"/>
      <c r="V1016" s="5"/>
    </row>
    <row r="1017" spans="1:22" ht="45" customHeight="1">
      <c r="A1017" s="7"/>
      <c r="B1017" s="7"/>
      <c r="C1017" s="13"/>
      <c r="D1017" s="16"/>
      <c r="E1017" s="17"/>
      <c r="F1017" s="22"/>
      <c r="G1017" s="7"/>
      <c r="H1017" s="7"/>
      <c r="I1017" s="7"/>
      <c r="J1017" s="7"/>
      <c r="K1017" s="7"/>
      <c r="L1017" s="7"/>
      <c r="M1017" s="7"/>
      <c r="N1017" s="22"/>
      <c r="O1017" s="16"/>
      <c r="P1017" s="17"/>
      <c r="Q1017" s="7"/>
      <c r="R1017" s="32"/>
      <c r="S1017" s="13"/>
      <c r="T1017" s="17"/>
      <c r="U1017" s="7"/>
      <c r="V1017" s="5"/>
    </row>
    <row r="1018" spans="1:22" ht="45" customHeight="1">
      <c r="A1018" s="7"/>
      <c r="B1018" s="7"/>
      <c r="C1018" s="13"/>
      <c r="D1018" s="16"/>
      <c r="E1018" s="17"/>
      <c r="F1018" s="22"/>
      <c r="G1018" s="7"/>
      <c r="H1018" s="7"/>
      <c r="I1018" s="7"/>
      <c r="J1018" s="7"/>
      <c r="K1018" s="7"/>
      <c r="L1018" s="7"/>
      <c r="M1018" s="7"/>
      <c r="N1018" s="22"/>
      <c r="O1018" s="16"/>
      <c r="P1018" s="17"/>
      <c r="Q1018" s="7"/>
      <c r="R1018" s="32"/>
      <c r="S1018" s="13"/>
      <c r="T1018" s="17"/>
      <c r="U1018" s="7"/>
      <c r="V1018" s="5"/>
    </row>
    <row r="1019" spans="1:22" ht="45" customHeight="1">
      <c r="A1019" s="7"/>
      <c r="B1019" s="7"/>
      <c r="C1019" s="13"/>
      <c r="D1019" s="16"/>
      <c r="E1019" s="17"/>
      <c r="F1019" s="22"/>
      <c r="G1019" s="7"/>
      <c r="H1019" s="7"/>
      <c r="I1019" s="7"/>
      <c r="J1019" s="7"/>
      <c r="K1019" s="7"/>
      <c r="L1019" s="7"/>
      <c r="M1019" s="7"/>
      <c r="N1019" s="22"/>
      <c r="O1019" s="16"/>
      <c r="P1019" s="17"/>
      <c r="Q1019" s="7"/>
      <c r="R1019" s="32"/>
      <c r="S1019" s="13"/>
      <c r="T1019" s="17"/>
      <c r="U1019" s="7"/>
      <c r="V1019" s="5"/>
    </row>
    <row r="1020" spans="1:22" ht="45" customHeight="1">
      <c r="A1020" s="7"/>
      <c r="B1020" s="7"/>
      <c r="C1020" s="13"/>
      <c r="D1020" s="16"/>
      <c r="E1020" s="17"/>
      <c r="F1020" s="22"/>
      <c r="G1020" s="7"/>
      <c r="H1020" s="7"/>
      <c r="I1020" s="7"/>
      <c r="J1020" s="7"/>
      <c r="K1020" s="7"/>
      <c r="L1020" s="7"/>
      <c r="M1020" s="7"/>
      <c r="N1020" s="22"/>
      <c r="O1020" s="16"/>
      <c r="P1020" s="17"/>
      <c r="Q1020" s="7"/>
      <c r="R1020" s="32"/>
      <c r="S1020" s="13"/>
      <c r="T1020" s="17"/>
      <c r="U1020" s="7"/>
      <c r="V1020" s="5"/>
    </row>
    <row r="1021" spans="1:22" ht="45" customHeight="1">
      <c r="A1021" s="7"/>
      <c r="B1021" s="7"/>
      <c r="C1021" s="13"/>
      <c r="D1021" s="16"/>
      <c r="E1021" s="17"/>
      <c r="F1021" s="22"/>
      <c r="G1021" s="7"/>
      <c r="H1021" s="7"/>
      <c r="I1021" s="7"/>
      <c r="J1021" s="7"/>
      <c r="K1021" s="7"/>
      <c r="L1021" s="7"/>
      <c r="M1021" s="7"/>
      <c r="N1021" s="22"/>
      <c r="O1021" s="16"/>
      <c r="P1021" s="17"/>
      <c r="Q1021" s="7"/>
      <c r="R1021" s="32"/>
      <c r="S1021" s="13"/>
      <c r="T1021" s="17"/>
      <c r="U1021" s="7"/>
      <c r="V1021" s="5"/>
    </row>
    <row r="1022" spans="1:22" ht="45" customHeight="1">
      <c r="A1022" s="7"/>
      <c r="B1022" s="7"/>
      <c r="C1022" s="13"/>
      <c r="D1022" s="16"/>
      <c r="E1022" s="17"/>
      <c r="F1022" s="22"/>
      <c r="G1022" s="7"/>
      <c r="H1022" s="7"/>
      <c r="I1022" s="7"/>
      <c r="J1022" s="7"/>
      <c r="K1022" s="7"/>
      <c r="L1022" s="7"/>
      <c r="M1022" s="7"/>
      <c r="N1022" s="22"/>
      <c r="O1022" s="16"/>
      <c r="P1022" s="17"/>
      <c r="Q1022" s="7"/>
      <c r="R1022" s="32"/>
      <c r="S1022" s="13"/>
      <c r="T1022" s="17"/>
      <c r="U1022" s="7"/>
      <c r="V1022" s="5"/>
    </row>
    <row r="1023" spans="1:22" ht="45" customHeight="1">
      <c r="A1023" s="7"/>
      <c r="B1023" s="7"/>
      <c r="C1023" s="13"/>
      <c r="D1023" s="16"/>
      <c r="E1023" s="17"/>
      <c r="F1023" s="22"/>
      <c r="G1023" s="7"/>
      <c r="H1023" s="7"/>
      <c r="I1023" s="7"/>
      <c r="J1023" s="7"/>
      <c r="K1023" s="7"/>
      <c r="L1023" s="7"/>
      <c r="M1023" s="7"/>
      <c r="N1023" s="22"/>
      <c r="O1023" s="16"/>
      <c r="P1023" s="17"/>
      <c r="Q1023" s="7"/>
      <c r="R1023" s="32"/>
      <c r="S1023" s="13"/>
      <c r="T1023" s="17"/>
      <c r="U1023" s="7"/>
      <c r="V1023" s="5"/>
    </row>
    <row r="1024" spans="1:22" ht="45" customHeight="1">
      <c r="A1024" s="7"/>
      <c r="B1024" s="7"/>
      <c r="C1024" s="13"/>
      <c r="D1024" s="16"/>
      <c r="E1024" s="17"/>
      <c r="F1024" s="22"/>
      <c r="G1024" s="7"/>
      <c r="H1024" s="7"/>
      <c r="I1024" s="7"/>
      <c r="J1024" s="7"/>
      <c r="K1024" s="7"/>
      <c r="L1024" s="7"/>
      <c r="M1024" s="7"/>
      <c r="N1024" s="22"/>
      <c r="O1024" s="16"/>
      <c r="P1024" s="17"/>
      <c r="Q1024" s="7"/>
      <c r="R1024" s="32"/>
      <c r="S1024" s="13"/>
      <c r="T1024" s="17"/>
      <c r="U1024" s="7"/>
      <c r="V1024" s="5"/>
    </row>
    <row r="1025" spans="1:22" ht="45" customHeight="1">
      <c r="A1025" s="7"/>
      <c r="B1025" s="7"/>
      <c r="C1025" s="13"/>
      <c r="D1025" s="16"/>
      <c r="E1025" s="17"/>
      <c r="F1025" s="22"/>
      <c r="G1025" s="7"/>
      <c r="H1025" s="7"/>
      <c r="I1025" s="7"/>
      <c r="J1025" s="7"/>
      <c r="K1025" s="7"/>
      <c r="L1025" s="7"/>
      <c r="M1025" s="7"/>
      <c r="N1025" s="22"/>
      <c r="O1025" s="16"/>
      <c r="P1025" s="17"/>
      <c r="Q1025" s="7"/>
      <c r="R1025" s="32"/>
      <c r="S1025" s="13"/>
      <c r="T1025" s="17"/>
      <c r="U1025" s="7"/>
      <c r="V1025" s="5"/>
    </row>
    <row r="1026" spans="1:22" ht="45" customHeight="1">
      <c r="A1026" s="7"/>
      <c r="B1026" s="7"/>
      <c r="C1026" s="13"/>
      <c r="D1026" s="16"/>
      <c r="E1026" s="17"/>
      <c r="F1026" s="22"/>
      <c r="G1026" s="7"/>
      <c r="H1026" s="7"/>
      <c r="I1026" s="7"/>
      <c r="J1026" s="7"/>
      <c r="K1026" s="7"/>
      <c r="L1026" s="7"/>
      <c r="M1026" s="7"/>
      <c r="N1026" s="22"/>
      <c r="O1026" s="16"/>
      <c r="P1026" s="17"/>
      <c r="Q1026" s="7"/>
      <c r="R1026" s="32"/>
      <c r="S1026" s="13"/>
      <c r="T1026" s="17"/>
      <c r="U1026" s="7"/>
      <c r="V1026" s="5"/>
    </row>
    <row r="1027" spans="1:22" ht="45" customHeight="1">
      <c r="A1027" s="7"/>
      <c r="B1027" s="7"/>
      <c r="C1027" s="13"/>
      <c r="D1027" s="16"/>
      <c r="E1027" s="17"/>
      <c r="F1027" s="22"/>
      <c r="G1027" s="7"/>
      <c r="H1027" s="7"/>
      <c r="I1027" s="7"/>
      <c r="J1027" s="7"/>
      <c r="K1027" s="7"/>
      <c r="L1027" s="7"/>
      <c r="M1027" s="7"/>
      <c r="N1027" s="22"/>
      <c r="O1027" s="16"/>
      <c r="P1027" s="17"/>
      <c r="Q1027" s="7"/>
      <c r="R1027" s="32"/>
      <c r="S1027" s="13"/>
      <c r="T1027" s="17"/>
      <c r="U1027" s="7"/>
      <c r="V1027" s="5"/>
    </row>
    <row r="1028" spans="1:22" ht="45" customHeight="1">
      <c r="A1028" s="7"/>
      <c r="B1028" s="7"/>
      <c r="C1028" s="13"/>
      <c r="D1028" s="16"/>
      <c r="E1028" s="17"/>
      <c r="F1028" s="22"/>
      <c r="G1028" s="7"/>
      <c r="H1028" s="7"/>
      <c r="I1028" s="7"/>
      <c r="J1028" s="7"/>
      <c r="K1028" s="7"/>
      <c r="L1028" s="7"/>
      <c r="M1028" s="7"/>
      <c r="N1028" s="22"/>
      <c r="O1028" s="16"/>
      <c r="P1028" s="17"/>
      <c r="Q1028" s="7"/>
      <c r="R1028" s="32"/>
      <c r="S1028" s="13"/>
      <c r="T1028" s="17"/>
      <c r="U1028" s="7"/>
      <c r="V1028" s="5"/>
    </row>
    <row r="1029" spans="1:22" ht="45" customHeight="1">
      <c r="A1029" s="7"/>
      <c r="B1029" s="7"/>
      <c r="C1029" s="13"/>
      <c r="D1029" s="16"/>
      <c r="E1029" s="17"/>
      <c r="F1029" s="22"/>
      <c r="G1029" s="7"/>
      <c r="H1029" s="7"/>
      <c r="I1029" s="7"/>
      <c r="J1029" s="7"/>
      <c r="K1029" s="7"/>
      <c r="L1029" s="7"/>
      <c r="M1029" s="7"/>
      <c r="N1029" s="22"/>
      <c r="O1029" s="16"/>
      <c r="P1029" s="17"/>
      <c r="Q1029" s="7"/>
      <c r="R1029" s="32"/>
      <c r="S1029" s="13"/>
      <c r="T1029" s="17"/>
      <c r="U1029" s="7"/>
      <c r="V1029" s="5"/>
    </row>
    <row r="1030" spans="1:22" ht="45" customHeight="1">
      <c r="A1030" s="7"/>
      <c r="B1030" s="7"/>
      <c r="C1030" s="13"/>
      <c r="D1030" s="16"/>
      <c r="E1030" s="17"/>
      <c r="F1030" s="22"/>
      <c r="G1030" s="7"/>
      <c r="H1030" s="7"/>
      <c r="I1030" s="7"/>
      <c r="J1030" s="7"/>
      <c r="K1030" s="7"/>
      <c r="L1030" s="7"/>
      <c r="M1030" s="7"/>
      <c r="N1030" s="22"/>
      <c r="O1030" s="16"/>
      <c r="P1030" s="17"/>
      <c r="Q1030" s="7"/>
      <c r="R1030" s="32"/>
      <c r="S1030" s="13"/>
      <c r="T1030" s="17"/>
      <c r="U1030" s="7"/>
      <c r="V1030" s="5"/>
    </row>
    <row r="1031" spans="1:22" ht="45" customHeight="1">
      <c r="A1031" s="7"/>
      <c r="B1031" s="7"/>
      <c r="C1031" s="13"/>
      <c r="D1031" s="16"/>
      <c r="E1031" s="17"/>
      <c r="F1031" s="22"/>
      <c r="G1031" s="7"/>
      <c r="H1031" s="7"/>
      <c r="I1031" s="7"/>
      <c r="J1031" s="7"/>
      <c r="K1031" s="7"/>
      <c r="L1031" s="7"/>
      <c r="M1031" s="7"/>
      <c r="N1031" s="22"/>
      <c r="O1031" s="16"/>
      <c r="P1031" s="17"/>
      <c r="Q1031" s="7"/>
      <c r="R1031" s="32"/>
      <c r="S1031" s="13"/>
      <c r="T1031" s="17"/>
      <c r="U1031" s="7"/>
      <c r="V1031" s="5"/>
    </row>
    <row r="1032" spans="1:22" ht="45" customHeight="1">
      <c r="A1032" s="7"/>
      <c r="B1032" s="7"/>
      <c r="C1032" s="13"/>
      <c r="D1032" s="16"/>
      <c r="E1032" s="17"/>
      <c r="F1032" s="22"/>
      <c r="G1032" s="7"/>
      <c r="H1032" s="7"/>
      <c r="I1032" s="7"/>
      <c r="J1032" s="7"/>
      <c r="K1032" s="7"/>
      <c r="L1032" s="7"/>
      <c r="M1032" s="7"/>
      <c r="N1032" s="22"/>
      <c r="O1032" s="16"/>
      <c r="P1032" s="17"/>
      <c r="Q1032" s="7"/>
      <c r="R1032" s="32"/>
      <c r="S1032" s="13"/>
      <c r="T1032" s="17"/>
      <c r="U1032" s="7"/>
      <c r="V1032" s="5"/>
    </row>
    <row r="1033" spans="1:22" ht="45" customHeight="1">
      <c r="A1033" s="7"/>
      <c r="B1033" s="7"/>
      <c r="C1033" s="13"/>
      <c r="D1033" s="16"/>
      <c r="E1033" s="17"/>
      <c r="F1033" s="22"/>
      <c r="G1033" s="7"/>
      <c r="H1033" s="7"/>
      <c r="I1033" s="7"/>
      <c r="J1033" s="7"/>
      <c r="K1033" s="7"/>
      <c r="L1033" s="7"/>
      <c r="M1033" s="7"/>
      <c r="N1033" s="22"/>
      <c r="O1033" s="16"/>
      <c r="P1033" s="17"/>
      <c r="Q1033" s="7"/>
      <c r="R1033" s="32"/>
      <c r="S1033" s="13"/>
      <c r="T1033" s="17"/>
      <c r="U1033" s="7"/>
      <c r="V1033" s="5"/>
    </row>
    <row r="1034" spans="1:22" ht="45" customHeight="1">
      <c r="A1034" s="7"/>
      <c r="B1034" s="7"/>
      <c r="C1034" s="13"/>
      <c r="D1034" s="16"/>
      <c r="E1034" s="17"/>
      <c r="F1034" s="22"/>
      <c r="G1034" s="7"/>
      <c r="H1034" s="7"/>
      <c r="I1034" s="7"/>
      <c r="J1034" s="7"/>
      <c r="K1034" s="7"/>
      <c r="L1034" s="7"/>
      <c r="M1034" s="7"/>
      <c r="N1034" s="22"/>
      <c r="O1034" s="16"/>
      <c r="P1034" s="17"/>
      <c r="Q1034" s="7"/>
      <c r="R1034" s="32"/>
      <c r="S1034" s="13"/>
      <c r="T1034" s="17"/>
      <c r="U1034" s="7"/>
      <c r="V1034" s="5"/>
    </row>
    <row r="1035" spans="1:22" ht="45" customHeight="1">
      <c r="A1035" s="7"/>
      <c r="B1035" s="7"/>
      <c r="C1035" s="13"/>
      <c r="D1035" s="16"/>
      <c r="E1035" s="17"/>
      <c r="F1035" s="22"/>
      <c r="G1035" s="7"/>
      <c r="H1035" s="7"/>
      <c r="I1035" s="7"/>
      <c r="J1035" s="7"/>
      <c r="K1035" s="7"/>
      <c r="L1035" s="7"/>
      <c r="M1035" s="7"/>
      <c r="N1035" s="22"/>
      <c r="O1035" s="16"/>
      <c r="P1035" s="17"/>
      <c r="Q1035" s="7"/>
      <c r="R1035" s="32"/>
      <c r="S1035" s="13"/>
      <c r="T1035" s="17"/>
      <c r="U1035" s="7"/>
      <c r="V1035" s="5"/>
    </row>
    <row r="1036" spans="1:22" ht="45" customHeight="1">
      <c r="A1036" s="7"/>
      <c r="B1036" s="7"/>
      <c r="C1036" s="13"/>
      <c r="D1036" s="16"/>
      <c r="E1036" s="17"/>
      <c r="F1036" s="22"/>
      <c r="G1036" s="7"/>
      <c r="H1036" s="7"/>
      <c r="I1036" s="7"/>
      <c r="J1036" s="7"/>
      <c r="K1036" s="7"/>
      <c r="L1036" s="7"/>
      <c r="M1036" s="7"/>
      <c r="N1036" s="22"/>
      <c r="O1036" s="16"/>
      <c r="P1036" s="17"/>
      <c r="Q1036" s="7"/>
      <c r="R1036" s="32"/>
      <c r="S1036" s="13"/>
      <c r="T1036" s="17"/>
      <c r="U1036" s="7"/>
      <c r="V1036" s="5"/>
    </row>
    <row r="1037" spans="1:22" ht="45" customHeight="1">
      <c r="A1037" s="7"/>
      <c r="B1037" s="7"/>
      <c r="C1037" s="13"/>
      <c r="D1037" s="16"/>
      <c r="E1037" s="17"/>
      <c r="F1037" s="22"/>
      <c r="G1037" s="7"/>
      <c r="H1037" s="7"/>
      <c r="I1037" s="7"/>
      <c r="J1037" s="7"/>
      <c r="K1037" s="7"/>
      <c r="L1037" s="7"/>
      <c r="M1037" s="7"/>
      <c r="N1037" s="22"/>
      <c r="O1037" s="16"/>
      <c r="P1037" s="17"/>
      <c r="Q1037" s="7"/>
      <c r="R1037" s="32"/>
      <c r="S1037" s="13"/>
      <c r="T1037" s="17"/>
      <c r="U1037" s="7"/>
      <c r="V1037" s="5"/>
    </row>
    <row r="1038" spans="1:22" ht="45" customHeight="1">
      <c r="A1038" s="7"/>
      <c r="B1038" s="7"/>
      <c r="C1038" s="13"/>
      <c r="D1038" s="16"/>
      <c r="E1038" s="17"/>
      <c r="F1038" s="22"/>
      <c r="G1038" s="7"/>
      <c r="H1038" s="7"/>
      <c r="I1038" s="7"/>
      <c r="J1038" s="7"/>
      <c r="K1038" s="7"/>
      <c r="L1038" s="7"/>
      <c r="M1038" s="7"/>
      <c r="N1038" s="22"/>
      <c r="O1038" s="16"/>
      <c r="P1038" s="17"/>
      <c r="Q1038" s="7"/>
      <c r="R1038" s="32"/>
      <c r="S1038" s="13"/>
      <c r="T1038" s="17"/>
      <c r="U1038" s="7"/>
      <c r="V1038" s="5"/>
    </row>
    <row r="1039" spans="1:22" ht="45" customHeight="1">
      <c r="A1039" s="7"/>
      <c r="B1039" s="7"/>
      <c r="C1039" s="13"/>
      <c r="D1039" s="16"/>
      <c r="E1039" s="17"/>
      <c r="F1039" s="22"/>
      <c r="G1039" s="7"/>
      <c r="H1039" s="7"/>
      <c r="I1039" s="7"/>
      <c r="J1039" s="7"/>
      <c r="K1039" s="7"/>
      <c r="L1039" s="7"/>
      <c r="M1039" s="7"/>
      <c r="N1039" s="22"/>
      <c r="O1039" s="16"/>
      <c r="P1039" s="17"/>
      <c r="Q1039" s="7"/>
      <c r="R1039" s="32"/>
      <c r="S1039" s="13"/>
      <c r="T1039" s="17"/>
      <c r="U1039" s="7"/>
      <c r="V1039" s="5"/>
    </row>
    <row r="1040" spans="1:22" ht="45" customHeight="1">
      <c r="A1040" s="7"/>
      <c r="B1040" s="7"/>
      <c r="C1040" s="13"/>
      <c r="D1040" s="16"/>
      <c r="E1040" s="17"/>
      <c r="F1040" s="22"/>
      <c r="G1040" s="7"/>
      <c r="H1040" s="7"/>
      <c r="I1040" s="7"/>
      <c r="J1040" s="7"/>
      <c r="K1040" s="7"/>
      <c r="L1040" s="7"/>
      <c r="M1040" s="7"/>
      <c r="N1040" s="22"/>
      <c r="O1040" s="16"/>
      <c r="P1040" s="17"/>
      <c r="Q1040" s="7"/>
      <c r="R1040" s="32"/>
      <c r="S1040" s="13"/>
      <c r="T1040" s="17"/>
      <c r="U1040" s="7"/>
      <c r="V1040" s="5"/>
    </row>
    <row r="1041" spans="1:22" ht="45" customHeight="1">
      <c r="A1041" s="7"/>
      <c r="B1041" s="7"/>
      <c r="C1041" s="13"/>
      <c r="D1041" s="16"/>
      <c r="E1041" s="17"/>
      <c r="F1041" s="22"/>
      <c r="G1041" s="7"/>
      <c r="H1041" s="7"/>
      <c r="I1041" s="7"/>
      <c r="J1041" s="7"/>
      <c r="K1041" s="7"/>
      <c r="L1041" s="7"/>
      <c r="M1041" s="7"/>
      <c r="N1041" s="22"/>
      <c r="O1041" s="16"/>
      <c r="P1041" s="17"/>
      <c r="Q1041" s="7"/>
      <c r="R1041" s="32"/>
      <c r="S1041" s="13"/>
      <c r="T1041" s="17"/>
      <c r="U1041" s="7"/>
      <c r="V1041" s="5"/>
    </row>
    <row r="1042" spans="1:22" ht="45" customHeight="1">
      <c r="A1042" s="7"/>
      <c r="B1042" s="7"/>
      <c r="C1042" s="13"/>
      <c r="D1042" s="16"/>
      <c r="E1042" s="17"/>
      <c r="F1042" s="22"/>
      <c r="G1042" s="7"/>
      <c r="H1042" s="7"/>
      <c r="I1042" s="7"/>
      <c r="J1042" s="7"/>
      <c r="K1042" s="7"/>
      <c r="L1042" s="7"/>
      <c r="M1042" s="7"/>
      <c r="N1042" s="22"/>
      <c r="O1042" s="16"/>
      <c r="P1042" s="17"/>
      <c r="Q1042" s="7"/>
      <c r="R1042" s="32"/>
      <c r="S1042" s="13"/>
      <c r="T1042" s="17"/>
      <c r="U1042" s="7"/>
      <c r="V1042" s="5"/>
    </row>
    <row r="1043" spans="1:22" ht="45" customHeight="1">
      <c r="A1043" s="7"/>
      <c r="B1043" s="7"/>
      <c r="C1043" s="13"/>
      <c r="D1043" s="16"/>
      <c r="E1043" s="17"/>
      <c r="F1043" s="22"/>
      <c r="G1043" s="7"/>
      <c r="H1043" s="7"/>
      <c r="I1043" s="7"/>
      <c r="J1043" s="7"/>
      <c r="K1043" s="7"/>
      <c r="L1043" s="7"/>
      <c r="M1043" s="7"/>
      <c r="N1043" s="22"/>
      <c r="O1043" s="16"/>
      <c r="P1043" s="17"/>
      <c r="Q1043" s="7"/>
      <c r="R1043" s="32"/>
      <c r="S1043" s="13"/>
      <c r="T1043" s="17"/>
      <c r="U1043" s="7"/>
      <c r="V1043" s="5"/>
    </row>
    <row r="1044" spans="1:22" ht="45" customHeight="1">
      <c r="A1044" s="7"/>
      <c r="B1044" s="7"/>
      <c r="C1044" s="13"/>
      <c r="D1044" s="16"/>
      <c r="E1044" s="17"/>
      <c r="F1044" s="22"/>
      <c r="G1044" s="7"/>
      <c r="H1044" s="7"/>
      <c r="I1044" s="7"/>
      <c r="J1044" s="7"/>
      <c r="K1044" s="7"/>
      <c r="L1044" s="7"/>
      <c r="M1044" s="7"/>
      <c r="N1044" s="22"/>
      <c r="O1044" s="16"/>
      <c r="P1044" s="17"/>
      <c r="Q1044" s="7"/>
      <c r="R1044" s="32"/>
      <c r="S1044" s="13"/>
      <c r="T1044" s="17"/>
      <c r="U1044" s="7"/>
      <c r="V1044" s="5"/>
    </row>
    <row r="1045" spans="1:22" ht="45" customHeight="1">
      <c r="A1045" s="7"/>
      <c r="B1045" s="7"/>
      <c r="C1045" s="13"/>
      <c r="D1045" s="16"/>
      <c r="E1045" s="17"/>
      <c r="F1045" s="22"/>
      <c r="G1045" s="7"/>
      <c r="H1045" s="7"/>
      <c r="I1045" s="7"/>
      <c r="J1045" s="7"/>
      <c r="K1045" s="7"/>
      <c r="L1045" s="7"/>
      <c r="M1045" s="7"/>
      <c r="N1045" s="22"/>
      <c r="O1045" s="16"/>
      <c r="P1045" s="17"/>
      <c r="Q1045" s="7"/>
      <c r="R1045" s="32"/>
      <c r="S1045" s="13"/>
      <c r="T1045" s="17"/>
      <c r="U1045" s="7"/>
      <c r="V1045" s="5"/>
    </row>
    <row r="1046" spans="1:22" ht="45" customHeight="1">
      <c r="A1046" s="7"/>
      <c r="B1046" s="7"/>
      <c r="C1046" s="13"/>
      <c r="D1046" s="16"/>
      <c r="E1046" s="17"/>
      <c r="F1046" s="22"/>
      <c r="G1046" s="7"/>
      <c r="H1046" s="7"/>
      <c r="I1046" s="7"/>
      <c r="J1046" s="7"/>
      <c r="K1046" s="7"/>
      <c r="L1046" s="7"/>
      <c r="M1046" s="7"/>
      <c r="N1046" s="22"/>
      <c r="O1046" s="16"/>
      <c r="P1046" s="17"/>
      <c r="Q1046" s="7"/>
      <c r="R1046" s="32"/>
      <c r="S1046" s="13"/>
      <c r="T1046" s="17"/>
      <c r="U1046" s="7"/>
      <c r="V1046" s="5"/>
    </row>
    <row r="1047" spans="1:22" ht="45" customHeight="1">
      <c r="A1047" s="7"/>
      <c r="B1047" s="7"/>
      <c r="C1047" s="13"/>
      <c r="D1047" s="16"/>
      <c r="E1047" s="17"/>
      <c r="F1047" s="22"/>
      <c r="G1047" s="7"/>
      <c r="H1047" s="7"/>
      <c r="I1047" s="7"/>
      <c r="J1047" s="7"/>
      <c r="K1047" s="7"/>
      <c r="L1047" s="7"/>
      <c r="M1047" s="7"/>
      <c r="N1047" s="22"/>
      <c r="O1047" s="16"/>
      <c r="P1047" s="17"/>
      <c r="Q1047" s="7"/>
      <c r="R1047" s="32"/>
      <c r="S1047" s="13"/>
      <c r="T1047" s="17"/>
      <c r="U1047" s="7"/>
      <c r="V1047" s="5"/>
    </row>
    <row r="1048" spans="1:22" ht="45" customHeight="1">
      <c r="A1048" s="7"/>
      <c r="B1048" s="7"/>
      <c r="C1048" s="13"/>
      <c r="D1048" s="16"/>
      <c r="E1048" s="17"/>
      <c r="F1048" s="22"/>
      <c r="G1048" s="7"/>
      <c r="H1048" s="7"/>
      <c r="I1048" s="7"/>
      <c r="J1048" s="7"/>
      <c r="K1048" s="7"/>
      <c r="L1048" s="7"/>
      <c r="M1048" s="7"/>
      <c r="N1048" s="22"/>
      <c r="O1048" s="16"/>
      <c r="P1048" s="17"/>
      <c r="Q1048" s="7"/>
      <c r="R1048" s="32"/>
      <c r="S1048" s="13"/>
      <c r="T1048" s="17"/>
      <c r="U1048" s="7"/>
      <c r="V1048" s="5"/>
    </row>
    <row r="1049" spans="1:22" ht="45" customHeight="1">
      <c r="A1049" s="7"/>
      <c r="B1049" s="7"/>
      <c r="C1049" s="13"/>
      <c r="D1049" s="16"/>
      <c r="E1049" s="17"/>
      <c r="F1049" s="22"/>
      <c r="G1049" s="7"/>
      <c r="H1049" s="7"/>
      <c r="I1049" s="7"/>
      <c r="J1049" s="7"/>
      <c r="K1049" s="7"/>
      <c r="L1049" s="7"/>
      <c r="M1049" s="7"/>
      <c r="N1049" s="22"/>
      <c r="O1049" s="16"/>
      <c r="P1049" s="17"/>
      <c r="Q1049" s="7"/>
      <c r="R1049" s="32"/>
      <c r="S1049" s="13"/>
      <c r="T1049" s="17"/>
      <c r="U1049" s="7"/>
      <c r="V1049" s="5"/>
    </row>
    <row r="1050" spans="1:22" ht="45" customHeight="1">
      <c r="A1050" s="7"/>
      <c r="B1050" s="7"/>
      <c r="C1050" s="13"/>
      <c r="D1050" s="16"/>
      <c r="E1050" s="17"/>
      <c r="F1050" s="22"/>
      <c r="G1050" s="7"/>
      <c r="H1050" s="7"/>
      <c r="I1050" s="7"/>
      <c r="J1050" s="7"/>
      <c r="K1050" s="7"/>
      <c r="L1050" s="7"/>
      <c r="M1050" s="7"/>
      <c r="N1050" s="22"/>
      <c r="O1050" s="16"/>
      <c r="P1050" s="17"/>
      <c r="Q1050" s="7"/>
      <c r="R1050" s="32"/>
      <c r="S1050" s="13"/>
      <c r="T1050" s="17"/>
      <c r="U1050" s="7"/>
      <c r="V1050" s="5"/>
    </row>
    <row r="1051" spans="1:22" ht="45" customHeight="1">
      <c r="A1051" s="7"/>
      <c r="B1051" s="7"/>
      <c r="C1051" s="13"/>
      <c r="D1051" s="16"/>
      <c r="E1051" s="17"/>
      <c r="F1051" s="22"/>
      <c r="G1051" s="7"/>
      <c r="H1051" s="7"/>
      <c r="I1051" s="7"/>
      <c r="J1051" s="7"/>
      <c r="K1051" s="7"/>
      <c r="L1051" s="7"/>
      <c r="M1051" s="7"/>
      <c r="N1051" s="22"/>
      <c r="O1051" s="16"/>
      <c r="P1051" s="17"/>
      <c r="Q1051" s="7"/>
      <c r="R1051" s="32"/>
      <c r="S1051" s="13"/>
      <c r="T1051" s="17"/>
      <c r="U1051" s="7"/>
      <c r="V1051" s="5"/>
    </row>
    <row r="1052" spans="1:22" ht="45" customHeight="1">
      <c r="A1052" s="7"/>
      <c r="B1052" s="7"/>
      <c r="C1052" s="13"/>
      <c r="D1052" s="16"/>
      <c r="E1052" s="17"/>
      <c r="F1052" s="22"/>
      <c r="G1052" s="7"/>
      <c r="H1052" s="7"/>
      <c r="I1052" s="7"/>
      <c r="J1052" s="7"/>
      <c r="K1052" s="7"/>
      <c r="L1052" s="7"/>
      <c r="M1052" s="7"/>
      <c r="N1052" s="22"/>
      <c r="O1052" s="16"/>
      <c r="P1052" s="17"/>
      <c r="Q1052" s="7"/>
      <c r="R1052" s="32"/>
      <c r="S1052" s="13"/>
      <c r="T1052" s="17"/>
      <c r="U1052" s="7"/>
      <c r="V1052" s="5"/>
    </row>
    <row r="1053" spans="1:22" ht="45" customHeight="1">
      <c r="A1053" s="7"/>
      <c r="B1053" s="7"/>
      <c r="C1053" s="13"/>
      <c r="D1053" s="16"/>
      <c r="E1053" s="17"/>
      <c r="F1053" s="22"/>
      <c r="G1053" s="7"/>
      <c r="H1053" s="7"/>
      <c r="I1053" s="7"/>
      <c r="J1053" s="7"/>
      <c r="K1053" s="7"/>
      <c r="L1053" s="7"/>
      <c r="M1053" s="7"/>
      <c r="N1053" s="22"/>
      <c r="O1053" s="16"/>
      <c r="P1053" s="17"/>
      <c r="Q1053" s="7"/>
      <c r="R1053" s="32"/>
      <c r="S1053" s="13"/>
      <c r="T1053" s="17"/>
      <c r="U1053" s="7"/>
      <c r="V1053" s="5"/>
    </row>
    <row r="1054" spans="1:22" ht="45" customHeight="1">
      <c r="A1054" s="7"/>
      <c r="B1054" s="7"/>
      <c r="C1054" s="13"/>
      <c r="D1054" s="16"/>
      <c r="E1054" s="17"/>
      <c r="F1054" s="22"/>
      <c r="G1054" s="7"/>
      <c r="H1054" s="7"/>
      <c r="I1054" s="7"/>
      <c r="J1054" s="7"/>
      <c r="K1054" s="7"/>
      <c r="L1054" s="7"/>
      <c r="M1054" s="7"/>
      <c r="N1054" s="22"/>
      <c r="O1054" s="16"/>
      <c r="P1054" s="17"/>
      <c r="Q1054" s="7"/>
      <c r="R1054" s="32"/>
      <c r="S1054" s="13"/>
      <c r="T1054" s="17"/>
      <c r="U1054" s="7"/>
      <c r="V1054" s="5"/>
    </row>
    <row r="1055" spans="1:22" ht="45" customHeight="1">
      <c r="A1055" s="7"/>
      <c r="B1055" s="7"/>
      <c r="C1055" s="13"/>
      <c r="D1055" s="16"/>
      <c r="E1055" s="17"/>
      <c r="F1055" s="22"/>
      <c r="G1055" s="7"/>
      <c r="H1055" s="7"/>
      <c r="I1055" s="7"/>
      <c r="J1055" s="7"/>
      <c r="K1055" s="7"/>
      <c r="L1055" s="7"/>
      <c r="M1055" s="7"/>
      <c r="N1055" s="22"/>
      <c r="O1055" s="16"/>
      <c r="P1055" s="17"/>
      <c r="Q1055" s="7"/>
      <c r="R1055" s="32"/>
      <c r="S1055" s="13"/>
      <c r="T1055" s="17"/>
      <c r="U1055" s="7"/>
      <c r="V1055" s="5"/>
    </row>
    <row r="1056" spans="1:22" ht="45" customHeight="1">
      <c r="A1056" s="7"/>
      <c r="B1056" s="7"/>
      <c r="C1056" s="13"/>
      <c r="D1056" s="16"/>
      <c r="E1056" s="17"/>
      <c r="F1056" s="22"/>
      <c r="G1056" s="7"/>
      <c r="H1056" s="7"/>
      <c r="I1056" s="7"/>
      <c r="J1056" s="7"/>
      <c r="K1056" s="7"/>
      <c r="L1056" s="7"/>
      <c r="M1056" s="7"/>
      <c r="N1056" s="22"/>
      <c r="O1056" s="16"/>
      <c r="P1056" s="17"/>
      <c r="Q1056" s="7"/>
      <c r="R1056" s="32"/>
      <c r="S1056" s="13"/>
      <c r="T1056" s="17"/>
      <c r="U1056" s="7"/>
      <c r="V1056" s="5"/>
    </row>
    <row r="1057" spans="1:22" ht="45" customHeight="1">
      <c r="A1057" s="7"/>
      <c r="B1057" s="7"/>
      <c r="C1057" s="13"/>
      <c r="D1057" s="16"/>
      <c r="E1057" s="17"/>
      <c r="F1057" s="22"/>
      <c r="G1057" s="7"/>
      <c r="H1057" s="7"/>
      <c r="I1057" s="7"/>
      <c r="J1057" s="7"/>
      <c r="K1057" s="7"/>
      <c r="L1057" s="7"/>
      <c r="M1057" s="7"/>
      <c r="N1057" s="22"/>
      <c r="O1057" s="16"/>
      <c r="P1057" s="17"/>
      <c r="Q1057" s="7"/>
      <c r="R1057" s="32"/>
      <c r="S1057" s="13"/>
      <c r="T1057" s="17"/>
      <c r="U1057" s="7"/>
      <c r="V1057" s="5"/>
    </row>
    <row r="1058" spans="1:22" ht="45" customHeight="1">
      <c r="A1058" s="7"/>
      <c r="B1058" s="7"/>
      <c r="C1058" s="13"/>
      <c r="D1058" s="16"/>
      <c r="E1058" s="17"/>
      <c r="F1058" s="22"/>
      <c r="G1058" s="7"/>
      <c r="H1058" s="7"/>
      <c r="I1058" s="7"/>
      <c r="J1058" s="7"/>
      <c r="K1058" s="7"/>
      <c r="L1058" s="7"/>
      <c r="M1058" s="7"/>
      <c r="N1058" s="22"/>
      <c r="O1058" s="16"/>
      <c r="P1058" s="17"/>
      <c r="Q1058" s="7"/>
      <c r="R1058" s="32"/>
      <c r="S1058" s="13"/>
      <c r="T1058" s="17"/>
      <c r="U1058" s="7"/>
      <c r="V1058" s="5"/>
    </row>
    <row r="1059" spans="1:22" ht="45" customHeight="1">
      <c r="A1059" s="7"/>
      <c r="B1059" s="7"/>
      <c r="C1059" s="13"/>
      <c r="D1059" s="16"/>
      <c r="E1059" s="17"/>
      <c r="F1059" s="22"/>
      <c r="G1059" s="7"/>
      <c r="H1059" s="7"/>
      <c r="I1059" s="7"/>
      <c r="J1059" s="7"/>
      <c r="K1059" s="7"/>
      <c r="L1059" s="7"/>
      <c r="M1059" s="7"/>
      <c r="N1059" s="22"/>
      <c r="O1059" s="16"/>
      <c r="P1059" s="17"/>
      <c r="Q1059" s="7"/>
      <c r="R1059" s="32"/>
      <c r="S1059" s="13"/>
      <c r="T1059" s="17"/>
      <c r="U1059" s="7"/>
      <c r="V1059" s="5"/>
    </row>
    <row r="1060" spans="1:22" ht="45" customHeight="1">
      <c r="A1060" s="7"/>
      <c r="B1060" s="7"/>
      <c r="C1060" s="13"/>
      <c r="D1060" s="16"/>
      <c r="E1060" s="17"/>
      <c r="F1060" s="22"/>
      <c r="G1060" s="7"/>
      <c r="H1060" s="7"/>
      <c r="I1060" s="7"/>
      <c r="J1060" s="7"/>
      <c r="K1060" s="7"/>
      <c r="L1060" s="7"/>
      <c r="M1060" s="7"/>
      <c r="N1060" s="22"/>
      <c r="O1060" s="16"/>
      <c r="P1060" s="17"/>
      <c r="Q1060" s="7"/>
      <c r="R1060" s="32"/>
      <c r="S1060" s="13"/>
      <c r="T1060" s="17"/>
      <c r="U1060" s="7"/>
      <c r="V1060" s="5"/>
    </row>
    <row r="1061" spans="1:22" ht="45" customHeight="1">
      <c r="A1061" s="7"/>
      <c r="B1061" s="7"/>
      <c r="C1061" s="13"/>
      <c r="D1061" s="16"/>
      <c r="E1061" s="17"/>
      <c r="F1061" s="22"/>
      <c r="G1061" s="7"/>
      <c r="H1061" s="7"/>
      <c r="I1061" s="7"/>
      <c r="J1061" s="7"/>
      <c r="K1061" s="7"/>
      <c r="L1061" s="7"/>
      <c r="M1061" s="7"/>
      <c r="N1061" s="22"/>
      <c r="O1061" s="16"/>
      <c r="P1061" s="17"/>
      <c r="Q1061" s="7"/>
      <c r="R1061" s="32"/>
      <c r="S1061" s="13"/>
      <c r="T1061" s="17"/>
      <c r="U1061" s="7"/>
      <c r="V1061" s="5"/>
    </row>
    <row r="1062" spans="1:22" ht="45" customHeight="1">
      <c r="A1062" s="7"/>
      <c r="B1062" s="7"/>
      <c r="C1062" s="13"/>
      <c r="D1062" s="16"/>
      <c r="E1062" s="17"/>
      <c r="F1062" s="22"/>
      <c r="G1062" s="7"/>
      <c r="H1062" s="7"/>
      <c r="I1062" s="7"/>
      <c r="J1062" s="7"/>
      <c r="K1062" s="7"/>
      <c r="L1062" s="7"/>
      <c r="M1062" s="7"/>
      <c r="N1062" s="22"/>
      <c r="O1062" s="16"/>
      <c r="P1062" s="17"/>
      <c r="Q1062" s="7"/>
      <c r="R1062" s="32"/>
      <c r="S1062" s="13"/>
      <c r="T1062" s="17"/>
      <c r="U1062" s="7"/>
      <c r="V1062" s="5"/>
    </row>
    <row r="1063" spans="1:22" ht="45" customHeight="1">
      <c r="A1063" s="7"/>
      <c r="B1063" s="7"/>
      <c r="C1063" s="13"/>
      <c r="D1063" s="16"/>
      <c r="E1063" s="17"/>
      <c r="F1063" s="22"/>
      <c r="G1063" s="7"/>
      <c r="H1063" s="7"/>
      <c r="I1063" s="7"/>
      <c r="J1063" s="7"/>
      <c r="K1063" s="7"/>
      <c r="L1063" s="7"/>
      <c r="M1063" s="7"/>
      <c r="N1063" s="22"/>
      <c r="O1063" s="16"/>
      <c r="P1063" s="17"/>
      <c r="Q1063" s="7"/>
      <c r="R1063" s="32"/>
      <c r="S1063" s="13"/>
      <c r="T1063" s="17"/>
      <c r="U1063" s="7"/>
      <c r="V1063" s="5"/>
    </row>
    <row r="1064" spans="1:22" ht="45" customHeight="1">
      <c r="A1064" s="7"/>
      <c r="B1064" s="7"/>
      <c r="C1064" s="13"/>
      <c r="D1064" s="16"/>
      <c r="E1064" s="17"/>
      <c r="F1064" s="22"/>
      <c r="G1064" s="7"/>
      <c r="H1064" s="7"/>
      <c r="I1064" s="7"/>
      <c r="J1064" s="7"/>
      <c r="K1064" s="7"/>
      <c r="L1064" s="7"/>
      <c r="M1064" s="7"/>
      <c r="N1064" s="22"/>
      <c r="O1064" s="16"/>
      <c r="P1064" s="17"/>
      <c r="Q1064" s="7"/>
      <c r="R1064" s="32"/>
      <c r="S1064" s="13"/>
      <c r="T1064" s="17"/>
      <c r="U1064" s="7"/>
      <c r="V1064" s="5"/>
    </row>
    <row r="1065" spans="1:22" ht="45" customHeight="1">
      <c r="A1065" s="7"/>
      <c r="B1065" s="7"/>
      <c r="C1065" s="13"/>
      <c r="D1065" s="16"/>
      <c r="E1065" s="17"/>
      <c r="F1065" s="22"/>
      <c r="G1065" s="7"/>
      <c r="H1065" s="7"/>
      <c r="I1065" s="7"/>
      <c r="J1065" s="7"/>
      <c r="K1065" s="7"/>
      <c r="L1065" s="7"/>
      <c r="M1065" s="7"/>
      <c r="N1065" s="22"/>
      <c r="O1065" s="16"/>
      <c r="P1065" s="17"/>
      <c r="Q1065" s="7"/>
      <c r="R1065" s="32"/>
      <c r="S1065" s="13"/>
      <c r="T1065" s="17"/>
      <c r="U1065" s="7"/>
      <c r="V1065" s="5"/>
    </row>
    <row r="1066" spans="1:22" ht="45" customHeight="1">
      <c r="A1066" s="7"/>
      <c r="B1066" s="7"/>
      <c r="C1066" s="13"/>
      <c r="D1066" s="16"/>
      <c r="E1066" s="17"/>
      <c r="F1066" s="22"/>
      <c r="G1066" s="7"/>
      <c r="H1066" s="7"/>
      <c r="I1066" s="7"/>
      <c r="J1066" s="7"/>
      <c r="K1066" s="7"/>
      <c r="L1066" s="7"/>
      <c r="M1066" s="7"/>
      <c r="N1066" s="22"/>
      <c r="O1066" s="16"/>
      <c r="P1066" s="17"/>
      <c r="Q1066" s="7"/>
      <c r="R1066" s="32"/>
      <c r="S1066" s="13"/>
      <c r="T1066" s="17"/>
      <c r="U1066" s="7"/>
      <c r="V1066" s="5"/>
    </row>
    <row r="1067" spans="1:22" ht="45" customHeight="1">
      <c r="A1067" s="7"/>
      <c r="B1067" s="7"/>
      <c r="C1067" s="13"/>
      <c r="D1067" s="16"/>
      <c r="E1067" s="17"/>
      <c r="F1067" s="22"/>
      <c r="G1067" s="7"/>
      <c r="H1067" s="7"/>
      <c r="I1067" s="7"/>
      <c r="J1067" s="7"/>
      <c r="K1067" s="7"/>
      <c r="L1067" s="7"/>
      <c r="M1067" s="7"/>
      <c r="N1067" s="22"/>
      <c r="O1067" s="16"/>
      <c r="P1067" s="17"/>
      <c r="Q1067" s="7"/>
      <c r="R1067" s="32"/>
      <c r="S1067" s="13"/>
      <c r="T1067" s="17"/>
      <c r="U1067" s="7"/>
      <c r="V1067" s="5"/>
    </row>
    <row r="1068" spans="1:22" ht="45" customHeight="1">
      <c r="A1068" s="7"/>
      <c r="B1068" s="7"/>
      <c r="C1068" s="13"/>
      <c r="D1068" s="16"/>
      <c r="E1068" s="17"/>
      <c r="F1068" s="22"/>
      <c r="G1068" s="7"/>
      <c r="H1068" s="7"/>
      <c r="I1068" s="7"/>
      <c r="J1068" s="7"/>
      <c r="K1068" s="7"/>
      <c r="L1068" s="7"/>
      <c r="M1068" s="7"/>
      <c r="N1068" s="22"/>
      <c r="O1068" s="16"/>
      <c r="P1068" s="17"/>
      <c r="Q1068" s="7"/>
      <c r="R1068" s="32"/>
      <c r="S1068" s="13"/>
      <c r="T1068" s="17"/>
      <c r="U1068" s="7"/>
      <c r="V1068" s="5"/>
    </row>
    <row r="1069" spans="1:22" ht="45" customHeight="1">
      <c r="A1069" s="7"/>
      <c r="B1069" s="7"/>
      <c r="C1069" s="13"/>
      <c r="D1069" s="16"/>
      <c r="E1069" s="17"/>
      <c r="F1069" s="22"/>
      <c r="G1069" s="7"/>
      <c r="H1069" s="7"/>
      <c r="I1069" s="7"/>
      <c r="J1069" s="7"/>
      <c r="K1069" s="7"/>
      <c r="L1069" s="7"/>
      <c r="M1069" s="7"/>
      <c r="N1069" s="22"/>
      <c r="O1069" s="16"/>
      <c r="P1069" s="17"/>
      <c r="Q1069" s="7"/>
      <c r="R1069" s="32"/>
      <c r="S1069" s="13"/>
      <c r="T1069" s="17"/>
      <c r="U1069" s="7"/>
      <c r="V1069" s="5"/>
    </row>
    <row r="1070" spans="1:22" ht="45" customHeight="1">
      <c r="A1070" s="7"/>
      <c r="B1070" s="7"/>
      <c r="C1070" s="13"/>
      <c r="D1070" s="16"/>
      <c r="E1070" s="17"/>
      <c r="F1070" s="22"/>
      <c r="G1070" s="7"/>
      <c r="H1070" s="7"/>
      <c r="I1070" s="7"/>
      <c r="J1070" s="7"/>
      <c r="K1070" s="7"/>
      <c r="L1070" s="7"/>
      <c r="M1070" s="7"/>
      <c r="N1070" s="22"/>
      <c r="O1070" s="16"/>
      <c r="P1070" s="17"/>
      <c r="Q1070" s="7"/>
      <c r="R1070" s="32"/>
      <c r="S1070" s="13"/>
      <c r="T1070" s="17"/>
      <c r="U1070" s="7"/>
      <c r="V1070" s="5"/>
    </row>
    <row r="1071" spans="1:22" ht="45" customHeight="1">
      <c r="A1071" s="7"/>
      <c r="B1071" s="7"/>
      <c r="C1071" s="13"/>
      <c r="D1071" s="16"/>
      <c r="E1071" s="17"/>
      <c r="F1071" s="22"/>
      <c r="G1071" s="7"/>
      <c r="H1071" s="7"/>
      <c r="I1071" s="7"/>
      <c r="J1071" s="7"/>
      <c r="K1071" s="7"/>
      <c r="L1071" s="7"/>
      <c r="M1071" s="7"/>
      <c r="N1071" s="22"/>
      <c r="O1071" s="16"/>
      <c r="P1071" s="17"/>
      <c r="Q1071" s="7"/>
      <c r="R1071" s="32"/>
      <c r="S1071" s="13"/>
      <c r="T1071" s="17"/>
      <c r="U1071" s="7"/>
      <c r="V1071" s="5"/>
    </row>
    <row r="1072" spans="1:22" ht="45" customHeight="1">
      <c r="A1072" s="7"/>
      <c r="B1072" s="7"/>
      <c r="C1072" s="13"/>
      <c r="D1072" s="16"/>
      <c r="E1072" s="17"/>
      <c r="F1072" s="22"/>
      <c r="G1072" s="7"/>
      <c r="H1072" s="7"/>
      <c r="I1072" s="7"/>
      <c r="J1072" s="7"/>
      <c r="K1072" s="7"/>
      <c r="L1072" s="7"/>
      <c r="M1072" s="7"/>
      <c r="N1072" s="22"/>
      <c r="O1072" s="16"/>
      <c r="P1072" s="17"/>
      <c r="Q1072" s="7"/>
      <c r="R1072" s="32"/>
      <c r="S1072" s="13"/>
      <c r="T1072" s="17"/>
      <c r="U1072" s="7"/>
      <c r="V1072" s="5"/>
    </row>
    <row r="1073" spans="1:22" ht="45" customHeight="1">
      <c r="A1073" s="7"/>
      <c r="B1073" s="7"/>
      <c r="C1073" s="13"/>
      <c r="D1073" s="16"/>
      <c r="E1073" s="17"/>
      <c r="F1073" s="22"/>
      <c r="G1073" s="7"/>
      <c r="H1073" s="7"/>
      <c r="I1073" s="7"/>
      <c r="J1073" s="7"/>
      <c r="K1073" s="7"/>
      <c r="L1073" s="7"/>
      <c r="M1073" s="7"/>
      <c r="N1073" s="22"/>
      <c r="O1073" s="16"/>
      <c r="P1073" s="17"/>
      <c r="Q1073" s="7"/>
      <c r="R1073" s="32"/>
      <c r="S1073" s="13"/>
      <c r="T1073" s="17"/>
      <c r="U1073" s="7"/>
      <c r="V1073" s="5"/>
    </row>
    <row r="1074" spans="1:22" ht="45" customHeight="1">
      <c r="A1074" s="7"/>
      <c r="B1074" s="7"/>
      <c r="C1074" s="13"/>
      <c r="D1074" s="16"/>
      <c r="E1074" s="17"/>
      <c r="F1074" s="22"/>
      <c r="G1074" s="7"/>
      <c r="H1074" s="7"/>
      <c r="I1074" s="7"/>
      <c r="J1074" s="7"/>
      <c r="K1074" s="7"/>
      <c r="L1074" s="7"/>
      <c r="M1074" s="7"/>
      <c r="N1074" s="22"/>
      <c r="O1074" s="16"/>
      <c r="P1074" s="17"/>
      <c r="Q1074" s="7"/>
      <c r="R1074" s="32"/>
      <c r="S1074" s="13"/>
      <c r="T1074" s="17"/>
      <c r="U1074" s="7"/>
      <c r="V1074" s="5"/>
    </row>
    <row r="1075" spans="1:22" ht="45" customHeight="1">
      <c r="A1075" s="7"/>
      <c r="B1075" s="7"/>
      <c r="C1075" s="13"/>
      <c r="D1075" s="16"/>
      <c r="E1075" s="17"/>
      <c r="F1075" s="22"/>
      <c r="G1075" s="7"/>
      <c r="H1075" s="7"/>
      <c r="I1075" s="7"/>
      <c r="J1075" s="7"/>
      <c r="K1075" s="7"/>
      <c r="L1075" s="7"/>
      <c r="M1075" s="7"/>
      <c r="N1075" s="22"/>
      <c r="O1075" s="16"/>
      <c r="P1075" s="17"/>
      <c r="Q1075" s="7"/>
      <c r="R1075" s="32"/>
      <c r="S1075" s="13"/>
      <c r="T1075" s="17"/>
      <c r="U1075" s="7"/>
      <c r="V1075" s="5"/>
    </row>
    <row r="1076" spans="1:22" ht="45" customHeight="1">
      <c r="A1076" s="7"/>
      <c r="B1076" s="7"/>
      <c r="C1076" s="13"/>
      <c r="D1076" s="16"/>
      <c r="E1076" s="17"/>
      <c r="F1076" s="22"/>
      <c r="G1076" s="7"/>
      <c r="H1076" s="7"/>
      <c r="I1076" s="7"/>
      <c r="J1076" s="7"/>
      <c r="K1076" s="7"/>
      <c r="L1076" s="7"/>
      <c r="M1076" s="7"/>
      <c r="N1076" s="22"/>
      <c r="O1076" s="16"/>
      <c r="P1076" s="17"/>
      <c r="Q1076" s="7"/>
      <c r="R1076" s="32"/>
      <c r="S1076" s="13"/>
      <c r="T1076" s="17"/>
      <c r="U1076" s="7"/>
      <c r="V1076" s="5"/>
    </row>
    <row r="1077" spans="1:22" ht="45" customHeight="1">
      <c r="A1077" s="7"/>
      <c r="B1077" s="7"/>
      <c r="C1077" s="13"/>
      <c r="D1077" s="16"/>
      <c r="E1077" s="17"/>
      <c r="F1077" s="22"/>
      <c r="G1077" s="7"/>
      <c r="H1077" s="7"/>
      <c r="I1077" s="7"/>
      <c r="J1077" s="7"/>
      <c r="K1077" s="7"/>
      <c r="L1077" s="7"/>
      <c r="M1077" s="7"/>
      <c r="N1077" s="22"/>
      <c r="O1077" s="16"/>
      <c r="P1077" s="17"/>
      <c r="Q1077" s="7"/>
      <c r="R1077" s="32"/>
      <c r="S1077" s="13"/>
      <c r="T1077" s="17"/>
      <c r="U1077" s="7"/>
      <c r="V1077" s="5"/>
    </row>
    <row r="1078" spans="1:22" ht="45" customHeight="1">
      <c r="A1078" s="7"/>
      <c r="B1078" s="7"/>
      <c r="C1078" s="13"/>
      <c r="D1078" s="16"/>
      <c r="E1078" s="17"/>
      <c r="F1078" s="22"/>
      <c r="G1078" s="7"/>
      <c r="H1078" s="7"/>
      <c r="I1078" s="7"/>
      <c r="J1078" s="7"/>
      <c r="K1078" s="7"/>
      <c r="L1078" s="7"/>
      <c r="M1078" s="7"/>
      <c r="N1078" s="22"/>
      <c r="O1078" s="16"/>
      <c r="P1078" s="17"/>
      <c r="Q1078" s="7"/>
      <c r="R1078" s="32"/>
      <c r="S1078" s="13"/>
      <c r="T1078" s="17"/>
      <c r="U1078" s="7"/>
      <c r="V1078" s="5"/>
    </row>
    <row r="1079" spans="1:22" ht="45" customHeight="1">
      <c r="A1079" s="7"/>
      <c r="B1079" s="7"/>
      <c r="C1079" s="13"/>
      <c r="D1079" s="16"/>
      <c r="E1079" s="17"/>
      <c r="F1079" s="22"/>
      <c r="G1079" s="7"/>
      <c r="H1079" s="7"/>
      <c r="I1079" s="7"/>
      <c r="J1079" s="7"/>
      <c r="K1079" s="7"/>
      <c r="L1079" s="7"/>
      <c r="M1079" s="7"/>
      <c r="N1079" s="22"/>
      <c r="O1079" s="16"/>
      <c r="P1079" s="17"/>
      <c r="Q1079" s="7"/>
      <c r="R1079" s="32"/>
      <c r="S1079" s="13"/>
      <c r="T1079" s="17"/>
      <c r="U1079" s="7"/>
      <c r="V1079" s="5"/>
    </row>
    <row r="1080" spans="1:22" ht="45" customHeight="1">
      <c r="A1080" s="7"/>
      <c r="B1080" s="7"/>
      <c r="C1080" s="13"/>
      <c r="D1080" s="16"/>
      <c r="E1080" s="17"/>
      <c r="F1080" s="22"/>
      <c r="G1080" s="7"/>
      <c r="H1080" s="7"/>
      <c r="I1080" s="7"/>
      <c r="J1080" s="7"/>
      <c r="K1080" s="7"/>
      <c r="L1080" s="7"/>
      <c r="M1080" s="7"/>
      <c r="N1080" s="22"/>
      <c r="O1080" s="16"/>
      <c r="P1080" s="17"/>
      <c r="Q1080" s="7"/>
      <c r="R1080" s="32"/>
      <c r="S1080" s="13"/>
      <c r="T1080" s="17"/>
      <c r="U1080" s="7"/>
      <c r="V1080" s="5"/>
    </row>
    <row r="1081" spans="1:22" ht="45" customHeight="1">
      <c r="A1081" s="7"/>
      <c r="B1081" s="7"/>
      <c r="C1081" s="13"/>
      <c r="D1081" s="16"/>
      <c r="E1081" s="17"/>
      <c r="F1081" s="22"/>
      <c r="G1081" s="7"/>
      <c r="H1081" s="7"/>
      <c r="I1081" s="7"/>
      <c r="J1081" s="7"/>
      <c r="K1081" s="7"/>
      <c r="L1081" s="7"/>
      <c r="M1081" s="7"/>
      <c r="N1081" s="22"/>
      <c r="O1081" s="16"/>
      <c r="P1081" s="17"/>
      <c r="Q1081" s="7"/>
      <c r="R1081" s="32"/>
      <c r="S1081" s="13"/>
      <c r="T1081" s="17"/>
      <c r="U1081" s="7"/>
      <c r="V1081" s="5"/>
    </row>
    <row r="1082" spans="1:22" ht="45" customHeight="1">
      <c r="A1082" s="7"/>
      <c r="B1082" s="7"/>
      <c r="C1082" s="13"/>
      <c r="D1082" s="16"/>
      <c r="E1082" s="17"/>
      <c r="F1082" s="22"/>
      <c r="G1082" s="7"/>
      <c r="H1082" s="7"/>
      <c r="I1082" s="7"/>
      <c r="J1082" s="7"/>
      <c r="K1082" s="7"/>
      <c r="L1082" s="7"/>
      <c r="M1082" s="7"/>
      <c r="N1082" s="22"/>
      <c r="O1082" s="16"/>
      <c r="P1082" s="17"/>
      <c r="Q1082" s="7"/>
      <c r="R1082" s="32"/>
      <c r="S1082" s="13"/>
      <c r="T1082" s="17"/>
      <c r="U1082" s="7"/>
      <c r="V1082" s="5"/>
    </row>
    <row r="1083" spans="1:22" ht="45" customHeight="1">
      <c r="A1083" s="7"/>
      <c r="B1083" s="7"/>
      <c r="C1083" s="13"/>
      <c r="D1083" s="16"/>
      <c r="E1083" s="17"/>
      <c r="F1083" s="22"/>
      <c r="G1083" s="7"/>
      <c r="H1083" s="7"/>
      <c r="I1083" s="7"/>
      <c r="J1083" s="7"/>
      <c r="K1083" s="7"/>
      <c r="L1083" s="7"/>
      <c r="M1083" s="7"/>
      <c r="N1083" s="22"/>
      <c r="O1083" s="16"/>
      <c r="P1083" s="17"/>
      <c r="Q1083" s="7"/>
      <c r="R1083" s="32"/>
      <c r="S1083" s="13"/>
      <c r="T1083" s="17"/>
      <c r="U1083" s="7"/>
      <c r="V1083" s="5"/>
    </row>
    <row r="1084" spans="1:22" ht="45" customHeight="1">
      <c r="A1084" s="7"/>
      <c r="B1084" s="7"/>
      <c r="C1084" s="13"/>
      <c r="D1084" s="16"/>
      <c r="E1084" s="17"/>
      <c r="F1084" s="22"/>
      <c r="G1084" s="7"/>
      <c r="H1084" s="7"/>
      <c r="I1084" s="7"/>
      <c r="J1084" s="7"/>
      <c r="K1084" s="7"/>
      <c r="L1084" s="7"/>
      <c r="M1084" s="7"/>
      <c r="N1084" s="22"/>
      <c r="O1084" s="16"/>
      <c r="P1084" s="17"/>
      <c r="Q1084" s="7"/>
      <c r="R1084" s="32"/>
      <c r="S1084" s="13"/>
      <c r="T1084" s="17"/>
      <c r="U1084" s="7"/>
      <c r="V1084" s="5"/>
    </row>
    <row r="1085" spans="1:22" ht="45" customHeight="1">
      <c r="A1085" s="7"/>
      <c r="B1085" s="7"/>
      <c r="C1085" s="13"/>
      <c r="D1085" s="16"/>
      <c r="E1085" s="17"/>
      <c r="F1085" s="22"/>
      <c r="G1085" s="7"/>
      <c r="H1085" s="7"/>
      <c r="I1085" s="7"/>
      <c r="J1085" s="7"/>
      <c r="K1085" s="7"/>
      <c r="L1085" s="7"/>
      <c r="M1085" s="7"/>
      <c r="N1085" s="22"/>
      <c r="O1085" s="16"/>
      <c r="P1085" s="17"/>
      <c r="Q1085" s="7"/>
      <c r="R1085" s="32"/>
      <c r="S1085" s="13"/>
      <c r="T1085" s="17"/>
      <c r="U1085" s="7"/>
      <c r="V1085" s="5"/>
    </row>
    <row r="1086" spans="1:22" ht="45" customHeight="1">
      <c r="A1086" s="7"/>
      <c r="B1086" s="7"/>
      <c r="C1086" s="13"/>
      <c r="D1086" s="16"/>
      <c r="E1086" s="17"/>
      <c r="F1086" s="22"/>
      <c r="G1086" s="7"/>
      <c r="H1086" s="7"/>
      <c r="I1086" s="7"/>
      <c r="J1086" s="7"/>
      <c r="K1086" s="7"/>
      <c r="L1086" s="7"/>
      <c r="M1086" s="7"/>
      <c r="N1086" s="22"/>
      <c r="O1086" s="16"/>
      <c r="P1086" s="17"/>
      <c r="Q1086" s="7"/>
      <c r="R1086" s="32"/>
      <c r="S1086" s="13"/>
      <c r="T1086" s="17"/>
      <c r="U1086" s="7"/>
      <c r="V1086" s="5"/>
    </row>
    <row r="1087" spans="1:22" ht="45" customHeight="1">
      <c r="A1087" s="7"/>
      <c r="B1087" s="7"/>
      <c r="C1087" s="13"/>
      <c r="D1087" s="16"/>
      <c r="E1087" s="17"/>
      <c r="F1087" s="22"/>
      <c r="G1087" s="7"/>
      <c r="H1087" s="7"/>
      <c r="I1087" s="7"/>
      <c r="J1087" s="7"/>
      <c r="K1087" s="7"/>
      <c r="L1087" s="7"/>
      <c r="M1087" s="7"/>
      <c r="N1087" s="22"/>
      <c r="O1087" s="16"/>
      <c r="P1087" s="17"/>
      <c r="Q1087" s="7"/>
      <c r="R1087" s="32"/>
      <c r="S1087" s="13"/>
      <c r="T1087" s="17"/>
      <c r="U1087" s="7"/>
      <c r="V1087" s="5"/>
    </row>
    <row r="1088" spans="1:22" ht="45" customHeight="1">
      <c r="A1088" s="7"/>
      <c r="B1088" s="7"/>
      <c r="C1088" s="13"/>
      <c r="D1088" s="16"/>
      <c r="E1088" s="17"/>
      <c r="F1088" s="22"/>
      <c r="G1088" s="7"/>
      <c r="H1088" s="7"/>
      <c r="I1088" s="7"/>
      <c r="J1088" s="7"/>
      <c r="K1088" s="7"/>
      <c r="L1088" s="7"/>
      <c r="M1088" s="7"/>
      <c r="N1088" s="22"/>
      <c r="O1088" s="16"/>
      <c r="P1088" s="17"/>
      <c r="Q1088" s="7"/>
      <c r="R1088" s="32"/>
      <c r="S1088" s="13"/>
      <c r="T1088" s="17"/>
      <c r="U1088" s="7"/>
      <c r="V1088" s="5"/>
    </row>
    <row r="1089" spans="1:22" ht="45" customHeight="1">
      <c r="A1089" s="7"/>
      <c r="B1089" s="7"/>
      <c r="C1089" s="13"/>
      <c r="D1089" s="16"/>
      <c r="E1089" s="17"/>
      <c r="F1089" s="22"/>
      <c r="G1089" s="7"/>
      <c r="H1089" s="7"/>
      <c r="I1089" s="7"/>
      <c r="J1089" s="7"/>
      <c r="K1089" s="7"/>
      <c r="L1089" s="7"/>
      <c r="M1089" s="7"/>
      <c r="N1089" s="22"/>
      <c r="O1089" s="16"/>
      <c r="P1089" s="17"/>
      <c r="Q1089" s="7"/>
      <c r="R1089" s="32"/>
      <c r="S1089" s="13"/>
      <c r="T1089" s="17"/>
      <c r="U1089" s="7"/>
      <c r="V1089" s="5"/>
    </row>
    <row r="1090" spans="1:22" ht="45" customHeight="1">
      <c r="A1090" s="7"/>
      <c r="B1090" s="7"/>
      <c r="C1090" s="13"/>
      <c r="D1090" s="16"/>
      <c r="E1090" s="17"/>
      <c r="F1090" s="22"/>
      <c r="G1090" s="7"/>
      <c r="H1090" s="7"/>
      <c r="I1090" s="7"/>
      <c r="J1090" s="7"/>
      <c r="K1090" s="7"/>
      <c r="L1090" s="7"/>
      <c r="M1090" s="7"/>
      <c r="N1090" s="22"/>
      <c r="O1090" s="16"/>
      <c r="P1090" s="17"/>
      <c r="Q1090" s="7"/>
      <c r="R1090" s="32"/>
      <c r="S1090" s="13"/>
      <c r="T1090" s="17"/>
      <c r="U1090" s="7"/>
      <c r="V1090" s="5"/>
    </row>
    <row r="1091" spans="1:22" ht="45" customHeight="1">
      <c r="A1091" s="7"/>
      <c r="B1091" s="7"/>
      <c r="C1091" s="13"/>
      <c r="D1091" s="16"/>
      <c r="E1091" s="17"/>
      <c r="F1091" s="22"/>
      <c r="G1091" s="7"/>
      <c r="H1091" s="7"/>
      <c r="I1091" s="7"/>
      <c r="J1091" s="7"/>
      <c r="K1091" s="7"/>
      <c r="L1091" s="7"/>
      <c r="M1091" s="7"/>
      <c r="N1091" s="22"/>
      <c r="O1091" s="16"/>
      <c r="P1091" s="17"/>
      <c r="Q1091" s="7"/>
      <c r="R1091" s="32"/>
      <c r="S1091" s="13"/>
      <c r="T1091" s="17"/>
      <c r="U1091" s="7"/>
      <c r="V1091" s="5"/>
    </row>
    <row r="1092" spans="1:22" ht="45" customHeight="1">
      <c r="A1092" s="7"/>
      <c r="B1092" s="7"/>
      <c r="C1092" s="13"/>
      <c r="D1092" s="16"/>
      <c r="E1092" s="17"/>
      <c r="F1092" s="22"/>
      <c r="G1092" s="7"/>
      <c r="H1092" s="7"/>
      <c r="I1092" s="7"/>
      <c r="J1092" s="7"/>
      <c r="K1092" s="7"/>
      <c r="L1092" s="7"/>
      <c r="M1092" s="7"/>
      <c r="N1092" s="22"/>
      <c r="O1092" s="16"/>
      <c r="P1092" s="17"/>
      <c r="Q1092" s="7"/>
      <c r="R1092" s="32"/>
      <c r="S1092" s="13"/>
      <c r="T1092" s="17"/>
      <c r="U1092" s="7"/>
      <c r="V1092" s="5"/>
    </row>
    <row r="1093" spans="1:22" ht="45" customHeight="1">
      <c r="A1093" s="7"/>
      <c r="B1093" s="7"/>
      <c r="C1093" s="13"/>
      <c r="D1093" s="16"/>
      <c r="E1093" s="17"/>
      <c r="F1093" s="22"/>
      <c r="G1093" s="7"/>
      <c r="H1093" s="7"/>
      <c r="I1093" s="7"/>
      <c r="J1093" s="7"/>
      <c r="K1093" s="7"/>
      <c r="L1093" s="7"/>
      <c r="M1093" s="7"/>
      <c r="N1093" s="22"/>
      <c r="O1093" s="16"/>
      <c r="P1093" s="17"/>
      <c r="Q1093" s="7"/>
      <c r="R1093" s="32"/>
      <c r="S1093" s="13"/>
      <c r="T1093" s="17"/>
      <c r="U1093" s="7"/>
      <c r="V1093" s="5"/>
    </row>
    <row r="1094" spans="1:22" ht="45" customHeight="1">
      <c r="A1094" s="7"/>
      <c r="B1094" s="7"/>
      <c r="C1094" s="13"/>
      <c r="D1094" s="16"/>
      <c r="E1094" s="17"/>
      <c r="F1094" s="22"/>
      <c r="G1094" s="7"/>
      <c r="H1094" s="7"/>
      <c r="I1094" s="7"/>
      <c r="J1094" s="7"/>
      <c r="K1094" s="7"/>
      <c r="L1094" s="7"/>
      <c r="M1094" s="7"/>
      <c r="N1094" s="22"/>
      <c r="O1094" s="16"/>
      <c r="P1094" s="17"/>
      <c r="Q1094" s="7"/>
      <c r="R1094" s="32"/>
      <c r="S1094" s="13"/>
      <c r="T1094" s="17"/>
      <c r="U1094" s="7"/>
      <c r="V1094" s="5"/>
    </row>
    <row r="1095" spans="1:22" ht="45" customHeight="1">
      <c r="A1095" s="7"/>
      <c r="B1095" s="7"/>
      <c r="C1095" s="13"/>
      <c r="D1095" s="16"/>
      <c r="E1095" s="17"/>
      <c r="F1095" s="22"/>
      <c r="G1095" s="7"/>
      <c r="H1095" s="7"/>
      <c r="I1095" s="7"/>
      <c r="J1095" s="7"/>
      <c r="K1095" s="7"/>
      <c r="L1095" s="7"/>
      <c r="M1095" s="7"/>
      <c r="N1095" s="22"/>
      <c r="O1095" s="16"/>
      <c r="P1095" s="17"/>
      <c r="Q1095" s="7"/>
      <c r="R1095" s="32"/>
      <c r="S1095" s="13"/>
      <c r="T1095" s="17"/>
      <c r="U1095" s="7"/>
      <c r="V1095" s="5"/>
    </row>
    <row r="1096" spans="1:22" ht="45" customHeight="1">
      <c r="A1096" s="7"/>
      <c r="B1096" s="7"/>
      <c r="C1096" s="13"/>
      <c r="D1096" s="16"/>
      <c r="E1096" s="17"/>
      <c r="F1096" s="22"/>
      <c r="G1096" s="7"/>
      <c r="H1096" s="7"/>
      <c r="I1096" s="7"/>
      <c r="J1096" s="7"/>
      <c r="K1096" s="7"/>
      <c r="L1096" s="7"/>
      <c r="M1096" s="7"/>
      <c r="N1096" s="22"/>
      <c r="O1096" s="16"/>
      <c r="P1096" s="17"/>
      <c r="Q1096" s="7"/>
      <c r="R1096" s="32"/>
      <c r="S1096" s="13"/>
      <c r="T1096" s="17"/>
      <c r="U1096" s="7"/>
      <c r="V1096" s="5"/>
    </row>
    <row r="1097" spans="1:22" ht="45" customHeight="1">
      <c r="A1097" s="7"/>
      <c r="B1097" s="7"/>
      <c r="C1097" s="13"/>
      <c r="D1097" s="16"/>
      <c r="E1097" s="17"/>
      <c r="F1097" s="22"/>
      <c r="G1097" s="7"/>
      <c r="H1097" s="7"/>
      <c r="I1097" s="7"/>
      <c r="J1097" s="7"/>
      <c r="K1097" s="7"/>
      <c r="L1097" s="7"/>
      <c r="M1097" s="7"/>
      <c r="N1097" s="22"/>
      <c r="O1097" s="16"/>
      <c r="P1097" s="17"/>
      <c r="Q1097" s="7"/>
      <c r="R1097" s="32"/>
      <c r="S1097" s="13"/>
      <c r="T1097" s="17"/>
      <c r="U1097" s="7"/>
      <c r="V1097" s="5"/>
    </row>
    <row r="1098" spans="1:22" ht="45" customHeight="1">
      <c r="A1098" s="7"/>
      <c r="B1098" s="7"/>
      <c r="C1098" s="13"/>
      <c r="D1098" s="16"/>
      <c r="E1098" s="17"/>
      <c r="F1098" s="22"/>
      <c r="G1098" s="7"/>
      <c r="H1098" s="7"/>
      <c r="I1098" s="7"/>
      <c r="J1098" s="7"/>
      <c r="K1098" s="7"/>
      <c r="L1098" s="7"/>
      <c r="M1098" s="7"/>
      <c r="N1098" s="22"/>
      <c r="O1098" s="16"/>
      <c r="P1098" s="17"/>
      <c r="Q1098" s="7"/>
      <c r="R1098" s="32"/>
      <c r="S1098" s="13"/>
      <c r="T1098" s="17"/>
      <c r="U1098" s="7"/>
      <c r="V1098" s="5"/>
    </row>
    <row r="1099" spans="1:22" ht="45" customHeight="1">
      <c r="A1099" s="7"/>
      <c r="B1099" s="7"/>
      <c r="C1099" s="13"/>
      <c r="D1099" s="16"/>
      <c r="E1099" s="17"/>
      <c r="F1099" s="22"/>
      <c r="G1099" s="7"/>
      <c r="H1099" s="7"/>
      <c r="I1099" s="7"/>
      <c r="J1099" s="7"/>
      <c r="K1099" s="7"/>
      <c r="L1099" s="7"/>
      <c r="M1099" s="7"/>
      <c r="N1099" s="22"/>
      <c r="O1099" s="16"/>
      <c r="P1099" s="17"/>
      <c r="Q1099" s="7"/>
      <c r="R1099" s="32"/>
      <c r="S1099" s="13"/>
      <c r="T1099" s="17"/>
      <c r="U1099" s="7"/>
      <c r="V1099" s="5"/>
    </row>
    <row r="1100" spans="1:22" ht="45" customHeight="1">
      <c r="A1100" s="7"/>
      <c r="B1100" s="7"/>
      <c r="C1100" s="13"/>
      <c r="D1100" s="16"/>
      <c r="E1100" s="17"/>
      <c r="F1100" s="22"/>
      <c r="G1100" s="7"/>
      <c r="H1100" s="7"/>
      <c r="I1100" s="7"/>
      <c r="J1100" s="7"/>
      <c r="K1100" s="7"/>
      <c r="L1100" s="7"/>
      <c r="M1100" s="7"/>
      <c r="N1100" s="22"/>
      <c r="O1100" s="16"/>
      <c r="P1100" s="17"/>
      <c r="Q1100" s="7"/>
      <c r="R1100" s="32"/>
      <c r="S1100" s="13"/>
      <c r="T1100" s="17"/>
      <c r="U1100" s="7"/>
      <c r="V1100" s="5"/>
    </row>
  </sheetData>
  <mergeCells count="1">
    <mergeCell ref="W1:AU1"/>
  </mergeCells>
  <conditionalFormatting sqref="AA3:AA517">
    <cfRule type="containsText" dxfId="97" priority="1" operator="containsText" text="DEJA CREE">
      <formula>NOT(ISERROR(SEARCH("DEJA CREE",AA3)))</formula>
    </cfRule>
  </conditionalFormatting>
  <conditionalFormatting sqref="AP3:AP517">
    <cfRule type="containsText" dxfId="96" priority="2" operator="containsText" text="Élevé">
      <formula>NOT(ISERROR(SEARCH("Élevé",AP3)))</formula>
    </cfRule>
  </conditionalFormatting>
  <conditionalFormatting sqref="AP3:AP517">
    <cfRule type="containsText" dxfId="95" priority="3" operator="containsText" text="Moyen">
      <formula>NOT(ISERROR(SEARCH("Moyen",AP3)))</formula>
    </cfRule>
  </conditionalFormatting>
  <conditionalFormatting sqref="AP3:AP517">
    <cfRule type="containsText" dxfId="94" priority="4" operator="containsText" text="Faible">
      <formula>NOT(ISERROR(SEARCH("Faible",AP3)))</formula>
    </cfRule>
  </conditionalFormatting>
  <conditionalFormatting sqref="AP3:AP517">
    <cfRule type="containsText" dxfId="93" priority="5" operator="containsText" text="Non applicable">
      <formula>NOT(ISERROR(SEARCH("Non applicable",AP3)))</formula>
    </cfRule>
  </conditionalFormatting>
  <conditionalFormatting sqref="AA3:AA517">
    <cfRule type="containsText" dxfId="92" priority="6" operator="containsText" text="VALIDER">
      <formula>NOT(ISERROR(SEARCH("VALIDER",AA3)))</formula>
    </cfRule>
  </conditionalFormatting>
  <conditionalFormatting sqref="AA3:AA517">
    <cfRule type="containsText" dxfId="91" priority="7" operator="containsText" text="RENSEIGNER">
      <formula>NOT(ISERROR(SEARCH("RENSEIGNER",AA3)))</formula>
    </cfRule>
  </conditionalFormatting>
  <conditionalFormatting sqref="AS3:AS517">
    <cfRule type="containsText" dxfId="90" priority="8" operator="containsText" text="VALIDER">
      <formula>NOT(ISERROR(SEARCH("VALIDER",AS3)))</formula>
    </cfRule>
  </conditionalFormatting>
  <conditionalFormatting sqref="AS3:AS517">
    <cfRule type="containsText" dxfId="89" priority="9" operator="containsText" text="RENSEIGNER">
      <formula>NOT(ISERROR(SEARCH("RENSEIGNER",AS3)))</formula>
    </cfRule>
  </conditionalFormatting>
  <conditionalFormatting sqref="AU3:AU517">
    <cfRule type="containsText" dxfId="88" priority="10" operator="containsText" text="VALIDER">
      <formula>NOT(ISERROR(SEARCH("VALIDER",AU3)))</formula>
    </cfRule>
  </conditionalFormatting>
  <conditionalFormatting sqref="AU3:AU517">
    <cfRule type="containsText" dxfId="87" priority="11" operator="containsText" text="RENSEIGNER">
      <formula>NOT(ISERROR(SEARCH("RENSEIGNER",AU3)))</formula>
    </cfRule>
  </conditionalFormatting>
  <dataValidations count="5">
    <dataValidation type="list" allowBlank="1" showInputMessage="1" showErrorMessage="1" errorTitle="Famille non valide" error="Sélectionnez une famille dans la liste déroulante." promptTitle="Famille" prompt="Choisissez une famille COSWIN dans la liste." sqref="H3:H5 H831:H869 H768:H769 H177:H215 H77:H82 H40:H42" xr:uid="{FDAB0A07-B7CD-459F-B397-62AA21DAD212}">
      <formula1>"Liste_Familles_COSWIN"</formula1>
    </dataValidation>
    <dataValidation type="list" allowBlank="1" showInputMessage="1" showErrorMessage="1" sqref="P3:P5 P177:P215 P381:P383 P831:P869 P115:P116 P7:P105 P391:P769" xr:uid="{2F7EB83A-3B9D-43A0-BF9F-E2C9A6D02F84}">
      <formula1>"'Ne pas modifier'!$H$1:$H$18"</formula1>
    </dataValidation>
    <dataValidation type="list" allowBlank="1" showInputMessage="1" showErrorMessage="1" sqref="H1:H2 H43:H76 H83:H105 H1001:H1048576 H115:H116 H7:H39 H351:H767" xr:uid="{85073E20-7F6F-474A-B6A2-E962F4BC04DA}">
      <formula1>"'Ne pas modifier'!$E$1:$E$805"</formula1>
    </dataValidation>
    <dataValidation type="list" allowBlank="1" showInputMessage="1" showErrorMessage="1" sqref="L382:L434 L3:L215 L437:L1001" xr:uid="{E444E723-7DAE-4947-ADC4-590308E0A2CA}">
      <formula1>"'Ne pas modifier'!$A$9:$A$10"</formula1>
    </dataValidation>
    <dataValidation type="list" allowBlank="1" showInputMessage="1" showErrorMessage="1" error="Demandeur incorrect" sqref="B492:B1000" xr:uid="{5E4EFEC8-8060-4A56-A895-EBB33F78F8D5}">
      <formula1>"'Ne pas modifier'!$H$21:$H$48"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683A-5062-4C10-9D2B-3D6E118CA22A}">
  <dimension ref="A1:AS920"/>
  <sheetViews>
    <sheetView workbookViewId="0">
      <pane ySplit="2" topLeftCell="A3" activePane="bottomLeft" state="frozen"/>
      <selection pane="bottomLeft"/>
    </sheetView>
  </sheetViews>
  <sheetFormatPr defaultRowHeight="15"/>
  <cols>
    <col min="1" max="1" width="10.42578125" customWidth="1"/>
    <col min="2" max="2" width="12.5703125" customWidth="1"/>
    <col min="3" max="3" width="20.7109375" customWidth="1"/>
    <col min="4" max="4" width="30.5703125" customWidth="1"/>
    <col min="5" max="5" width="12.140625" customWidth="1"/>
    <col min="6" max="6" width="18.7109375" customWidth="1"/>
    <col min="7" max="7" width="73.7109375" customWidth="1"/>
    <col min="8" max="8" width="21.28515625" customWidth="1"/>
    <col min="9" max="9" width="12.5703125" customWidth="1"/>
    <col min="10" max="10" width="13.7109375" customWidth="1"/>
    <col min="11" max="11" width="14.140625" customWidth="1"/>
    <col min="12" max="12" width="14.7109375" customWidth="1"/>
    <col min="13" max="13" width="12.140625" customWidth="1"/>
    <col min="14" max="14" width="18.7109375" customWidth="1"/>
    <col min="15" max="15" width="27" customWidth="1"/>
    <col min="16" max="16" width="17.42578125" customWidth="1"/>
    <col min="17" max="17" width="30.140625" customWidth="1"/>
    <col min="18" max="18" width="15.28515625" customWidth="1"/>
    <col min="19" max="19" width="20.7109375" customWidth="1"/>
    <col min="20" max="20" width="30.42578125" customWidth="1"/>
    <col min="21" max="21" width="30.7109375" customWidth="1"/>
    <col min="22" max="22" width="22.7109375" customWidth="1"/>
    <col min="23" max="24" width="24.7109375" customWidth="1"/>
    <col min="25" max="25" width="66.7109375" customWidth="1"/>
    <col min="26" max="26" width="58.7109375" customWidth="1"/>
    <col min="27" max="27" width="46.7109375" customWidth="1"/>
    <col min="28" max="28" width="58.7109375" customWidth="1"/>
    <col min="29" max="29" width="46.7109375" customWidth="1"/>
    <col min="30" max="30" width="58.7109375" customWidth="1"/>
    <col min="31" max="31" width="46.7109375" customWidth="1"/>
    <col min="32" max="32" width="24.7109375" customWidth="1"/>
    <col min="33" max="35" width="30.7109375" customWidth="1"/>
    <col min="36" max="39" width="26.7109375" customWidth="1"/>
    <col min="40" max="40" width="16.7109375" customWidth="1"/>
    <col min="41" max="41" width="70.7109375" customWidth="1"/>
    <col min="42" max="42" width="42.7109375" customWidth="1"/>
    <col min="43" max="43" width="40.7109375" customWidth="1"/>
    <col min="44" max="44" width="24.7109375" customWidth="1"/>
    <col min="45" max="45" width="40.7109375" customWidth="1"/>
  </cols>
  <sheetData>
    <row r="1" spans="1:45" ht="33.75" customHeight="1">
      <c r="A1" s="1" t="s">
        <v>95</v>
      </c>
      <c r="B1" s="8" t="s">
        <v>96</v>
      </c>
      <c r="C1" s="10" t="s">
        <v>96</v>
      </c>
      <c r="D1" s="8" t="s">
        <v>96</v>
      </c>
      <c r="E1" s="36" t="s">
        <v>99</v>
      </c>
      <c r="F1" s="18" t="s">
        <v>97</v>
      </c>
      <c r="G1" s="8" t="s">
        <v>96</v>
      </c>
      <c r="H1" s="8" t="s">
        <v>98</v>
      </c>
      <c r="I1" s="48" t="s">
        <v>96</v>
      </c>
      <c r="J1" s="8" t="s">
        <v>96</v>
      </c>
      <c r="K1" s="8" t="s">
        <v>96</v>
      </c>
      <c r="L1" s="8" t="s">
        <v>96</v>
      </c>
      <c r="M1" s="8" t="s">
        <v>96</v>
      </c>
      <c r="N1" s="18" t="s">
        <v>96</v>
      </c>
      <c r="O1" s="8" t="s">
        <v>96</v>
      </c>
      <c r="P1" s="8" t="s">
        <v>98</v>
      </c>
      <c r="Q1" s="8" t="s">
        <v>96</v>
      </c>
      <c r="R1" s="36" t="s">
        <v>99</v>
      </c>
      <c r="S1" s="33" t="s">
        <v>99</v>
      </c>
      <c r="T1" s="36" t="s">
        <v>99</v>
      </c>
      <c r="U1" s="95" t="s">
        <v>100</v>
      </c>
      <c r="V1" s="95"/>
      <c r="W1" s="95"/>
      <c r="X1" s="95"/>
      <c r="Y1" s="95"/>
      <c r="Z1" s="95"/>
      <c r="AA1" s="95"/>
      <c r="AB1" s="95"/>
      <c r="AC1" s="95"/>
      <c r="AD1" s="95"/>
      <c r="AE1" s="95"/>
      <c r="AF1" s="95"/>
      <c r="AG1" s="95"/>
      <c r="AH1" s="95"/>
      <c r="AI1" s="95"/>
      <c r="AJ1" s="95"/>
      <c r="AK1" s="95"/>
      <c r="AL1" s="95"/>
      <c r="AM1" s="95"/>
      <c r="AN1" s="95"/>
      <c r="AO1" s="95"/>
      <c r="AP1" s="95"/>
      <c r="AQ1" s="95"/>
      <c r="AR1" s="95"/>
      <c r="AS1" s="95"/>
    </row>
    <row r="2" spans="1:45" ht="62.25" customHeight="1">
      <c r="A2" s="2" t="s">
        <v>101</v>
      </c>
      <c r="B2" s="9" t="s">
        <v>102</v>
      </c>
      <c r="C2" s="11" t="s">
        <v>103</v>
      </c>
      <c r="D2" s="14" t="s">
        <v>104</v>
      </c>
      <c r="E2" s="46" t="s">
        <v>105</v>
      </c>
      <c r="F2" s="19" t="s">
        <v>106</v>
      </c>
      <c r="G2" s="46" t="s">
        <v>107</v>
      </c>
      <c r="H2" s="23" t="s">
        <v>108</v>
      </c>
      <c r="I2" s="23" t="s">
        <v>109</v>
      </c>
      <c r="J2" s="23" t="s">
        <v>110</v>
      </c>
      <c r="K2" s="23" t="s">
        <v>111</v>
      </c>
      <c r="L2" s="23" t="s">
        <v>112</v>
      </c>
      <c r="M2" s="27" t="s">
        <v>113</v>
      </c>
      <c r="N2" s="27" t="s">
        <v>114</v>
      </c>
      <c r="O2" s="28" t="s">
        <v>3010</v>
      </c>
      <c r="P2" s="2" t="s">
        <v>116</v>
      </c>
      <c r="Q2" s="29" t="s">
        <v>117</v>
      </c>
      <c r="R2" s="54" t="s">
        <v>118</v>
      </c>
      <c r="S2" s="34" t="s">
        <v>119</v>
      </c>
      <c r="T2" s="29" t="s">
        <v>120</v>
      </c>
      <c r="U2" s="61" t="s">
        <v>123</v>
      </c>
      <c r="V2" s="61" t="s">
        <v>124</v>
      </c>
      <c r="W2" s="61" t="s">
        <v>125</v>
      </c>
      <c r="X2" s="61" t="s">
        <v>126</v>
      </c>
      <c r="Y2" s="60" t="s">
        <v>127</v>
      </c>
      <c r="Z2" s="61" t="s">
        <v>128</v>
      </c>
      <c r="AA2" s="61" t="s">
        <v>129</v>
      </c>
      <c r="AB2" s="61" t="s">
        <v>130</v>
      </c>
      <c r="AC2" s="61" t="s">
        <v>131</v>
      </c>
      <c r="AD2" s="62" t="s">
        <v>132</v>
      </c>
      <c r="AE2" s="62" t="s">
        <v>133</v>
      </c>
      <c r="AF2" s="60" t="s">
        <v>134</v>
      </c>
      <c r="AG2" s="63" t="s">
        <v>135</v>
      </c>
      <c r="AH2" s="63" t="s">
        <v>136</v>
      </c>
      <c r="AI2" s="63" t="s">
        <v>137</v>
      </c>
      <c r="AJ2" s="63" t="s">
        <v>138</v>
      </c>
      <c r="AK2" s="63" t="s">
        <v>139</v>
      </c>
      <c r="AL2" s="63" t="s">
        <v>140</v>
      </c>
      <c r="AM2" s="63" t="s">
        <v>141</v>
      </c>
      <c r="AN2" s="62" t="s">
        <v>142</v>
      </c>
      <c r="AO2" s="62" t="s">
        <v>143</v>
      </c>
      <c r="AP2" s="60" t="s">
        <v>144</v>
      </c>
      <c r="AQ2" s="60" t="s">
        <v>145</v>
      </c>
      <c r="AR2" s="60" t="s">
        <v>146</v>
      </c>
      <c r="AS2" s="60" t="s">
        <v>147</v>
      </c>
    </row>
    <row r="3" spans="1:45" ht="38.25" customHeight="1">
      <c r="A3" s="40" t="s">
        <v>655</v>
      </c>
      <c r="B3" s="40" t="s">
        <v>176</v>
      </c>
      <c r="C3" s="41">
        <v>46267</v>
      </c>
      <c r="D3" s="40" t="s">
        <v>3011</v>
      </c>
      <c r="E3" s="40" t="s">
        <v>3012</v>
      </c>
      <c r="F3" s="47">
        <f>LEN(G3)</f>
        <v>45</v>
      </c>
      <c r="G3" s="44" t="s">
        <v>3013</v>
      </c>
      <c r="H3" s="40" t="s">
        <v>3014</v>
      </c>
      <c r="I3" s="40"/>
      <c r="J3" s="40" t="s">
        <v>154</v>
      </c>
      <c r="K3" s="40" t="s">
        <v>154</v>
      </c>
      <c r="L3" s="40" t="s">
        <v>661</v>
      </c>
      <c r="M3" s="40" t="s">
        <v>3015</v>
      </c>
      <c r="N3" s="47" t="s">
        <v>3016</v>
      </c>
      <c r="O3" s="44" t="s">
        <v>3011</v>
      </c>
      <c r="P3" s="40" t="s">
        <v>183</v>
      </c>
      <c r="Q3" s="40" t="s">
        <v>185</v>
      </c>
      <c r="R3" s="55" t="s">
        <v>3017</v>
      </c>
      <c r="S3" s="41">
        <v>46273</v>
      </c>
      <c r="T3" s="40"/>
      <c r="U3" s="64"/>
      <c r="V3" s="64"/>
      <c r="W3" s="64"/>
      <c r="X3" s="64"/>
      <c r="Y3" s="59" t="s">
        <v>3018</v>
      </c>
      <c r="Z3" s="65"/>
      <c r="AA3" s="68"/>
      <c r="AB3" s="65"/>
      <c r="AC3" s="68"/>
      <c r="AD3" s="66"/>
      <c r="AE3" s="68"/>
      <c r="AF3" s="67"/>
      <c r="AG3" s="69"/>
      <c r="AH3" s="69"/>
      <c r="AI3" s="69"/>
      <c r="AJ3" s="86"/>
      <c r="AK3" s="88"/>
      <c r="AL3" s="88"/>
      <c r="AM3" s="88"/>
      <c r="AN3" s="59"/>
      <c r="AO3" s="68"/>
      <c r="AP3" s="59"/>
      <c r="AQ3" s="68"/>
      <c r="AR3" s="59"/>
      <c r="AS3" s="68"/>
    </row>
    <row r="4" spans="1:45" ht="38.25" customHeight="1">
      <c r="A4" s="40" t="s">
        <v>655</v>
      </c>
      <c r="B4" s="40" t="s">
        <v>176</v>
      </c>
      <c r="C4" s="41">
        <v>46267</v>
      </c>
      <c r="D4" s="40" t="s">
        <v>3019</v>
      </c>
      <c r="E4" s="40" t="s">
        <v>3012</v>
      </c>
      <c r="F4" s="47">
        <f>LEN(G4)</f>
        <v>43</v>
      </c>
      <c r="G4" s="40" t="s">
        <v>3020</v>
      </c>
      <c r="H4" s="40" t="s">
        <v>3014</v>
      </c>
      <c r="I4" s="40"/>
      <c r="J4" s="40" t="s">
        <v>154</v>
      </c>
      <c r="K4" s="40" t="s">
        <v>154</v>
      </c>
      <c r="L4" s="40" t="s">
        <v>661</v>
      </c>
      <c r="M4" s="40" t="s">
        <v>3015</v>
      </c>
      <c r="N4" s="47" t="s">
        <v>3016</v>
      </c>
      <c r="O4" s="40" t="s">
        <v>3019</v>
      </c>
      <c r="P4" s="40" t="s">
        <v>183</v>
      </c>
      <c r="Q4" s="40" t="s">
        <v>185</v>
      </c>
      <c r="R4" s="55" t="s">
        <v>3021</v>
      </c>
      <c r="S4" s="41">
        <v>46273</v>
      </c>
      <c r="T4" s="40"/>
      <c r="U4" s="64"/>
      <c r="V4" s="64"/>
      <c r="W4" s="64"/>
      <c r="X4" s="64"/>
      <c r="Y4" s="59" t="s">
        <v>3022</v>
      </c>
      <c r="Z4" s="65"/>
      <c r="AA4" s="68"/>
      <c r="AB4" s="65"/>
      <c r="AC4" s="68"/>
      <c r="AD4" s="66"/>
      <c r="AE4" s="68"/>
      <c r="AF4" s="67"/>
      <c r="AG4" s="69"/>
      <c r="AH4" s="69"/>
      <c r="AI4" s="69"/>
      <c r="AJ4" s="86"/>
      <c r="AK4" s="88"/>
      <c r="AL4" s="88"/>
      <c r="AM4" s="88"/>
      <c r="AN4" s="59"/>
      <c r="AO4" s="68"/>
      <c r="AP4" s="59"/>
      <c r="AQ4" s="68"/>
      <c r="AR4" s="59"/>
      <c r="AS4" s="68"/>
    </row>
    <row r="5" spans="1:45" ht="38.25" customHeight="1">
      <c r="A5" s="40" t="s">
        <v>655</v>
      </c>
      <c r="B5" s="40" t="s">
        <v>176</v>
      </c>
      <c r="C5" s="41">
        <v>46267</v>
      </c>
      <c r="D5" s="40" t="s">
        <v>3023</v>
      </c>
      <c r="E5" s="40" t="s">
        <v>3012</v>
      </c>
      <c r="F5" s="47">
        <f>LEN(G5)</f>
        <v>43</v>
      </c>
      <c r="G5" s="40" t="s">
        <v>3024</v>
      </c>
      <c r="H5" s="40" t="s">
        <v>3014</v>
      </c>
      <c r="I5" s="40"/>
      <c r="J5" s="40" t="s">
        <v>154</v>
      </c>
      <c r="K5" s="40" t="s">
        <v>154</v>
      </c>
      <c r="L5" s="40" t="s">
        <v>661</v>
      </c>
      <c r="M5" s="40" t="s">
        <v>3015</v>
      </c>
      <c r="N5" s="47" t="s">
        <v>3016</v>
      </c>
      <c r="O5" s="40" t="s">
        <v>3023</v>
      </c>
      <c r="P5" s="40" t="s">
        <v>183</v>
      </c>
      <c r="Q5" s="40" t="s">
        <v>185</v>
      </c>
      <c r="R5" s="55" t="s">
        <v>3025</v>
      </c>
      <c r="S5" s="41">
        <v>46273</v>
      </c>
      <c r="T5" s="40"/>
      <c r="U5" s="64"/>
      <c r="V5" s="64"/>
      <c r="W5" s="64"/>
      <c r="X5" s="64"/>
      <c r="Y5" s="59" t="s">
        <v>3026</v>
      </c>
      <c r="Z5" s="65"/>
      <c r="AA5" s="68"/>
      <c r="AB5" s="65"/>
      <c r="AC5" s="68"/>
      <c r="AD5" s="66"/>
      <c r="AE5" s="68"/>
      <c r="AF5" s="67"/>
      <c r="AG5" s="69"/>
      <c r="AH5" s="69"/>
      <c r="AI5" s="69"/>
      <c r="AJ5" s="86"/>
      <c r="AK5" s="88"/>
      <c r="AL5" s="88"/>
      <c r="AM5" s="88"/>
      <c r="AN5" s="59"/>
      <c r="AO5" s="68"/>
      <c r="AP5" s="59"/>
      <c r="AQ5" s="68"/>
      <c r="AR5" s="59"/>
      <c r="AS5" s="68"/>
    </row>
    <row r="6" spans="1:45" ht="38.25" customHeight="1">
      <c r="A6" s="40" t="s">
        <v>655</v>
      </c>
      <c r="B6" s="40" t="s">
        <v>176</v>
      </c>
      <c r="C6" s="41">
        <v>46267</v>
      </c>
      <c r="D6" s="40" t="s">
        <v>3027</v>
      </c>
      <c r="E6" s="40" t="s">
        <v>3012</v>
      </c>
      <c r="F6" s="47">
        <f>LEN(G6)</f>
        <v>39</v>
      </c>
      <c r="G6" s="40" t="s">
        <v>3028</v>
      </c>
      <c r="H6" s="40" t="s">
        <v>3014</v>
      </c>
      <c r="I6" s="40"/>
      <c r="J6" s="40" t="s">
        <v>154</v>
      </c>
      <c r="K6" s="40" t="s">
        <v>154</v>
      </c>
      <c r="L6" s="40" t="s">
        <v>661</v>
      </c>
      <c r="M6" s="40" t="s">
        <v>3015</v>
      </c>
      <c r="N6" s="47" t="s">
        <v>3016</v>
      </c>
      <c r="O6" s="40" t="s">
        <v>3027</v>
      </c>
      <c r="P6" s="40" t="s">
        <v>183</v>
      </c>
      <c r="Q6" s="40" t="s">
        <v>185</v>
      </c>
      <c r="R6" s="55" t="s">
        <v>3029</v>
      </c>
      <c r="S6" s="41">
        <v>46273</v>
      </c>
      <c r="T6" s="40"/>
      <c r="U6" s="64"/>
      <c r="V6" s="64"/>
      <c r="W6" s="64"/>
      <c r="X6" s="64"/>
      <c r="Y6" s="59" t="s">
        <v>3030</v>
      </c>
      <c r="Z6" s="65"/>
      <c r="AA6" s="68"/>
      <c r="AB6" s="65"/>
      <c r="AC6" s="68"/>
      <c r="AD6" s="66"/>
      <c r="AE6" s="68"/>
      <c r="AF6" s="67"/>
      <c r="AG6" s="69"/>
      <c r="AH6" s="69"/>
      <c r="AI6" s="69"/>
      <c r="AJ6" s="86"/>
      <c r="AK6" s="88"/>
      <c r="AL6" s="88"/>
      <c r="AM6" s="88"/>
      <c r="AN6" s="59"/>
      <c r="AO6" s="68"/>
      <c r="AP6" s="59"/>
      <c r="AQ6" s="68"/>
      <c r="AR6" s="59"/>
      <c r="AS6" s="68"/>
    </row>
    <row r="7" spans="1:45" ht="38.25" customHeight="1">
      <c r="A7" s="40" t="s">
        <v>655</v>
      </c>
      <c r="B7" s="40" t="s">
        <v>176</v>
      </c>
      <c r="C7" s="41">
        <v>46267</v>
      </c>
      <c r="D7" s="40" t="s">
        <v>3031</v>
      </c>
      <c r="E7" s="40" t="s">
        <v>3012</v>
      </c>
      <c r="F7" s="47">
        <f>LEN(G7)</f>
        <v>40</v>
      </c>
      <c r="G7" s="40" t="s">
        <v>3032</v>
      </c>
      <c r="H7" s="40" t="s">
        <v>3014</v>
      </c>
      <c r="I7" s="40"/>
      <c r="J7" s="40" t="s">
        <v>154</v>
      </c>
      <c r="K7" s="40" t="s">
        <v>154</v>
      </c>
      <c r="L7" s="40" t="s">
        <v>661</v>
      </c>
      <c r="M7" s="40" t="s">
        <v>3015</v>
      </c>
      <c r="N7" s="47" t="s">
        <v>3016</v>
      </c>
      <c r="O7" s="40" t="s">
        <v>3031</v>
      </c>
      <c r="P7" s="40" t="s">
        <v>183</v>
      </c>
      <c r="Q7" s="40" t="s">
        <v>185</v>
      </c>
      <c r="R7" s="55" t="s">
        <v>3033</v>
      </c>
      <c r="S7" s="41">
        <v>46275</v>
      </c>
      <c r="T7" s="40"/>
      <c r="U7" s="64"/>
      <c r="V7" s="64"/>
      <c r="W7" s="64"/>
      <c r="X7" s="64"/>
      <c r="Y7" s="59" t="s">
        <v>3034</v>
      </c>
      <c r="Z7" s="65"/>
      <c r="AA7" s="68"/>
      <c r="AB7" s="65"/>
      <c r="AC7" s="68"/>
      <c r="AD7" s="66"/>
      <c r="AE7" s="68"/>
      <c r="AF7" s="67"/>
      <c r="AG7" s="69"/>
      <c r="AH7" s="69"/>
      <c r="AI7" s="69"/>
      <c r="AJ7" s="86"/>
      <c r="AK7" s="88"/>
      <c r="AL7" s="88"/>
      <c r="AM7" s="88"/>
      <c r="AN7" s="59"/>
      <c r="AO7" s="68"/>
      <c r="AP7" s="59"/>
      <c r="AQ7" s="68"/>
      <c r="AR7" s="59"/>
      <c r="AS7" s="68"/>
    </row>
    <row r="8" spans="1:45" ht="38.25" customHeight="1">
      <c r="A8" s="40" t="s">
        <v>655</v>
      </c>
      <c r="B8" s="40" t="s">
        <v>176</v>
      </c>
      <c r="C8" s="41">
        <v>46267</v>
      </c>
      <c r="D8" s="40" t="s">
        <v>3035</v>
      </c>
      <c r="E8" s="40" t="s">
        <v>3012</v>
      </c>
      <c r="F8" s="47">
        <f>LEN(G8)</f>
        <v>40</v>
      </c>
      <c r="G8" s="40" t="s">
        <v>3036</v>
      </c>
      <c r="H8" s="40" t="s">
        <v>3014</v>
      </c>
      <c r="I8" s="40"/>
      <c r="J8" s="40" t="s">
        <v>154</v>
      </c>
      <c r="K8" s="40" t="s">
        <v>154</v>
      </c>
      <c r="L8" s="40" t="s">
        <v>661</v>
      </c>
      <c r="M8" s="40" t="s">
        <v>3015</v>
      </c>
      <c r="N8" s="47" t="s">
        <v>3016</v>
      </c>
      <c r="O8" s="40" t="s">
        <v>3035</v>
      </c>
      <c r="P8" s="40" t="s">
        <v>183</v>
      </c>
      <c r="Q8" s="40" t="s">
        <v>185</v>
      </c>
      <c r="R8" s="55" t="s">
        <v>3037</v>
      </c>
      <c r="S8" s="41">
        <v>46275</v>
      </c>
      <c r="T8" s="40"/>
      <c r="U8" s="64"/>
      <c r="V8" s="64"/>
      <c r="W8" s="64"/>
      <c r="X8" s="64"/>
      <c r="Y8" s="59" t="s">
        <v>3038</v>
      </c>
      <c r="Z8" s="65"/>
      <c r="AA8" s="68"/>
      <c r="AB8" s="65"/>
      <c r="AC8" s="68"/>
      <c r="AD8" s="66"/>
      <c r="AE8" s="68"/>
      <c r="AF8" s="67"/>
      <c r="AG8" s="69"/>
      <c r="AH8" s="69"/>
      <c r="AI8" s="69"/>
      <c r="AJ8" s="86"/>
      <c r="AK8" s="88"/>
      <c r="AL8" s="88"/>
      <c r="AM8" s="88"/>
      <c r="AN8" s="59"/>
      <c r="AO8" s="68"/>
      <c r="AP8" s="59"/>
      <c r="AQ8" s="68"/>
      <c r="AR8" s="59"/>
      <c r="AS8" s="68"/>
    </row>
    <row r="9" spans="1:45" ht="38.25" customHeight="1">
      <c r="A9" s="40" t="s">
        <v>655</v>
      </c>
      <c r="B9" s="40" t="s">
        <v>176</v>
      </c>
      <c r="C9" s="41">
        <v>46267</v>
      </c>
      <c r="D9" s="40" t="s">
        <v>3039</v>
      </c>
      <c r="E9" s="40" t="s">
        <v>3012</v>
      </c>
      <c r="F9" s="47">
        <f>LEN(G9)</f>
        <v>74</v>
      </c>
      <c r="G9" s="40" t="s">
        <v>3040</v>
      </c>
      <c r="H9" s="40" t="s">
        <v>3014</v>
      </c>
      <c r="I9" s="40"/>
      <c r="J9" s="40" t="s">
        <v>154</v>
      </c>
      <c r="K9" s="40" t="s">
        <v>154</v>
      </c>
      <c r="L9" s="40" t="s">
        <v>661</v>
      </c>
      <c r="M9" s="40" t="s">
        <v>3015</v>
      </c>
      <c r="N9" s="47" t="s">
        <v>3016</v>
      </c>
      <c r="O9" s="40" t="s">
        <v>3039</v>
      </c>
      <c r="P9" s="40" t="s">
        <v>183</v>
      </c>
      <c r="Q9" s="40" t="s">
        <v>185</v>
      </c>
      <c r="R9" s="55" t="s">
        <v>3041</v>
      </c>
      <c r="S9" s="41">
        <v>46281</v>
      </c>
      <c r="T9" s="40"/>
      <c r="U9" s="64"/>
      <c r="V9" s="64"/>
      <c r="W9" s="64"/>
      <c r="X9" s="64"/>
      <c r="Y9" s="59" t="s">
        <v>3042</v>
      </c>
      <c r="Z9" s="65"/>
      <c r="AA9" s="68"/>
      <c r="AB9" s="65"/>
      <c r="AC9" s="68"/>
      <c r="AD9" s="66"/>
      <c r="AE9" s="68"/>
      <c r="AF9" s="67"/>
      <c r="AG9" s="69"/>
      <c r="AH9" s="69"/>
      <c r="AI9" s="69"/>
      <c r="AJ9" s="86"/>
      <c r="AK9" s="88"/>
      <c r="AL9" s="88"/>
      <c r="AM9" s="88"/>
      <c r="AN9" s="59"/>
      <c r="AO9" s="68"/>
      <c r="AP9" s="59"/>
      <c r="AQ9" s="68"/>
      <c r="AR9" s="59"/>
      <c r="AS9" s="68"/>
    </row>
    <row r="10" spans="1:45" ht="38.25" customHeight="1">
      <c r="A10" s="40" t="s">
        <v>655</v>
      </c>
      <c r="B10" s="40" t="s">
        <v>176</v>
      </c>
      <c r="C10" s="41">
        <v>46267</v>
      </c>
      <c r="D10" s="40" t="s">
        <v>3043</v>
      </c>
      <c r="E10" s="40" t="s">
        <v>3012</v>
      </c>
      <c r="F10" s="47">
        <f>LEN(G10)</f>
        <v>77</v>
      </c>
      <c r="G10" s="40" t="s">
        <v>3044</v>
      </c>
      <c r="H10" s="40" t="s">
        <v>3014</v>
      </c>
      <c r="I10" s="40"/>
      <c r="J10" s="40" t="s">
        <v>154</v>
      </c>
      <c r="K10" s="40" t="s">
        <v>154</v>
      </c>
      <c r="L10" s="40" t="s">
        <v>661</v>
      </c>
      <c r="M10" s="40" t="s">
        <v>3015</v>
      </c>
      <c r="N10" s="47" t="s">
        <v>3016</v>
      </c>
      <c r="O10" s="40" t="s">
        <v>3043</v>
      </c>
      <c r="P10" s="40" t="s">
        <v>183</v>
      </c>
      <c r="Q10" s="40" t="s">
        <v>185</v>
      </c>
      <c r="R10" s="55" t="s">
        <v>3045</v>
      </c>
      <c r="S10" s="41">
        <v>46275</v>
      </c>
      <c r="T10" s="40"/>
      <c r="U10" s="64"/>
      <c r="V10" s="64"/>
      <c r="W10" s="64"/>
      <c r="X10" s="64"/>
      <c r="Y10" s="59" t="s">
        <v>3046</v>
      </c>
      <c r="Z10" s="65"/>
      <c r="AA10" s="68"/>
      <c r="AB10" s="65"/>
      <c r="AC10" s="68"/>
      <c r="AD10" s="66"/>
      <c r="AE10" s="68"/>
      <c r="AF10" s="67"/>
      <c r="AG10" s="69"/>
      <c r="AH10" s="69"/>
      <c r="AI10" s="69"/>
      <c r="AJ10" s="86"/>
      <c r="AK10" s="88"/>
      <c r="AL10" s="88"/>
      <c r="AM10" s="88"/>
      <c r="AN10" s="59"/>
      <c r="AO10" s="68"/>
      <c r="AP10" s="59"/>
      <c r="AQ10" s="68"/>
      <c r="AR10" s="59"/>
      <c r="AS10" s="68"/>
    </row>
    <row r="11" spans="1:45" ht="38.25" customHeight="1">
      <c r="A11" s="40" t="s">
        <v>655</v>
      </c>
      <c r="B11" s="40" t="s">
        <v>176</v>
      </c>
      <c r="C11" s="41">
        <v>46267</v>
      </c>
      <c r="D11" s="40" t="s">
        <v>3047</v>
      </c>
      <c r="E11" s="40" t="s">
        <v>3012</v>
      </c>
      <c r="F11" s="47">
        <f>LEN(G11)</f>
        <v>56</v>
      </c>
      <c r="G11" s="40" t="s">
        <v>3048</v>
      </c>
      <c r="H11" s="40" t="s">
        <v>3014</v>
      </c>
      <c r="I11" s="40"/>
      <c r="J11" s="40" t="s">
        <v>154</v>
      </c>
      <c r="K11" s="40" t="s">
        <v>154</v>
      </c>
      <c r="L11" s="40" t="s">
        <v>661</v>
      </c>
      <c r="M11" s="40" t="s">
        <v>3015</v>
      </c>
      <c r="N11" s="47" t="s">
        <v>3016</v>
      </c>
      <c r="O11" s="40" t="s">
        <v>3047</v>
      </c>
      <c r="P11" s="40" t="s">
        <v>183</v>
      </c>
      <c r="Q11" s="40" t="s">
        <v>185</v>
      </c>
      <c r="R11" s="55" t="s">
        <v>3049</v>
      </c>
      <c r="S11" s="41">
        <v>46281</v>
      </c>
      <c r="T11" s="40"/>
      <c r="U11" s="64"/>
      <c r="V11" s="64"/>
      <c r="W11" s="64"/>
      <c r="X11" s="64"/>
      <c r="Y11" s="59" t="s">
        <v>3050</v>
      </c>
      <c r="Z11" s="65"/>
      <c r="AA11" s="68"/>
      <c r="AB11" s="65"/>
      <c r="AC11" s="68"/>
      <c r="AD11" s="66"/>
      <c r="AE11" s="68"/>
      <c r="AF11" s="67"/>
      <c r="AG11" s="69"/>
      <c r="AH11" s="69"/>
      <c r="AI11" s="69"/>
      <c r="AJ11" s="86"/>
      <c r="AK11" s="88"/>
      <c r="AL11" s="88"/>
      <c r="AM11" s="88"/>
      <c r="AN11" s="59"/>
      <c r="AO11" s="68"/>
      <c r="AP11" s="59"/>
      <c r="AQ11" s="68"/>
      <c r="AR11" s="59"/>
      <c r="AS11" s="68"/>
    </row>
    <row r="12" spans="1:45" ht="38.25" customHeight="1">
      <c r="A12" s="40" t="s">
        <v>655</v>
      </c>
      <c r="B12" s="40" t="s">
        <v>176</v>
      </c>
      <c r="C12" s="41">
        <v>46267</v>
      </c>
      <c r="D12" s="40" t="s">
        <v>3051</v>
      </c>
      <c r="E12" s="40" t="s">
        <v>3012</v>
      </c>
      <c r="F12" s="47">
        <f>LEN(G12)</f>
        <v>57</v>
      </c>
      <c r="G12" s="40" t="s">
        <v>3052</v>
      </c>
      <c r="H12" s="40" t="s">
        <v>3014</v>
      </c>
      <c r="I12" s="40"/>
      <c r="J12" s="40" t="s">
        <v>154</v>
      </c>
      <c r="K12" s="40" t="s">
        <v>154</v>
      </c>
      <c r="L12" s="40" t="s">
        <v>661</v>
      </c>
      <c r="M12" s="40" t="s">
        <v>3015</v>
      </c>
      <c r="N12" s="47" t="s">
        <v>3016</v>
      </c>
      <c r="O12" s="40" t="s">
        <v>3051</v>
      </c>
      <c r="P12" s="40" t="s">
        <v>183</v>
      </c>
      <c r="Q12" s="40" t="s">
        <v>185</v>
      </c>
      <c r="R12" s="55" t="s">
        <v>3053</v>
      </c>
      <c r="S12" s="41">
        <v>46281</v>
      </c>
      <c r="T12" s="40"/>
      <c r="U12" s="64"/>
      <c r="V12" s="64"/>
      <c r="W12" s="64"/>
      <c r="X12" s="64"/>
      <c r="Y12" s="59" t="s">
        <v>3054</v>
      </c>
      <c r="Z12" s="65"/>
      <c r="AA12" s="68"/>
      <c r="AB12" s="65"/>
      <c r="AC12" s="68"/>
      <c r="AD12" s="66"/>
      <c r="AE12" s="68"/>
      <c r="AF12" s="67"/>
      <c r="AG12" s="69"/>
      <c r="AH12" s="69"/>
      <c r="AI12" s="69"/>
      <c r="AJ12" s="86"/>
      <c r="AK12" s="88"/>
      <c r="AL12" s="88"/>
      <c r="AM12" s="88"/>
      <c r="AN12" s="59"/>
      <c r="AO12" s="68"/>
      <c r="AP12" s="59"/>
      <c r="AQ12" s="68"/>
      <c r="AR12" s="59"/>
      <c r="AS12" s="68"/>
    </row>
    <row r="13" spans="1:45" ht="38.25" customHeight="1">
      <c r="A13" s="40" t="s">
        <v>655</v>
      </c>
      <c r="B13" s="40" t="s">
        <v>176</v>
      </c>
      <c r="C13" s="41">
        <v>46267</v>
      </c>
      <c r="D13" s="40" t="s">
        <v>3055</v>
      </c>
      <c r="E13" s="40" t="s">
        <v>3012</v>
      </c>
      <c r="F13" s="47">
        <f>LEN(G13)</f>
        <v>59</v>
      </c>
      <c r="G13" s="40" t="s">
        <v>3056</v>
      </c>
      <c r="H13" s="40" t="s">
        <v>3014</v>
      </c>
      <c r="I13" s="40"/>
      <c r="J13" s="40" t="s">
        <v>154</v>
      </c>
      <c r="K13" s="40" t="s">
        <v>154</v>
      </c>
      <c r="L13" s="40" t="s">
        <v>661</v>
      </c>
      <c r="M13" s="40" t="s">
        <v>3015</v>
      </c>
      <c r="N13" s="47" t="s">
        <v>3016</v>
      </c>
      <c r="O13" s="40" t="s">
        <v>3055</v>
      </c>
      <c r="P13" s="40" t="s">
        <v>183</v>
      </c>
      <c r="Q13" s="40" t="s">
        <v>185</v>
      </c>
      <c r="R13" s="55" t="s">
        <v>3057</v>
      </c>
      <c r="S13" s="41">
        <v>46281</v>
      </c>
      <c r="T13" s="40"/>
      <c r="U13" s="64"/>
      <c r="V13" s="64"/>
      <c r="W13" s="64"/>
      <c r="X13" s="64"/>
      <c r="Y13" s="59" t="s">
        <v>3058</v>
      </c>
      <c r="Z13" s="65"/>
      <c r="AA13" s="68"/>
      <c r="AB13" s="65"/>
      <c r="AC13" s="68"/>
      <c r="AD13" s="66"/>
      <c r="AE13" s="68"/>
      <c r="AF13" s="67"/>
      <c r="AG13" s="69"/>
      <c r="AH13" s="69"/>
      <c r="AI13" s="69"/>
      <c r="AJ13" s="86"/>
      <c r="AK13" s="88"/>
      <c r="AL13" s="88"/>
      <c r="AM13" s="88"/>
      <c r="AN13" s="59"/>
      <c r="AO13" s="68"/>
      <c r="AP13" s="59"/>
      <c r="AQ13" s="68"/>
      <c r="AR13" s="59"/>
      <c r="AS13" s="68"/>
    </row>
    <row r="14" spans="1:45" ht="38.25" customHeight="1">
      <c r="A14" s="40" t="s">
        <v>655</v>
      </c>
      <c r="B14" s="40" t="s">
        <v>176</v>
      </c>
      <c r="C14" s="41">
        <v>46267</v>
      </c>
      <c r="D14" s="40" t="s">
        <v>3059</v>
      </c>
      <c r="E14" s="40" t="s">
        <v>3012</v>
      </c>
      <c r="F14" s="47">
        <f>LEN(G14)</f>
        <v>34</v>
      </c>
      <c r="G14" s="40" t="s">
        <v>3060</v>
      </c>
      <c r="H14" s="40" t="s">
        <v>3014</v>
      </c>
      <c r="I14" s="40"/>
      <c r="J14" s="40" t="s">
        <v>154</v>
      </c>
      <c r="K14" s="40" t="s">
        <v>154</v>
      </c>
      <c r="L14" s="40" t="s">
        <v>661</v>
      </c>
      <c r="M14" s="40" t="s">
        <v>3015</v>
      </c>
      <c r="N14" s="47" t="s">
        <v>3016</v>
      </c>
      <c r="O14" s="40" t="s">
        <v>3059</v>
      </c>
      <c r="P14" s="40" t="s">
        <v>183</v>
      </c>
      <c r="Q14" s="40" t="s">
        <v>185</v>
      </c>
      <c r="R14" s="55" t="s">
        <v>3061</v>
      </c>
      <c r="S14" s="41">
        <v>46281</v>
      </c>
      <c r="T14" s="40"/>
      <c r="U14" s="64"/>
      <c r="V14" s="64"/>
      <c r="W14" s="64"/>
      <c r="X14" s="64"/>
      <c r="Y14" s="59" t="s">
        <v>3062</v>
      </c>
      <c r="Z14" s="65"/>
      <c r="AA14" s="68"/>
      <c r="AB14" s="65"/>
      <c r="AC14" s="68"/>
      <c r="AD14" s="66"/>
      <c r="AE14" s="68"/>
      <c r="AF14" s="67"/>
      <c r="AG14" s="69"/>
      <c r="AH14" s="69"/>
      <c r="AI14" s="69"/>
      <c r="AJ14" s="86"/>
      <c r="AK14" s="88"/>
      <c r="AL14" s="88"/>
      <c r="AM14" s="88"/>
      <c r="AN14" s="59"/>
      <c r="AO14" s="68"/>
      <c r="AP14" s="59"/>
      <c r="AQ14" s="68"/>
      <c r="AR14" s="59"/>
      <c r="AS14" s="68"/>
    </row>
    <row r="15" spans="1:45" ht="38.25" customHeight="1">
      <c r="A15" s="40" t="s">
        <v>655</v>
      </c>
      <c r="B15" s="40" t="s">
        <v>176</v>
      </c>
      <c r="C15" s="41">
        <v>46267</v>
      </c>
      <c r="D15" s="40" t="s">
        <v>3063</v>
      </c>
      <c r="E15" s="40" t="s">
        <v>3012</v>
      </c>
      <c r="F15" s="47">
        <f>LEN(G15)</f>
        <v>41</v>
      </c>
      <c r="G15" s="40" t="s">
        <v>3064</v>
      </c>
      <c r="H15" s="40" t="s">
        <v>3014</v>
      </c>
      <c r="I15" s="40"/>
      <c r="J15" s="40" t="s">
        <v>154</v>
      </c>
      <c r="K15" s="40" t="s">
        <v>154</v>
      </c>
      <c r="L15" s="40" t="s">
        <v>661</v>
      </c>
      <c r="M15" s="40" t="s">
        <v>3015</v>
      </c>
      <c r="N15" s="47" t="s">
        <v>3016</v>
      </c>
      <c r="O15" s="40" t="s">
        <v>3063</v>
      </c>
      <c r="P15" s="40" t="s">
        <v>183</v>
      </c>
      <c r="Q15" s="40" t="s">
        <v>185</v>
      </c>
      <c r="R15" s="55" t="s">
        <v>3065</v>
      </c>
      <c r="S15" s="41">
        <v>46281</v>
      </c>
      <c r="T15" s="40"/>
      <c r="U15" s="64"/>
      <c r="V15" s="64"/>
      <c r="W15" s="64"/>
      <c r="X15" s="64"/>
      <c r="Y15" s="59" t="s">
        <v>3066</v>
      </c>
      <c r="Z15" s="65"/>
      <c r="AA15" s="68"/>
      <c r="AB15" s="65"/>
      <c r="AC15" s="68"/>
      <c r="AD15" s="66"/>
      <c r="AE15" s="68"/>
      <c r="AF15" s="67"/>
      <c r="AG15" s="69"/>
      <c r="AH15" s="69"/>
      <c r="AI15" s="69"/>
      <c r="AJ15" s="86"/>
      <c r="AK15" s="88"/>
      <c r="AL15" s="88"/>
      <c r="AM15" s="88"/>
      <c r="AN15" s="59"/>
      <c r="AO15" s="68"/>
      <c r="AP15" s="59"/>
      <c r="AQ15" s="68"/>
      <c r="AR15" s="59"/>
      <c r="AS15" s="68"/>
    </row>
    <row r="16" spans="1:45" ht="38.25" customHeight="1">
      <c r="A16" s="40" t="s">
        <v>655</v>
      </c>
      <c r="B16" s="40" t="s">
        <v>176</v>
      </c>
      <c r="C16" s="41">
        <v>46267</v>
      </c>
      <c r="D16" s="40" t="s">
        <v>3067</v>
      </c>
      <c r="E16" s="40" t="s">
        <v>3012</v>
      </c>
      <c r="F16" s="47">
        <f>LEN(G16)</f>
        <v>35</v>
      </c>
      <c r="G16" s="40" t="s">
        <v>3068</v>
      </c>
      <c r="H16" s="40" t="s">
        <v>3069</v>
      </c>
      <c r="I16" s="40"/>
      <c r="J16" s="40" t="s">
        <v>154</v>
      </c>
      <c r="K16" s="40" t="s">
        <v>154</v>
      </c>
      <c r="L16" s="40" t="s">
        <v>661</v>
      </c>
      <c r="M16" s="40" t="s">
        <v>3015</v>
      </c>
      <c r="N16" s="47" t="s">
        <v>3016</v>
      </c>
      <c r="O16" s="40" t="s">
        <v>3067</v>
      </c>
      <c r="P16" s="40" t="s">
        <v>183</v>
      </c>
      <c r="Q16" s="40" t="s">
        <v>185</v>
      </c>
      <c r="R16" s="55" t="s">
        <v>3070</v>
      </c>
      <c r="S16" s="41">
        <v>46281</v>
      </c>
      <c r="T16" s="40"/>
      <c r="U16" s="64"/>
      <c r="V16" s="64"/>
      <c r="W16" s="64"/>
      <c r="X16" s="64"/>
      <c r="Y16" s="59" t="s">
        <v>3071</v>
      </c>
      <c r="Z16" s="65"/>
      <c r="AA16" s="68"/>
      <c r="AB16" s="65"/>
      <c r="AC16" s="68"/>
      <c r="AD16" s="66"/>
      <c r="AE16" s="68"/>
      <c r="AF16" s="67"/>
      <c r="AG16" s="69"/>
      <c r="AH16" s="69"/>
      <c r="AI16" s="69"/>
      <c r="AJ16" s="86"/>
      <c r="AK16" s="88"/>
      <c r="AL16" s="88"/>
      <c r="AM16" s="88"/>
      <c r="AN16" s="59"/>
      <c r="AO16" s="68"/>
      <c r="AP16" s="59"/>
      <c r="AQ16" s="68"/>
      <c r="AR16" s="59"/>
      <c r="AS16" s="68"/>
    </row>
    <row r="17" spans="1:45" ht="38.25" customHeight="1">
      <c r="A17" s="40" t="s">
        <v>655</v>
      </c>
      <c r="B17" s="40" t="s">
        <v>176</v>
      </c>
      <c r="C17" s="41">
        <v>46267</v>
      </c>
      <c r="D17" s="40" t="s">
        <v>3072</v>
      </c>
      <c r="E17" s="40" t="s">
        <v>3012</v>
      </c>
      <c r="F17" s="47">
        <f>LEN(G17)</f>
        <v>35</v>
      </c>
      <c r="G17" s="40" t="s">
        <v>3073</v>
      </c>
      <c r="H17" s="40" t="s">
        <v>3069</v>
      </c>
      <c r="I17" s="40"/>
      <c r="J17" s="40" t="s">
        <v>154</v>
      </c>
      <c r="K17" s="40" t="s">
        <v>154</v>
      </c>
      <c r="L17" s="40" t="s">
        <v>661</v>
      </c>
      <c r="M17" s="40" t="s">
        <v>3015</v>
      </c>
      <c r="N17" s="47" t="s">
        <v>3016</v>
      </c>
      <c r="O17" s="40" t="s">
        <v>3072</v>
      </c>
      <c r="P17" s="40" t="s">
        <v>183</v>
      </c>
      <c r="Q17" s="40" t="s">
        <v>185</v>
      </c>
      <c r="R17" s="55" t="s">
        <v>3074</v>
      </c>
      <c r="S17" s="41">
        <v>46281</v>
      </c>
      <c r="T17" s="40"/>
      <c r="U17" s="64"/>
      <c r="V17" s="64"/>
      <c r="W17" s="64"/>
      <c r="X17" s="64"/>
      <c r="Y17" s="59" t="s">
        <v>3075</v>
      </c>
      <c r="Z17" s="65"/>
      <c r="AA17" s="68"/>
      <c r="AB17" s="65"/>
      <c r="AC17" s="68"/>
      <c r="AD17" s="66"/>
      <c r="AE17" s="68"/>
      <c r="AF17" s="67"/>
      <c r="AG17" s="69"/>
      <c r="AH17" s="69"/>
      <c r="AI17" s="69"/>
      <c r="AJ17" s="86"/>
      <c r="AK17" s="88"/>
      <c r="AL17" s="88"/>
      <c r="AM17" s="88"/>
      <c r="AN17" s="59"/>
      <c r="AO17" s="68"/>
      <c r="AP17" s="59"/>
      <c r="AQ17" s="68"/>
      <c r="AR17" s="59"/>
      <c r="AS17" s="68"/>
    </row>
    <row r="18" spans="1:45" ht="38.25" customHeight="1">
      <c r="A18" s="40" t="s">
        <v>655</v>
      </c>
      <c r="B18" s="40" t="s">
        <v>176</v>
      </c>
      <c r="C18" s="41">
        <v>46267</v>
      </c>
      <c r="D18" s="40" t="s">
        <v>3076</v>
      </c>
      <c r="E18" s="40" t="s">
        <v>3012</v>
      </c>
      <c r="F18" s="47">
        <f>LEN(G18)</f>
        <v>44</v>
      </c>
      <c r="G18" s="40" t="s">
        <v>3077</v>
      </c>
      <c r="H18" s="40" t="s">
        <v>3078</v>
      </c>
      <c r="I18" s="40"/>
      <c r="J18" s="40" t="s">
        <v>154</v>
      </c>
      <c r="K18" s="40" t="s">
        <v>154</v>
      </c>
      <c r="L18" s="40" t="s">
        <v>661</v>
      </c>
      <c r="M18" s="40" t="s">
        <v>3015</v>
      </c>
      <c r="N18" s="47" t="s">
        <v>3016</v>
      </c>
      <c r="O18" s="40" t="s">
        <v>3076</v>
      </c>
      <c r="P18" s="40" t="s">
        <v>183</v>
      </c>
      <c r="Q18" s="40" t="s">
        <v>185</v>
      </c>
      <c r="R18" s="55" t="s">
        <v>3079</v>
      </c>
      <c r="S18" s="41">
        <v>46281</v>
      </c>
      <c r="T18" s="40"/>
      <c r="U18" s="64"/>
      <c r="V18" s="64"/>
      <c r="W18" s="64"/>
      <c r="X18" s="64"/>
      <c r="Y18" s="59" t="s">
        <v>3080</v>
      </c>
      <c r="Z18" s="65"/>
      <c r="AA18" s="68"/>
      <c r="AB18" s="65"/>
      <c r="AC18" s="68"/>
      <c r="AD18" s="66"/>
      <c r="AE18" s="68"/>
      <c r="AF18" s="67"/>
      <c r="AG18" s="69"/>
      <c r="AH18" s="69"/>
      <c r="AI18" s="69"/>
      <c r="AJ18" s="86"/>
      <c r="AK18" s="88"/>
      <c r="AL18" s="88"/>
      <c r="AM18" s="88"/>
      <c r="AN18" s="59"/>
      <c r="AO18" s="68"/>
      <c r="AP18" s="59"/>
      <c r="AQ18" s="68"/>
      <c r="AR18" s="59"/>
      <c r="AS18" s="68"/>
    </row>
    <row r="19" spans="1:45" ht="38.25" customHeight="1">
      <c r="A19" s="40" t="s">
        <v>655</v>
      </c>
      <c r="B19" s="40" t="s">
        <v>176</v>
      </c>
      <c r="C19" s="41">
        <v>46267</v>
      </c>
      <c r="D19" s="40" t="s">
        <v>3081</v>
      </c>
      <c r="E19" s="40" t="s">
        <v>3012</v>
      </c>
      <c r="F19" s="47">
        <f>LEN(G19)</f>
        <v>42</v>
      </c>
      <c r="G19" s="40" t="s">
        <v>3082</v>
      </c>
      <c r="H19" s="40" t="s">
        <v>3078</v>
      </c>
      <c r="I19" s="40"/>
      <c r="J19" s="40" t="s">
        <v>154</v>
      </c>
      <c r="K19" s="40" t="s">
        <v>154</v>
      </c>
      <c r="L19" s="40" t="s">
        <v>661</v>
      </c>
      <c r="M19" s="40" t="s">
        <v>3015</v>
      </c>
      <c r="N19" s="47" t="s">
        <v>3016</v>
      </c>
      <c r="O19" s="40" t="s">
        <v>3081</v>
      </c>
      <c r="P19" s="40" t="s">
        <v>183</v>
      </c>
      <c r="Q19" s="40" t="s">
        <v>185</v>
      </c>
      <c r="R19" s="55" t="s">
        <v>3083</v>
      </c>
      <c r="S19" s="41">
        <v>46273</v>
      </c>
      <c r="T19" s="40"/>
      <c r="U19" s="64"/>
      <c r="V19" s="64"/>
      <c r="W19" s="64"/>
      <c r="X19" s="64"/>
      <c r="Y19" s="59" t="s">
        <v>3084</v>
      </c>
      <c r="Z19" s="65"/>
      <c r="AA19" s="68"/>
      <c r="AB19" s="65"/>
      <c r="AC19" s="68"/>
      <c r="AD19" s="66"/>
      <c r="AE19" s="68"/>
      <c r="AF19" s="67"/>
      <c r="AG19" s="69"/>
      <c r="AH19" s="69"/>
      <c r="AI19" s="69"/>
      <c r="AJ19" s="86"/>
      <c r="AK19" s="88"/>
      <c r="AL19" s="88"/>
      <c r="AM19" s="88"/>
      <c r="AN19" s="59"/>
      <c r="AO19" s="68"/>
      <c r="AP19" s="59"/>
      <c r="AQ19" s="68"/>
      <c r="AR19" s="59"/>
      <c r="AS19" s="68"/>
    </row>
    <row r="20" spans="1:45" ht="38.25" customHeight="1">
      <c r="A20" s="40" t="s">
        <v>655</v>
      </c>
      <c r="B20" s="40" t="s">
        <v>176</v>
      </c>
      <c r="C20" s="41">
        <v>46267</v>
      </c>
      <c r="D20" s="40" t="s">
        <v>3085</v>
      </c>
      <c r="E20" s="40" t="s">
        <v>3012</v>
      </c>
      <c r="F20" s="47">
        <f>LEN(G20)</f>
        <v>42</v>
      </c>
      <c r="G20" s="40" t="s">
        <v>3086</v>
      </c>
      <c r="H20" s="40" t="s">
        <v>3078</v>
      </c>
      <c r="I20" s="40"/>
      <c r="J20" s="40" t="s">
        <v>154</v>
      </c>
      <c r="K20" s="40" t="s">
        <v>154</v>
      </c>
      <c r="L20" s="40" t="s">
        <v>661</v>
      </c>
      <c r="M20" s="40" t="s">
        <v>3015</v>
      </c>
      <c r="N20" s="47" t="s">
        <v>3016</v>
      </c>
      <c r="O20" s="40" t="s">
        <v>3085</v>
      </c>
      <c r="P20" s="40" t="s">
        <v>183</v>
      </c>
      <c r="Q20" s="40" t="s">
        <v>185</v>
      </c>
      <c r="R20" s="55" t="s">
        <v>3087</v>
      </c>
      <c r="S20" s="41">
        <v>46273</v>
      </c>
      <c r="T20" s="40"/>
      <c r="U20" s="64"/>
      <c r="V20" s="64"/>
      <c r="W20" s="64"/>
      <c r="X20" s="64"/>
      <c r="Y20" s="59" t="s">
        <v>3088</v>
      </c>
      <c r="Z20" s="65"/>
      <c r="AA20" s="68"/>
      <c r="AB20" s="65"/>
      <c r="AC20" s="68"/>
      <c r="AD20" s="66"/>
      <c r="AE20" s="68"/>
      <c r="AF20" s="67"/>
      <c r="AG20" s="69"/>
      <c r="AH20" s="69"/>
      <c r="AI20" s="69"/>
      <c r="AJ20" s="86"/>
      <c r="AK20" s="88"/>
      <c r="AL20" s="88"/>
      <c r="AM20" s="88"/>
      <c r="AN20" s="59"/>
      <c r="AO20" s="68"/>
      <c r="AP20" s="59"/>
      <c r="AQ20" s="68"/>
      <c r="AR20" s="59"/>
      <c r="AS20" s="68"/>
    </row>
    <row r="21" spans="1:45" ht="38.25" customHeight="1">
      <c r="A21" s="40" t="s">
        <v>655</v>
      </c>
      <c r="B21" s="40" t="s">
        <v>176</v>
      </c>
      <c r="C21" s="41">
        <v>46267</v>
      </c>
      <c r="D21" s="40" t="s">
        <v>3089</v>
      </c>
      <c r="E21" s="40" t="s">
        <v>3012</v>
      </c>
      <c r="F21" s="47">
        <f>LEN(G21)</f>
        <v>44</v>
      </c>
      <c r="G21" s="40" t="s">
        <v>3090</v>
      </c>
      <c r="H21" s="40" t="s">
        <v>3078</v>
      </c>
      <c r="I21" s="40"/>
      <c r="J21" s="40" t="s">
        <v>154</v>
      </c>
      <c r="K21" s="40" t="s">
        <v>154</v>
      </c>
      <c r="L21" s="40" t="s">
        <v>661</v>
      </c>
      <c r="M21" s="40" t="s">
        <v>3015</v>
      </c>
      <c r="N21" s="47" t="s">
        <v>3016</v>
      </c>
      <c r="O21" s="40" t="s">
        <v>3089</v>
      </c>
      <c r="P21" s="40" t="s">
        <v>183</v>
      </c>
      <c r="Q21" s="40" t="s">
        <v>185</v>
      </c>
      <c r="R21" s="55" t="s">
        <v>3091</v>
      </c>
      <c r="S21" s="41">
        <v>46273</v>
      </c>
      <c r="T21" s="40"/>
      <c r="U21" s="64"/>
      <c r="V21" s="64"/>
      <c r="W21" s="64"/>
      <c r="X21" s="64"/>
      <c r="Y21" s="59" t="s">
        <v>3092</v>
      </c>
      <c r="Z21" s="65"/>
      <c r="AA21" s="68"/>
      <c r="AB21" s="65"/>
      <c r="AC21" s="68"/>
      <c r="AD21" s="66"/>
      <c r="AE21" s="68"/>
      <c r="AF21" s="67"/>
      <c r="AG21" s="69"/>
      <c r="AH21" s="69"/>
      <c r="AI21" s="69"/>
      <c r="AJ21" s="86"/>
      <c r="AK21" s="88"/>
      <c r="AL21" s="88"/>
      <c r="AM21" s="88"/>
      <c r="AN21" s="59"/>
      <c r="AO21" s="68"/>
      <c r="AP21" s="59"/>
      <c r="AQ21" s="68"/>
      <c r="AR21" s="59"/>
      <c r="AS21" s="68"/>
    </row>
    <row r="22" spans="1:45" ht="80.25" customHeight="1">
      <c r="A22" s="40" t="s">
        <v>655</v>
      </c>
      <c r="B22" s="40" t="s">
        <v>176</v>
      </c>
      <c r="C22" s="41">
        <v>46275</v>
      </c>
      <c r="D22" s="40" t="s">
        <v>3093</v>
      </c>
      <c r="E22" s="40" t="s">
        <v>3012</v>
      </c>
      <c r="F22" s="47">
        <f>LEN(G22)</f>
        <v>32</v>
      </c>
      <c r="G22" s="40" t="s">
        <v>3094</v>
      </c>
      <c r="H22" s="40" t="s">
        <v>843</v>
      </c>
      <c r="I22" s="40"/>
      <c r="J22" s="40" t="s">
        <v>154</v>
      </c>
      <c r="K22" s="40" t="s">
        <v>154</v>
      </c>
      <c r="L22" s="40" t="s">
        <v>661</v>
      </c>
      <c r="M22" s="40" t="s">
        <v>933</v>
      </c>
      <c r="N22" s="47">
        <v>27358</v>
      </c>
      <c r="O22" s="40" t="s">
        <v>3093</v>
      </c>
      <c r="P22" s="40" t="s">
        <v>183</v>
      </c>
      <c r="Q22" s="40"/>
      <c r="R22" s="55"/>
      <c r="S22" s="41"/>
      <c r="T22" s="40"/>
      <c r="U22" s="64"/>
      <c r="V22" s="64"/>
      <c r="W22" s="64" t="s">
        <v>933</v>
      </c>
      <c r="X22" s="64"/>
      <c r="Y22" s="59" t="s">
        <v>784</v>
      </c>
      <c r="Z22" s="65"/>
      <c r="AA22" s="68" t="s">
        <v>213</v>
      </c>
      <c r="AB22" s="65" t="s">
        <v>3095</v>
      </c>
      <c r="AC22" s="68" t="s">
        <v>786</v>
      </c>
      <c r="AD22" s="66" t="s">
        <v>3096</v>
      </c>
      <c r="AE22" s="68" t="s">
        <v>3097</v>
      </c>
      <c r="AF22" s="67"/>
      <c r="AG22" s="69"/>
      <c r="AH22" s="69"/>
      <c r="AI22" s="69"/>
      <c r="AJ22" s="86" t="s">
        <v>218</v>
      </c>
      <c r="AK22" s="88"/>
      <c r="AL22" s="88"/>
      <c r="AM22" s="88"/>
      <c r="AN22" s="59" t="s">
        <v>74</v>
      </c>
      <c r="AO22" s="68" t="s">
        <v>3098</v>
      </c>
      <c r="AP22" s="59"/>
      <c r="AQ22" s="68" t="s">
        <v>788</v>
      </c>
      <c r="AR22" s="59"/>
      <c r="AS22" s="68" t="s">
        <v>747</v>
      </c>
    </row>
    <row r="23" spans="1:45" ht="38.25" customHeight="1">
      <c r="A23" s="40" t="s">
        <v>655</v>
      </c>
      <c r="B23" s="40" t="s">
        <v>176</v>
      </c>
      <c r="C23" s="41">
        <v>46282</v>
      </c>
      <c r="D23" s="40" t="s">
        <v>3099</v>
      </c>
      <c r="E23" s="40" t="s">
        <v>3012</v>
      </c>
      <c r="F23" s="47">
        <v>44</v>
      </c>
      <c r="G23" s="40" t="s">
        <v>3100</v>
      </c>
      <c r="H23" s="40" t="s">
        <v>3078</v>
      </c>
      <c r="I23" s="40"/>
      <c r="J23" s="40" t="s">
        <v>154</v>
      </c>
      <c r="K23" s="40" t="s">
        <v>154</v>
      </c>
      <c r="L23" s="40" t="s">
        <v>661</v>
      </c>
      <c r="M23" s="40" t="s">
        <v>3015</v>
      </c>
      <c r="N23" s="47" t="s">
        <v>3016</v>
      </c>
      <c r="O23" s="40" t="s">
        <v>3099</v>
      </c>
      <c r="P23" s="40" t="s">
        <v>183</v>
      </c>
      <c r="Q23" s="40" t="s">
        <v>185</v>
      </c>
      <c r="R23" s="55" t="s">
        <v>3101</v>
      </c>
      <c r="S23" s="41">
        <v>46287</v>
      </c>
      <c r="T23" s="40"/>
      <c r="U23" s="64"/>
      <c r="V23" s="64"/>
      <c r="W23" s="64"/>
      <c r="X23" s="64"/>
      <c r="Y23" s="59" t="s">
        <v>3102</v>
      </c>
      <c r="Z23" s="65"/>
      <c r="AA23" s="68"/>
      <c r="AB23" s="65"/>
      <c r="AC23" s="68"/>
      <c r="AD23" s="66"/>
      <c r="AE23" s="68"/>
      <c r="AF23" s="67"/>
      <c r="AG23" s="69"/>
      <c r="AH23" s="69"/>
      <c r="AI23" s="69"/>
      <c r="AJ23" s="86"/>
      <c r="AK23" s="88"/>
      <c r="AL23" s="88"/>
      <c r="AM23" s="88"/>
      <c r="AN23" s="59"/>
      <c r="AO23" s="68"/>
      <c r="AP23" s="59"/>
      <c r="AQ23" s="68"/>
      <c r="AR23" s="59"/>
      <c r="AS23" s="68"/>
    </row>
    <row r="24" spans="1:45" ht="39" customHeight="1">
      <c r="A24" s="40" t="s">
        <v>655</v>
      </c>
      <c r="B24" s="40" t="s">
        <v>176</v>
      </c>
      <c r="C24" s="41">
        <v>46282</v>
      </c>
      <c r="D24" s="40" t="s">
        <v>3103</v>
      </c>
      <c r="E24" s="40" t="s">
        <v>3012</v>
      </c>
      <c r="F24" s="47">
        <v>59</v>
      </c>
      <c r="G24" s="40" t="s">
        <v>3104</v>
      </c>
      <c r="H24" s="40" t="s">
        <v>3014</v>
      </c>
      <c r="I24" s="40"/>
      <c r="J24" s="40" t="s">
        <v>154</v>
      </c>
      <c r="K24" s="40" t="s">
        <v>154</v>
      </c>
      <c r="L24" s="40" t="s">
        <v>661</v>
      </c>
      <c r="M24" s="40" t="s">
        <v>3015</v>
      </c>
      <c r="N24" s="47" t="s">
        <v>3016</v>
      </c>
      <c r="O24" s="40" t="s">
        <v>3103</v>
      </c>
      <c r="P24" s="40" t="s">
        <v>183</v>
      </c>
      <c r="Q24" s="40" t="s">
        <v>185</v>
      </c>
      <c r="R24" s="55" t="s">
        <v>3105</v>
      </c>
      <c r="S24" s="41">
        <v>46287</v>
      </c>
      <c r="T24" s="40"/>
      <c r="U24" s="64"/>
      <c r="V24" s="64"/>
      <c r="W24" s="64"/>
      <c r="X24" s="64"/>
      <c r="Y24" s="59" t="s">
        <v>3106</v>
      </c>
      <c r="Z24" s="65"/>
      <c r="AA24" s="68"/>
      <c r="AB24" s="65"/>
      <c r="AC24" s="68"/>
      <c r="AD24" s="66"/>
      <c r="AE24" s="68"/>
      <c r="AF24" s="67"/>
      <c r="AG24" s="69"/>
      <c r="AH24" s="69"/>
      <c r="AI24" s="69"/>
      <c r="AJ24" s="86"/>
      <c r="AK24" s="88"/>
      <c r="AL24" s="88"/>
      <c r="AM24" s="88"/>
      <c r="AN24" s="59"/>
      <c r="AO24" s="68"/>
      <c r="AP24" s="59"/>
      <c r="AQ24" s="68"/>
      <c r="AR24" s="59"/>
      <c r="AS24" s="68"/>
    </row>
    <row r="25" spans="1:45" ht="44.25" customHeight="1">
      <c r="A25" s="40" t="s">
        <v>655</v>
      </c>
      <c r="B25" s="40" t="s">
        <v>176</v>
      </c>
      <c r="C25" s="41">
        <v>46284</v>
      </c>
      <c r="D25" s="40" t="s">
        <v>3107</v>
      </c>
      <c r="E25" s="40" t="s">
        <v>3012</v>
      </c>
      <c r="F25" s="47">
        <f>LEN(G25)</f>
        <v>18</v>
      </c>
      <c r="G25" s="26" t="s">
        <v>3108</v>
      </c>
      <c r="H25" s="40" t="s">
        <v>1003</v>
      </c>
      <c r="I25" s="40"/>
      <c r="J25" s="40" t="s">
        <v>154</v>
      </c>
      <c r="K25" s="40" t="s">
        <v>154</v>
      </c>
      <c r="L25" s="40" t="s">
        <v>661</v>
      </c>
      <c r="M25" s="40" t="s">
        <v>3109</v>
      </c>
      <c r="N25" s="47">
        <v>92179</v>
      </c>
      <c r="O25" s="40" t="s">
        <v>3107</v>
      </c>
      <c r="P25" s="40" t="s">
        <v>183</v>
      </c>
      <c r="Q25" s="40" t="s">
        <v>185</v>
      </c>
      <c r="R25" s="55" t="s">
        <v>3110</v>
      </c>
      <c r="S25" s="41">
        <v>46293</v>
      </c>
      <c r="T25" s="40"/>
      <c r="U25" s="64"/>
      <c r="V25" s="64"/>
      <c r="W25" s="64"/>
      <c r="X25" s="64"/>
      <c r="Y25" s="59" t="s">
        <v>3111</v>
      </c>
      <c r="Z25" s="65"/>
      <c r="AA25" s="68"/>
      <c r="AB25" s="65"/>
      <c r="AC25" s="68"/>
      <c r="AD25" s="66"/>
      <c r="AE25" s="68"/>
      <c r="AF25" s="67"/>
      <c r="AG25" s="69"/>
      <c r="AH25" s="69"/>
      <c r="AI25" s="69"/>
      <c r="AJ25" s="86"/>
      <c r="AK25" s="88"/>
      <c r="AL25" s="88"/>
      <c r="AM25" s="88"/>
      <c r="AN25" s="59"/>
      <c r="AO25" s="68"/>
      <c r="AP25" s="59"/>
      <c r="AQ25" s="68"/>
      <c r="AR25" s="59"/>
      <c r="AS25" s="68"/>
    </row>
    <row r="26" spans="1:45" ht="80.25" customHeight="1">
      <c r="A26" s="40" t="s">
        <v>655</v>
      </c>
      <c r="B26" s="40" t="s">
        <v>176</v>
      </c>
      <c r="C26" s="41">
        <v>46287</v>
      </c>
      <c r="D26" s="40" t="s">
        <v>2634</v>
      </c>
      <c r="E26" s="40" t="s">
        <v>3012</v>
      </c>
      <c r="F26" s="47">
        <f>LEN(G26)</f>
        <v>29</v>
      </c>
      <c r="G26" s="40" t="s">
        <v>2635</v>
      </c>
      <c r="H26" s="40" t="s">
        <v>336</v>
      </c>
      <c r="I26" s="40"/>
      <c r="J26" s="40" t="s">
        <v>154</v>
      </c>
      <c r="K26" s="40" t="s">
        <v>154</v>
      </c>
      <c r="L26" s="40" t="s">
        <v>661</v>
      </c>
      <c r="M26" s="40" t="s">
        <v>669</v>
      </c>
      <c r="N26" s="47">
        <v>14436</v>
      </c>
      <c r="O26" s="40" t="s">
        <v>2636</v>
      </c>
      <c r="P26" s="40" t="s">
        <v>183</v>
      </c>
      <c r="Q26" s="40" t="s">
        <v>3112</v>
      </c>
      <c r="R26" s="55"/>
      <c r="S26" s="41"/>
      <c r="T26" s="49" t="s">
        <v>3113</v>
      </c>
      <c r="U26" s="64" t="s">
        <v>2634</v>
      </c>
      <c r="V26" s="64" t="s">
        <v>3114</v>
      </c>
      <c r="W26" s="64" t="s">
        <v>3115</v>
      </c>
      <c r="X26" s="64" t="s">
        <v>2636</v>
      </c>
      <c r="Y26" s="59" t="s">
        <v>2617</v>
      </c>
      <c r="Z26" s="65" t="s">
        <v>3116</v>
      </c>
      <c r="AA26" s="68" t="s">
        <v>3117</v>
      </c>
      <c r="AB26" s="65" t="s">
        <v>3118</v>
      </c>
      <c r="AC26" s="68" t="s">
        <v>3119</v>
      </c>
      <c r="AD26" s="66" t="s">
        <v>2635</v>
      </c>
      <c r="AE26" s="68" t="s">
        <v>3120</v>
      </c>
      <c r="AF26" s="67"/>
      <c r="AG26" s="69"/>
      <c r="AH26" s="69"/>
      <c r="AI26" s="69"/>
      <c r="AJ26" s="86" t="s">
        <v>218</v>
      </c>
      <c r="AK26" s="89" t="str">
        <f>HYPERLINK("https://ftp.festo.com/Public/PNEUMATIC/SOFTWARE_SERVICE/Datasheet/EN_US/536373.pdf","https://ftp.festo.com/Public/PNEUMATIC/SOFTWARE_SERVICE/Datasheet/EN_US/536373.pdf")</f>
        <v>https://ftp.festo.com/Public/PNEUMATIC/SOFTWARE_SERVICE/Datasheet/EN_US/536373.pdf</v>
      </c>
      <c r="AL26" s="89" t="str">
        <f>HYPERLINK("https://www.festo.com/no/en/a/536373","https://www.festo.com/no/en/a/536373")</f>
        <v>https://www.festo.com/no/en/a/536373</v>
      </c>
      <c r="AM26" s="88"/>
      <c r="AN26" s="59" t="s">
        <v>70</v>
      </c>
      <c r="AO26" s="68" t="s">
        <v>3121</v>
      </c>
      <c r="AP26" s="59"/>
      <c r="AQ26" s="68" t="s">
        <v>746</v>
      </c>
      <c r="AR26" s="59"/>
      <c r="AS26" s="68" t="s">
        <v>747</v>
      </c>
    </row>
    <row r="27" spans="1:45" ht="38.25" customHeight="1">
      <c r="A27" s="40" t="s">
        <v>655</v>
      </c>
      <c r="B27" s="40" t="s">
        <v>2576</v>
      </c>
      <c r="C27" s="41">
        <v>46287</v>
      </c>
      <c r="D27" s="40" t="s">
        <v>3122</v>
      </c>
      <c r="E27" s="40" t="s">
        <v>3012</v>
      </c>
      <c r="F27" s="47">
        <f>LEN(G27)</f>
        <v>51</v>
      </c>
      <c r="G27" s="40" t="s">
        <v>3123</v>
      </c>
      <c r="H27" s="40" t="s">
        <v>2580</v>
      </c>
      <c r="I27" s="40"/>
      <c r="J27" s="40" t="s">
        <v>154</v>
      </c>
      <c r="K27" s="40" t="s">
        <v>154</v>
      </c>
      <c r="L27" s="40" t="s">
        <v>661</v>
      </c>
      <c r="M27" s="40" t="s">
        <v>3124</v>
      </c>
      <c r="N27" s="47">
        <v>17436</v>
      </c>
      <c r="O27" s="40" t="s">
        <v>3122</v>
      </c>
      <c r="P27" s="40" t="s">
        <v>157</v>
      </c>
      <c r="Q27" s="40" t="s">
        <v>3125</v>
      </c>
      <c r="R27" s="40" t="s">
        <v>3126</v>
      </c>
      <c r="S27" s="41">
        <v>46293</v>
      </c>
      <c r="T27" s="40"/>
      <c r="U27" s="64"/>
      <c r="V27" s="64"/>
      <c r="W27" s="64"/>
      <c r="X27" s="64"/>
      <c r="Y27" s="59" t="s">
        <v>3127</v>
      </c>
      <c r="Z27" s="65"/>
      <c r="AA27" s="68"/>
      <c r="AB27" s="65"/>
      <c r="AC27" s="68"/>
      <c r="AD27" s="66"/>
      <c r="AE27" s="68"/>
      <c r="AF27" s="67"/>
      <c r="AG27" s="69"/>
      <c r="AH27" s="69"/>
      <c r="AI27" s="69"/>
      <c r="AJ27" s="86"/>
      <c r="AK27" s="88"/>
      <c r="AL27" s="88"/>
      <c r="AM27" s="88"/>
      <c r="AN27" s="59"/>
      <c r="AO27" s="68"/>
      <c r="AP27" s="59"/>
      <c r="AQ27" s="68"/>
      <c r="AR27" s="59"/>
      <c r="AS27" s="68"/>
    </row>
    <row r="28" spans="1:45" ht="38.25" customHeight="1">
      <c r="A28" s="40" t="s">
        <v>655</v>
      </c>
      <c r="B28" s="40" t="s">
        <v>2576</v>
      </c>
      <c r="C28" s="41">
        <v>46287</v>
      </c>
      <c r="D28" s="40" t="s">
        <v>3128</v>
      </c>
      <c r="E28" s="40" t="s">
        <v>3012</v>
      </c>
      <c r="F28" s="47">
        <f>LEN(G28)</f>
        <v>77</v>
      </c>
      <c r="G28" s="40" t="s">
        <v>3129</v>
      </c>
      <c r="H28" s="40" t="s">
        <v>2580</v>
      </c>
      <c r="I28" s="40"/>
      <c r="J28" s="40" t="s">
        <v>154</v>
      </c>
      <c r="K28" s="40" t="s">
        <v>154</v>
      </c>
      <c r="L28" s="40" t="s">
        <v>661</v>
      </c>
      <c r="M28" s="40" t="s">
        <v>3124</v>
      </c>
      <c r="N28" s="47">
        <v>17436</v>
      </c>
      <c r="O28" s="40" t="s">
        <v>3128</v>
      </c>
      <c r="P28" s="40" t="s">
        <v>157</v>
      </c>
      <c r="Q28" s="40" t="s">
        <v>3125</v>
      </c>
      <c r="R28" s="26" t="s">
        <v>3130</v>
      </c>
      <c r="S28" s="41">
        <v>46293</v>
      </c>
      <c r="T28" s="40"/>
      <c r="U28" s="64"/>
      <c r="V28" s="64"/>
      <c r="W28" s="64"/>
      <c r="X28" s="64"/>
      <c r="Y28" s="59" t="s">
        <v>3131</v>
      </c>
      <c r="Z28" s="65"/>
      <c r="AA28" s="68"/>
      <c r="AB28" s="65"/>
      <c r="AC28" s="68"/>
      <c r="AD28" s="66"/>
      <c r="AE28" s="68"/>
      <c r="AF28" s="67"/>
      <c r="AG28" s="69"/>
      <c r="AH28" s="69"/>
      <c r="AI28" s="69"/>
      <c r="AJ28" s="86"/>
      <c r="AK28" s="88"/>
      <c r="AL28" s="88"/>
      <c r="AM28" s="88"/>
      <c r="AN28" s="59"/>
      <c r="AO28" s="68"/>
      <c r="AP28" s="59"/>
      <c r="AQ28" s="68"/>
      <c r="AR28" s="59"/>
      <c r="AS28" s="68"/>
    </row>
    <row r="29" spans="1:45" ht="38.25" customHeight="1">
      <c r="A29" s="40" t="s">
        <v>655</v>
      </c>
      <c r="B29" s="40" t="s">
        <v>2576</v>
      </c>
      <c r="C29" s="41">
        <v>46287</v>
      </c>
      <c r="D29" s="26" t="s">
        <v>3132</v>
      </c>
      <c r="E29" s="40" t="s">
        <v>3012</v>
      </c>
      <c r="F29" s="47">
        <f>LEN(G29)</f>
        <v>77</v>
      </c>
      <c r="G29" s="40" t="s">
        <v>3133</v>
      </c>
      <c r="H29" s="40" t="s">
        <v>2580</v>
      </c>
      <c r="I29" s="40"/>
      <c r="J29" s="40" t="s">
        <v>154</v>
      </c>
      <c r="K29" s="40" t="s">
        <v>154</v>
      </c>
      <c r="L29" s="40" t="s">
        <v>661</v>
      </c>
      <c r="M29" s="40" t="s">
        <v>3124</v>
      </c>
      <c r="N29" s="47">
        <v>17436</v>
      </c>
      <c r="O29" s="40" t="s">
        <v>3132</v>
      </c>
      <c r="P29" s="40" t="s">
        <v>157</v>
      </c>
      <c r="Q29" s="40" t="s">
        <v>3125</v>
      </c>
      <c r="R29" s="40" t="s">
        <v>3134</v>
      </c>
      <c r="S29" s="41">
        <v>46293</v>
      </c>
      <c r="T29" s="40"/>
      <c r="U29" s="64"/>
      <c r="V29" s="64"/>
      <c r="W29" s="64"/>
      <c r="X29" s="64"/>
      <c r="Y29" s="59" t="s">
        <v>3135</v>
      </c>
      <c r="Z29" s="65"/>
      <c r="AA29" s="68"/>
      <c r="AB29" s="65"/>
      <c r="AC29" s="68"/>
      <c r="AD29" s="66"/>
      <c r="AE29" s="68"/>
      <c r="AF29" s="67"/>
      <c r="AG29" s="69"/>
      <c r="AH29" s="69"/>
      <c r="AI29" s="69"/>
      <c r="AJ29" s="86"/>
      <c r="AK29" s="88"/>
      <c r="AL29" s="88"/>
      <c r="AM29" s="88"/>
      <c r="AN29" s="59"/>
      <c r="AO29" s="68"/>
      <c r="AP29" s="59"/>
      <c r="AQ29" s="68"/>
      <c r="AR29" s="59"/>
      <c r="AS29" s="68"/>
    </row>
    <row r="30" spans="1:45" ht="38.25" customHeight="1">
      <c r="A30" s="40" t="s">
        <v>655</v>
      </c>
      <c r="B30" s="40" t="s">
        <v>2576</v>
      </c>
      <c r="C30" s="41">
        <v>46287</v>
      </c>
      <c r="D30" s="26" t="s">
        <v>3136</v>
      </c>
      <c r="E30" s="40" t="s">
        <v>3012</v>
      </c>
      <c r="F30" s="47">
        <f>LEN(G30)</f>
        <v>61</v>
      </c>
      <c r="G30" s="40" t="s">
        <v>3137</v>
      </c>
      <c r="H30" s="40" t="s">
        <v>2580</v>
      </c>
      <c r="I30" s="40"/>
      <c r="J30" s="40" t="s">
        <v>154</v>
      </c>
      <c r="K30" s="40" t="s">
        <v>154</v>
      </c>
      <c r="L30" s="40" t="s">
        <v>661</v>
      </c>
      <c r="M30" s="40" t="s">
        <v>3124</v>
      </c>
      <c r="N30" s="47">
        <v>17436</v>
      </c>
      <c r="O30" s="40" t="s">
        <v>3136</v>
      </c>
      <c r="P30" s="40" t="s">
        <v>157</v>
      </c>
      <c r="Q30" s="40" t="s">
        <v>3125</v>
      </c>
      <c r="R30" s="26" t="s">
        <v>3138</v>
      </c>
      <c r="S30" s="41">
        <v>46293</v>
      </c>
      <c r="T30" s="40"/>
      <c r="U30" s="64"/>
      <c r="V30" s="64"/>
      <c r="W30" s="64"/>
      <c r="X30" s="64"/>
      <c r="Y30" s="59" t="s">
        <v>3139</v>
      </c>
      <c r="Z30" s="65"/>
      <c r="AA30" s="68"/>
      <c r="AB30" s="65"/>
      <c r="AC30" s="68"/>
      <c r="AD30" s="66"/>
      <c r="AE30" s="68"/>
      <c r="AF30" s="67"/>
      <c r="AG30" s="69"/>
      <c r="AH30" s="69"/>
      <c r="AI30" s="69"/>
      <c r="AJ30" s="86"/>
      <c r="AK30" s="88"/>
      <c r="AL30" s="88"/>
      <c r="AM30" s="88"/>
      <c r="AN30" s="59"/>
      <c r="AO30" s="68"/>
      <c r="AP30" s="59"/>
      <c r="AQ30" s="68"/>
      <c r="AR30" s="59"/>
      <c r="AS30" s="68"/>
    </row>
    <row r="31" spans="1:45" ht="98.25" customHeight="1">
      <c r="A31" s="40" t="s">
        <v>655</v>
      </c>
      <c r="B31" s="40" t="s">
        <v>176</v>
      </c>
      <c r="C31" s="41">
        <v>46290</v>
      </c>
      <c r="D31" s="40" t="s">
        <v>2569</v>
      </c>
      <c r="E31" s="40" t="s">
        <v>3012</v>
      </c>
      <c r="F31" s="47">
        <f>LEN(G31)</f>
        <v>47</v>
      </c>
      <c r="G31" s="49" t="s">
        <v>2571</v>
      </c>
      <c r="H31" s="40" t="s">
        <v>281</v>
      </c>
      <c r="I31" s="40"/>
      <c r="J31" s="40" t="s">
        <v>154</v>
      </c>
      <c r="K31" s="40" t="s">
        <v>154</v>
      </c>
      <c r="L31" s="40" t="s">
        <v>661</v>
      </c>
      <c r="M31" s="40" t="s">
        <v>2572</v>
      </c>
      <c r="N31" s="47">
        <v>89122</v>
      </c>
      <c r="O31" s="40" t="s">
        <v>2569</v>
      </c>
      <c r="P31" s="40" t="s">
        <v>183</v>
      </c>
      <c r="Q31" s="40" t="s">
        <v>3112</v>
      </c>
      <c r="R31" s="55"/>
      <c r="S31" s="41"/>
      <c r="T31" s="26" t="s">
        <v>3140</v>
      </c>
      <c r="U31" s="64"/>
      <c r="V31" s="64"/>
      <c r="W31" s="64" t="s">
        <v>2572</v>
      </c>
      <c r="X31" s="64"/>
      <c r="Y31" s="59" t="s">
        <v>212</v>
      </c>
      <c r="Z31" s="65"/>
      <c r="AA31" s="68" t="s">
        <v>213</v>
      </c>
      <c r="AB31" s="65" t="s">
        <v>3141</v>
      </c>
      <c r="AC31" s="68" t="s">
        <v>3142</v>
      </c>
      <c r="AD31" s="66" t="s">
        <v>3143</v>
      </c>
      <c r="AE31" s="68" t="s">
        <v>3144</v>
      </c>
      <c r="AF31" s="67"/>
      <c r="AG31" s="69"/>
      <c r="AH31" s="69"/>
      <c r="AI31" s="69"/>
      <c r="AJ31" s="86" t="s">
        <v>218</v>
      </c>
      <c r="AK31" s="88"/>
      <c r="AL31" s="89" t="str">
        <f>HYPERLINK("https://www.mechancontrols.com/products/magnasafe/ms5sslqd/","https://www.mechancontrols.com/products/magnasafe/ms5sslqd/")</f>
        <v>https://www.mechancontrols.com/products/magnasafe/ms5sslqd/</v>
      </c>
      <c r="AM31" s="89" t="str">
        <f>HYPERLINK("https://machinesafety-shop.com/ms5-ss-21-dc-lqd-ms5-stainless-steel-magnetic-safety-sensor/","https://machinesafety-shop.com/ms5-ss-21-dc-lqd-ms5-stainless-steel-magnetic-safety-sensor/")</f>
        <v>https://machinesafety-shop.com/ms5-ss-21-dc-lqd-ms5-stainless-steel-magnetic-safety-sensor/</v>
      </c>
      <c r="AN31" s="59" t="s">
        <v>74</v>
      </c>
      <c r="AO31" s="68" t="s">
        <v>3145</v>
      </c>
      <c r="AP31" s="59"/>
      <c r="AQ31" s="68" t="s">
        <v>746</v>
      </c>
      <c r="AR31" s="59"/>
      <c r="AS31" s="68" t="s">
        <v>747</v>
      </c>
    </row>
    <row r="32" spans="1:45" ht="37.5" customHeight="1">
      <c r="A32" s="40" t="s">
        <v>655</v>
      </c>
      <c r="B32" s="40" t="s">
        <v>539</v>
      </c>
      <c r="C32" s="41">
        <v>46293</v>
      </c>
      <c r="D32" s="40" t="s">
        <v>3146</v>
      </c>
      <c r="E32" s="40" t="s">
        <v>3012</v>
      </c>
      <c r="F32" s="47">
        <f>LEN(G32)</f>
        <v>23</v>
      </c>
      <c r="G32" s="40" t="s">
        <v>3146</v>
      </c>
      <c r="H32" s="40" t="s">
        <v>3147</v>
      </c>
      <c r="I32" s="40"/>
      <c r="J32" s="40" t="s">
        <v>154</v>
      </c>
      <c r="K32" s="40" t="s">
        <v>154</v>
      </c>
      <c r="L32" s="40" t="s">
        <v>661</v>
      </c>
      <c r="M32" s="40" t="s">
        <v>2812</v>
      </c>
      <c r="N32" s="47">
        <v>6775</v>
      </c>
      <c r="O32" s="40" t="s">
        <v>3146</v>
      </c>
      <c r="P32" s="40" t="s">
        <v>157</v>
      </c>
      <c r="Q32" s="40"/>
      <c r="R32" s="49" t="s">
        <v>3148</v>
      </c>
      <c r="S32" s="41">
        <v>46293</v>
      </c>
      <c r="T32" s="40"/>
      <c r="U32" s="64"/>
      <c r="V32" s="64"/>
      <c r="W32" s="64"/>
      <c r="X32" s="64"/>
      <c r="Y32" s="59" t="s">
        <v>3149</v>
      </c>
      <c r="Z32" s="65"/>
      <c r="AA32" s="68"/>
      <c r="AB32" s="65"/>
      <c r="AC32" s="68"/>
      <c r="AD32" s="66"/>
      <c r="AE32" s="68"/>
      <c r="AF32" s="67"/>
      <c r="AG32" s="69"/>
      <c r="AH32" s="69"/>
      <c r="AI32" s="69"/>
      <c r="AJ32" s="86"/>
      <c r="AK32" s="88"/>
      <c r="AL32" s="88"/>
      <c r="AM32" s="88"/>
      <c r="AN32" s="59"/>
      <c r="AO32" s="68"/>
      <c r="AP32" s="59"/>
      <c r="AQ32" s="68"/>
      <c r="AR32" s="59"/>
      <c r="AS32" s="68"/>
    </row>
    <row r="33" spans="1:45" ht="51" customHeight="1">
      <c r="A33" s="40" t="s">
        <v>655</v>
      </c>
      <c r="B33" s="40" t="s">
        <v>539</v>
      </c>
      <c r="C33" s="41">
        <v>46293</v>
      </c>
      <c r="D33" s="40" t="s">
        <v>3150</v>
      </c>
      <c r="E33" s="40" t="s">
        <v>3012</v>
      </c>
      <c r="F33" s="47">
        <f>LEN(G33)</f>
        <v>23</v>
      </c>
      <c r="G33" s="40" t="s">
        <v>3150</v>
      </c>
      <c r="H33" s="40" t="s">
        <v>3147</v>
      </c>
      <c r="I33" s="40"/>
      <c r="J33" s="40" t="s">
        <v>154</v>
      </c>
      <c r="K33" s="40" t="s">
        <v>154</v>
      </c>
      <c r="L33" s="40" t="s">
        <v>661</v>
      </c>
      <c r="M33" s="40" t="s">
        <v>2812</v>
      </c>
      <c r="N33" s="47">
        <v>6775</v>
      </c>
      <c r="O33" s="40" t="s">
        <v>3150</v>
      </c>
      <c r="P33" s="40" t="s">
        <v>157</v>
      </c>
      <c r="Q33" s="40"/>
      <c r="R33" s="40" t="s">
        <v>3151</v>
      </c>
      <c r="S33" s="41">
        <v>46293</v>
      </c>
      <c r="T33" s="40"/>
      <c r="U33" s="64"/>
      <c r="V33" s="64"/>
      <c r="W33" s="64"/>
      <c r="X33" s="64"/>
      <c r="Y33" s="59" t="s">
        <v>3152</v>
      </c>
      <c r="Z33" s="65"/>
      <c r="AA33" s="68"/>
      <c r="AB33" s="65"/>
      <c r="AC33" s="68"/>
      <c r="AD33" s="66"/>
      <c r="AE33" s="68"/>
      <c r="AF33" s="67"/>
      <c r="AG33" s="69"/>
      <c r="AH33" s="69"/>
      <c r="AI33" s="69"/>
      <c r="AJ33" s="86"/>
      <c r="AK33" s="88"/>
      <c r="AL33" s="88"/>
      <c r="AM33" s="88"/>
      <c r="AN33" s="59"/>
      <c r="AO33" s="68"/>
      <c r="AP33" s="59"/>
      <c r="AQ33" s="68"/>
      <c r="AR33" s="59"/>
      <c r="AS33" s="68"/>
    </row>
    <row r="34" spans="1:45" ht="87" customHeight="1">
      <c r="A34" s="40" t="s">
        <v>655</v>
      </c>
      <c r="B34" s="40" t="s">
        <v>529</v>
      </c>
      <c r="C34" s="41">
        <v>46335</v>
      </c>
      <c r="D34" s="40" t="s">
        <v>3153</v>
      </c>
      <c r="E34" s="40" t="s">
        <v>3012</v>
      </c>
      <c r="F34" s="47">
        <f>LEN(G34)</f>
        <v>28</v>
      </c>
      <c r="G34" s="40" t="s">
        <v>3154</v>
      </c>
      <c r="H34" s="40" t="s">
        <v>3155</v>
      </c>
      <c r="I34" s="40"/>
      <c r="J34" s="40" t="s">
        <v>154</v>
      </c>
      <c r="K34" s="40" t="s">
        <v>154</v>
      </c>
      <c r="L34" s="40" t="s">
        <v>661</v>
      </c>
      <c r="M34" s="40" t="s">
        <v>3156</v>
      </c>
      <c r="N34" s="47">
        <v>145648</v>
      </c>
      <c r="O34" s="40" t="s">
        <v>3153</v>
      </c>
      <c r="P34" s="40" t="s">
        <v>535</v>
      </c>
      <c r="Q34" s="40"/>
      <c r="R34" s="55"/>
      <c r="S34" s="41"/>
      <c r="T34" s="40"/>
      <c r="U34" s="64"/>
      <c r="V34" s="64"/>
      <c r="W34" s="64" t="s">
        <v>3157</v>
      </c>
      <c r="X34" s="64"/>
      <c r="Y34" s="59" t="s">
        <v>784</v>
      </c>
      <c r="Z34" s="65"/>
      <c r="AA34" s="68" t="s">
        <v>213</v>
      </c>
      <c r="AB34" s="65" t="s">
        <v>3158</v>
      </c>
      <c r="AC34" s="68" t="s">
        <v>786</v>
      </c>
      <c r="AD34" s="66" t="s">
        <v>3154</v>
      </c>
      <c r="AE34" s="68" t="s">
        <v>3159</v>
      </c>
      <c r="AF34" s="67"/>
      <c r="AG34" s="69"/>
      <c r="AH34" s="69"/>
      <c r="AI34" s="69"/>
      <c r="AJ34" s="86" t="s">
        <v>218</v>
      </c>
      <c r="AK34" s="88"/>
      <c r="AL34" s="89" t="str">
        <f>HYPERLINK("https://www.plastique-cauwet.com/Usinage-plastique/","https://www.plastique-cauwet.com/Usinage-plastique/")</f>
        <v>https://www.plastique-cauwet.com/Usinage-plastique/</v>
      </c>
      <c r="AM34" s="88"/>
      <c r="AN34" s="59" t="s">
        <v>74</v>
      </c>
      <c r="AO34" s="68" t="s">
        <v>3160</v>
      </c>
      <c r="AP34" s="59"/>
      <c r="AQ34" s="68" t="s">
        <v>788</v>
      </c>
      <c r="AR34" s="59"/>
      <c r="AS34" s="68" t="s">
        <v>747</v>
      </c>
    </row>
    <row r="35" spans="1:45" ht="87" customHeight="1">
      <c r="A35" s="40" t="s">
        <v>655</v>
      </c>
      <c r="B35" s="40" t="s">
        <v>529</v>
      </c>
      <c r="C35" s="41" t="s">
        <v>657</v>
      </c>
      <c r="D35" s="40" t="s">
        <v>3161</v>
      </c>
      <c r="E35" s="40" t="s">
        <v>3012</v>
      </c>
      <c r="F35" s="47">
        <f>LEN(G35)</f>
        <v>96</v>
      </c>
      <c r="G35" s="49" t="s">
        <v>3162</v>
      </c>
      <c r="H35" s="40" t="s">
        <v>614</v>
      </c>
      <c r="I35" s="40"/>
      <c r="J35" s="40" t="s">
        <v>154</v>
      </c>
      <c r="K35" s="40" t="s">
        <v>154</v>
      </c>
      <c r="L35" s="40" t="s">
        <v>661</v>
      </c>
      <c r="M35" s="40" t="s">
        <v>3163</v>
      </c>
      <c r="N35" s="47">
        <v>144465</v>
      </c>
      <c r="O35" s="40" t="s">
        <v>3161</v>
      </c>
      <c r="P35" s="26" t="s">
        <v>535</v>
      </c>
      <c r="Q35" s="40"/>
      <c r="R35" s="55"/>
      <c r="S35" s="41"/>
      <c r="T35" s="40"/>
      <c r="U35" s="64"/>
      <c r="V35" s="64"/>
      <c r="W35" s="64" t="s">
        <v>3004</v>
      </c>
      <c r="X35" s="64"/>
      <c r="Y35" s="59" t="s">
        <v>212</v>
      </c>
      <c r="Z35" s="65"/>
      <c r="AA35" s="68" t="s">
        <v>213</v>
      </c>
      <c r="AB35" s="65" t="s">
        <v>3164</v>
      </c>
      <c r="AC35" s="68" t="s">
        <v>3165</v>
      </c>
      <c r="AD35" s="66" t="s">
        <v>3166</v>
      </c>
      <c r="AE35" s="68" t="s">
        <v>3167</v>
      </c>
      <c r="AF35" s="67"/>
      <c r="AG35" s="69"/>
      <c r="AH35" s="69"/>
      <c r="AI35" s="69"/>
      <c r="AJ35" s="86" t="s">
        <v>218</v>
      </c>
      <c r="AK35" s="88"/>
      <c r="AL35" s="89" t="str">
        <f>HYPERLINK("https://www.intralox.com/belt-finder/modular-plastic-belting/series-900/flush-grid","https://www.intralox.com/belt-finder/modular-plastic-belting/series-900/flush-grid")</f>
        <v>https://www.intralox.com/belt-finder/modular-plastic-belting/series-900/flush-grid</v>
      </c>
      <c r="AM35" s="88"/>
      <c r="AN35" s="59" t="s">
        <v>74</v>
      </c>
      <c r="AO35" s="68" t="s">
        <v>3168</v>
      </c>
      <c r="AP35" s="59" t="s">
        <v>2002</v>
      </c>
      <c r="AQ35" s="68" t="s">
        <v>3169</v>
      </c>
      <c r="AR35" s="59"/>
      <c r="AS35" s="68" t="s">
        <v>747</v>
      </c>
    </row>
    <row r="36" spans="1:45" ht="63.75" customHeight="1">
      <c r="A36" s="40"/>
      <c r="B36" s="40" t="s">
        <v>529</v>
      </c>
      <c r="C36" s="41" t="s">
        <v>767</v>
      </c>
      <c r="D36" s="40" t="s">
        <v>3170</v>
      </c>
      <c r="E36" s="40" t="s">
        <v>3012</v>
      </c>
      <c r="F36" s="47">
        <f>LEN(G36)</f>
        <v>35</v>
      </c>
      <c r="G36" s="40" t="s">
        <v>3171</v>
      </c>
      <c r="H36" s="40" t="s">
        <v>3172</v>
      </c>
      <c r="I36" s="40"/>
      <c r="J36" s="40" t="s">
        <v>154</v>
      </c>
      <c r="K36" s="40" t="s">
        <v>154</v>
      </c>
      <c r="L36" s="40" t="s">
        <v>661</v>
      </c>
      <c r="M36" s="40" t="s">
        <v>3173</v>
      </c>
      <c r="N36" s="47">
        <v>151146</v>
      </c>
      <c r="O36" s="40" t="s">
        <v>3170</v>
      </c>
      <c r="P36" s="26" t="s">
        <v>535</v>
      </c>
      <c r="Q36" s="40" t="s">
        <v>3174</v>
      </c>
      <c r="R36" s="55" t="s">
        <v>3175</v>
      </c>
      <c r="S36" s="41">
        <v>46295</v>
      </c>
      <c r="T36" s="40"/>
      <c r="U36" s="64"/>
      <c r="V36" s="64"/>
      <c r="W36" s="64"/>
      <c r="X36" s="64"/>
      <c r="Y36" s="59" t="s">
        <v>3176</v>
      </c>
      <c r="Z36" s="65"/>
      <c r="AA36" s="68"/>
      <c r="AB36" s="65"/>
      <c r="AC36" s="68"/>
      <c r="AD36" s="66"/>
      <c r="AE36" s="68"/>
      <c r="AF36" s="67"/>
      <c r="AG36" s="69"/>
      <c r="AH36" s="69"/>
      <c r="AI36" s="69"/>
      <c r="AJ36" s="86"/>
      <c r="AK36" s="88"/>
      <c r="AL36" s="88"/>
      <c r="AM36" s="88"/>
      <c r="AN36" s="59"/>
      <c r="AO36" s="68"/>
      <c r="AP36" s="59"/>
      <c r="AQ36" s="68"/>
      <c r="AR36" s="59"/>
      <c r="AS36" s="68"/>
    </row>
    <row r="37" spans="1:45" ht="80.25" customHeight="1">
      <c r="A37" s="40" t="s">
        <v>655</v>
      </c>
      <c r="B37" s="40" t="s">
        <v>905</v>
      </c>
      <c r="C37" s="41" t="s">
        <v>833</v>
      </c>
      <c r="D37" s="43" t="s">
        <v>3177</v>
      </c>
      <c r="E37" s="40" t="s">
        <v>3012</v>
      </c>
      <c r="F37" s="47">
        <f>LEN(G37)</f>
        <v>56</v>
      </c>
      <c r="G37" s="40" t="s">
        <v>3178</v>
      </c>
      <c r="H37" s="40" t="s">
        <v>3179</v>
      </c>
      <c r="I37" s="40"/>
      <c r="J37" s="40" t="s">
        <v>154</v>
      </c>
      <c r="K37" s="40" t="s">
        <v>154</v>
      </c>
      <c r="L37" s="40" t="s">
        <v>661</v>
      </c>
      <c r="M37" s="40" t="s">
        <v>885</v>
      </c>
      <c r="N37" s="47">
        <v>83291</v>
      </c>
      <c r="O37" s="43" t="s">
        <v>3177</v>
      </c>
      <c r="P37" s="40" t="s">
        <v>910</v>
      </c>
      <c r="Q37" s="40"/>
      <c r="R37" s="55"/>
      <c r="S37" s="41"/>
      <c r="T37" s="40"/>
      <c r="U37" s="64" t="s">
        <v>3177</v>
      </c>
      <c r="V37" s="64" t="s">
        <v>2354</v>
      </c>
      <c r="W37" s="64" t="s">
        <v>885</v>
      </c>
      <c r="X37" s="64"/>
      <c r="Y37" s="59" t="s">
        <v>1519</v>
      </c>
      <c r="Z37" s="65"/>
      <c r="AA37" s="68" t="s">
        <v>213</v>
      </c>
      <c r="AB37" s="65" t="s">
        <v>3180</v>
      </c>
      <c r="AC37" s="68" t="s">
        <v>3181</v>
      </c>
      <c r="AD37" s="66" t="s">
        <v>3178</v>
      </c>
      <c r="AE37" s="68" t="s">
        <v>3182</v>
      </c>
      <c r="AF37" s="67"/>
      <c r="AG37" s="69"/>
      <c r="AH37" s="69"/>
      <c r="AI37" s="69"/>
      <c r="AJ37" s="86" t="s">
        <v>218</v>
      </c>
      <c r="AK37" s="88"/>
      <c r="AL37" s="88"/>
      <c r="AM37" s="89" t="str">
        <f>HYPERLINK("https://www.ahlsell.dk/en/produkter/technique/tenant/rental-and-accessories/food-line-composite-rental-houses-and-rentals/c-60.40.20.40/10231337/skf-ecb-508-end-cap","https://www.ahlsell.dk/en/produkter/technique/tenant/rental-and-accessories/food-line-composite-rental-houses-and-rentals/c-60.40.20.40/10231337/skf-ecb-508-end-cap")</f>
        <v>https://www.ahlsell.dk/en/produkter/technique/tenant/rental-and-accessories/food-line-composite-rental-houses-and-rentals/c-60.40.20.40/10231337/skf-ecb-508-end-cap</v>
      </c>
      <c r="AN37" s="59" t="s">
        <v>72</v>
      </c>
      <c r="AO37" s="68" t="s">
        <v>3183</v>
      </c>
      <c r="AP37" s="59"/>
      <c r="AQ37" s="68" t="s">
        <v>746</v>
      </c>
      <c r="AR37" s="59"/>
      <c r="AS37" s="68" t="s">
        <v>747</v>
      </c>
    </row>
    <row r="38" spans="1:45" ht="80.25" customHeight="1">
      <c r="A38" s="40" t="s">
        <v>655</v>
      </c>
      <c r="B38" s="40" t="s">
        <v>905</v>
      </c>
      <c r="C38" s="41">
        <v>46032</v>
      </c>
      <c r="D38" s="43" t="s">
        <v>3184</v>
      </c>
      <c r="E38" s="40" t="s">
        <v>3012</v>
      </c>
      <c r="F38" s="47">
        <f>LEN(G38)</f>
        <v>33</v>
      </c>
      <c r="G38" s="50" t="s">
        <v>3185</v>
      </c>
      <c r="H38" s="40" t="s">
        <v>1875</v>
      </c>
      <c r="I38" s="40"/>
      <c r="J38" s="40" t="s">
        <v>154</v>
      </c>
      <c r="K38" s="40" t="s">
        <v>154</v>
      </c>
      <c r="L38" s="40" t="s">
        <v>661</v>
      </c>
      <c r="M38" s="40" t="s">
        <v>669</v>
      </c>
      <c r="N38" s="47">
        <v>14436</v>
      </c>
      <c r="O38" s="43" t="s">
        <v>3184</v>
      </c>
      <c r="P38" s="40" t="s">
        <v>910</v>
      </c>
      <c r="Q38" s="40"/>
      <c r="R38" s="55"/>
      <c r="S38" s="41"/>
      <c r="T38" s="40"/>
      <c r="U38" s="64" t="s">
        <v>3186</v>
      </c>
      <c r="V38" s="64" t="s">
        <v>3114</v>
      </c>
      <c r="W38" s="64" t="s">
        <v>3115</v>
      </c>
      <c r="X38" s="64" t="s">
        <v>3187</v>
      </c>
      <c r="Y38" s="59" t="s">
        <v>3188</v>
      </c>
      <c r="Z38" s="65" t="s">
        <v>3189</v>
      </c>
      <c r="AA38" s="68" t="s">
        <v>3190</v>
      </c>
      <c r="AB38" s="65" t="s">
        <v>3191</v>
      </c>
      <c r="AC38" s="68" t="s">
        <v>3192</v>
      </c>
      <c r="AD38" s="66" t="s">
        <v>3193</v>
      </c>
      <c r="AE38" s="68" t="s">
        <v>3194</v>
      </c>
      <c r="AF38" s="67"/>
      <c r="AG38" s="69"/>
      <c r="AH38" s="69"/>
      <c r="AI38" s="69"/>
      <c r="AJ38" s="86" t="s">
        <v>218</v>
      </c>
      <c r="AK38" s="89" t="str">
        <f>HYPERLINK("https://ftp.festo.com/Public/PNEUMATIC/SOFTWARE_SERVICE/Datasheet/EN_US/534337.pdf","https://ftp.festo.com/Public/PNEUMATIC/SOFTWARE_SERVICE/Datasheet/EN_US/534337.pdf")</f>
        <v>https://ftp.festo.com/Public/PNEUMATIC/SOFTWARE_SERVICE/Datasheet/EN_US/534337.pdf</v>
      </c>
      <c r="AL38" s="89" t="str">
        <f>HYPERLINK("https://www.festo.com/gr/en/a/534337/","https://www.festo.com/gr/en/a/534337/")</f>
        <v>https://www.festo.com/gr/en/a/534337/</v>
      </c>
      <c r="AM38" s="88"/>
      <c r="AN38" s="59" t="s">
        <v>70</v>
      </c>
      <c r="AO38" s="68" t="s">
        <v>3195</v>
      </c>
      <c r="AP38" s="59"/>
      <c r="AQ38" s="68" t="s">
        <v>746</v>
      </c>
      <c r="AR38" s="59"/>
      <c r="AS38" s="68" t="s">
        <v>747</v>
      </c>
    </row>
    <row r="39" spans="1:45" ht="120" customHeight="1">
      <c r="A39" s="40" t="s">
        <v>655</v>
      </c>
      <c r="B39" s="40" t="s">
        <v>816</v>
      </c>
      <c r="C39" s="41">
        <v>46296</v>
      </c>
      <c r="D39" s="26" t="s">
        <v>817</v>
      </c>
      <c r="E39" s="40" t="s">
        <v>3012</v>
      </c>
      <c r="F39" s="47">
        <f>LEN(G39)</f>
        <v>85</v>
      </c>
      <c r="G39" s="40" t="s">
        <v>819</v>
      </c>
      <c r="H39" s="40" t="s">
        <v>820</v>
      </c>
      <c r="I39" s="40"/>
      <c r="J39" s="40" t="s">
        <v>154</v>
      </c>
      <c r="K39" s="40" t="s">
        <v>154</v>
      </c>
      <c r="L39" s="40" t="s">
        <v>661</v>
      </c>
      <c r="M39" s="40" t="s">
        <v>821</v>
      </c>
      <c r="N39" s="47">
        <v>15189</v>
      </c>
      <c r="O39" s="26" t="s">
        <v>822</v>
      </c>
      <c r="P39" s="40" t="s">
        <v>157</v>
      </c>
      <c r="Q39" s="53" t="s">
        <v>823</v>
      </c>
      <c r="R39" s="40" t="inlineStr">
        <is>
          <t xml:space="preserve">087337</t>
        </is>
      </c>
      <c r="S39" s="40">
        <v>46302</v>
      </c>
      <c r="T39" s="40"/>
      <c r="U39" s="64"/>
      <c r="V39" s="64" t="s">
        <v>825</v>
      </c>
      <c r="W39" s="64" t="s">
        <v>826</v>
      </c>
      <c r="X39" s="64" t="s">
        <v>822</v>
      </c>
      <c r="Y39" s="59" t="s">
        <v>827</v>
      </c>
      <c r="Z39" s="65"/>
      <c r="AA39" s="68" t="s">
        <v>213</v>
      </c>
      <c r="AB39" s="65" t="s">
        <v>828</v>
      </c>
      <c r="AC39" s="68" t="s">
        <v>829</v>
      </c>
      <c r="AD39" s="66" t="s">
        <v>830</v>
      </c>
      <c r="AE39" s="68" t="s">
        <v>831</v>
      </c>
      <c r="AF39" s="67"/>
      <c r="AG39" s="69"/>
      <c r="AH39" s="69"/>
      <c r="AI39" s="69"/>
      <c r="AJ39" s="86" t="s">
        <v>218</v>
      </c>
      <c r="AK39" s="88"/>
      <c r="AL39" s="88"/>
      <c r="AM39" s="89" t="str">
        <f>HYPERLINK("https://www.manutan.fr/fr/maf/sangle-d-arrimage-a-crochets-et-tendeur-a-cliquet-tmu-2500-kg","https://www.manutan.fr/fr/maf/sangle-d-arrimage-a-crochets-et-tendeur-a-cliquet-tmu-2500-kg")</f>
        <v>https://www.manutan.fr/fr/maf/sangle-d-arrimage-a-crochets-et-tendeur-a-cliquet-tmu-2500-kg</v>
      </c>
      <c r="AN39" s="59" t="s">
        <v>72</v>
      </c>
      <c r="AO39" s="68" t="s">
        <v>832</v>
      </c>
      <c r="AP39" s="59"/>
      <c r="AQ39" s="68" t="s">
        <v>746</v>
      </c>
      <c r="AR39" s="59"/>
      <c r="AS39" s="68" t="s">
        <v>747</v>
      </c>
    </row>
    <row r="40" spans="1:45" ht="108.75" customHeight="1">
      <c r="A40" s="40"/>
      <c r="B40" s="40" t="s">
        <v>529</v>
      </c>
      <c r="C40" s="41">
        <v>46032</v>
      </c>
      <c r="D40" s="44" t="s">
        <v>3196</v>
      </c>
      <c r="E40" s="40" t="s">
        <v>3012</v>
      </c>
      <c r="F40" s="47">
        <f>LEN(G40)</f>
        <v>14</v>
      </c>
      <c r="G40" s="40" t="s">
        <v>3197</v>
      </c>
      <c r="H40" s="40" t="s">
        <v>849</v>
      </c>
      <c r="I40" s="40"/>
      <c r="J40" s="40" t="s">
        <v>154</v>
      </c>
      <c r="K40" s="40" t="s">
        <v>154</v>
      </c>
      <c r="L40" s="40" t="s">
        <v>661</v>
      </c>
      <c r="M40" s="40" t="s">
        <v>847</v>
      </c>
      <c r="N40" s="47">
        <v>38849</v>
      </c>
      <c r="O40" s="44" t="s">
        <v>3196</v>
      </c>
      <c r="P40" s="52" t="s">
        <v>535</v>
      </c>
      <c r="Q40" s="26"/>
      <c r="R40" s="55"/>
      <c r="S40" s="41"/>
      <c r="T40" s="40"/>
      <c r="U40" s="64"/>
      <c r="V40" s="64"/>
      <c r="W40" s="64" t="s">
        <v>3198</v>
      </c>
      <c r="X40" s="64"/>
      <c r="Y40" s="59" t="s">
        <v>212</v>
      </c>
      <c r="Z40" s="65"/>
      <c r="AA40" s="68" t="s">
        <v>213</v>
      </c>
      <c r="AB40" s="65" t="s">
        <v>3199</v>
      </c>
      <c r="AC40" s="68" t="s">
        <v>3200</v>
      </c>
      <c r="AD40" s="66" t="s">
        <v>3197</v>
      </c>
      <c r="AE40" s="68" t="s">
        <v>3201</v>
      </c>
      <c r="AF40" s="67"/>
      <c r="AG40" s="69"/>
      <c r="AH40" s="69"/>
      <c r="AI40" s="69"/>
      <c r="AJ40" s="86" t="s">
        <v>218</v>
      </c>
      <c r="AK40" s="88"/>
      <c r="AL40" s="89" t="str">
        <f>HYPERLINK("https://www.interroll.com/products/drum-motors/series-dm-0080","https://www.interroll.com/products/drum-motors/series-dm-0080")</f>
        <v>https://www.interroll.com/products/drum-motors/series-dm-0080</v>
      </c>
      <c r="AM40" s="88"/>
      <c r="AN40" s="59" t="s">
        <v>74</v>
      </c>
      <c r="AO40" s="68" t="s">
        <v>3202</v>
      </c>
      <c r="AP40" s="59"/>
      <c r="AQ40" s="68" t="s">
        <v>746</v>
      </c>
      <c r="AR40" s="59"/>
      <c r="AS40" s="68" t="s">
        <v>747</v>
      </c>
    </row>
    <row r="41" spans="1:45" ht="80.25" customHeight="1">
      <c r="A41" s="40" t="s">
        <v>655</v>
      </c>
      <c r="B41" s="40" t="s">
        <v>529</v>
      </c>
      <c r="C41" s="41">
        <v>46032</v>
      </c>
      <c r="D41" s="40" t="s">
        <v>3203</v>
      </c>
      <c r="E41" s="40" t="s">
        <v>3012</v>
      </c>
      <c r="F41" s="47">
        <f>LEN(G41)</f>
        <v>11</v>
      </c>
      <c r="G41" s="40" t="s">
        <v>3204</v>
      </c>
      <c r="H41" s="40" t="s">
        <v>3205</v>
      </c>
      <c r="I41" s="40"/>
      <c r="J41" s="40" t="s">
        <v>154</v>
      </c>
      <c r="K41" s="40" t="s">
        <v>154</v>
      </c>
      <c r="L41" s="40" t="s">
        <v>661</v>
      </c>
      <c r="M41" s="40" t="s">
        <v>847</v>
      </c>
      <c r="N41" s="47">
        <v>38849</v>
      </c>
      <c r="O41" s="40" t="s">
        <v>3203</v>
      </c>
      <c r="P41" s="26" t="s">
        <v>535</v>
      </c>
      <c r="Q41" s="40"/>
      <c r="R41" s="55"/>
      <c r="S41" s="41"/>
      <c r="T41" s="40"/>
      <c r="U41" s="64" t="s">
        <v>3203</v>
      </c>
      <c r="V41" s="64" t="s">
        <v>3206</v>
      </c>
      <c r="W41" s="64" t="s">
        <v>3198</v>
      </c>
      <c r="X41" s="64" t="s">
        <v>3203</v>
      </c>
      <c r="Y41" s="59" t="s">
        <v>2617</v>
      </c>
      <c r="Z41" s="65" t="s">
        <v>3207</v>
      </c>
      <c r="AA41" s="68" t="s">
        <v>3208</v>
      </c>
      <c r="AB41" s="65" t="s">
        <v>3209</v>
      </c>
      <c r="AC41" s="68" t="s">
        <v>3210</v>
      </c>
      <c r="AD41" s="66" t="s">
        <v>3204</v>
      </c>
      <c r="AE41" s="68" t="s">
        <v>3211</v>
      </c>
      <c r="AF41" s="67"/>
      <c r="AG41" s="69"/>
      <c r="AH41" s="69"/>
      <c r="AI41" s="69"/>
      <c r="AJ41" s="86" t="s">
        <v>218</v>
      </c>
      <c r="AK41" s="89" t="str">
        <f>HYPERLINK("https://www.interroll.com/fileadmin/products/product_data/DM_Sprockets/DM_Sprockets_EN.pdf","https://www.interroll.com/fileadmin/products/product_data/DM_Sprockets/DM_Sprockets_EN.pdf")</f>
        <v>https://www.interroll.com/fileadmin/products/product_data/DM_Sprockets/DM_Sprockets_EN.pdf</v>
      </c>
      <c r="AL41" s="88"/>
      <c r="AM41" s="88"/>
      <c r="AN41" s="59" t="s">
        <v>70</v>
      </c>
      <c r="AO41" s="68" t="s">
        <v>3212</v>
      </c>
      <c r="AP41" s="59"/>
      <c r="AQ41" s="68" t="s">
        <v>746</v>
      </c>
      <c r="AR41" s="59"/>
      <c r="AS41" s="68" t="s">
        <v>747</v>
      </c>
    </row>
    <row r="42" spans="1:45" ht="80.25" customHeight="1">
      <c r="A42" s="40" t="s">
        <v>655</v>
      </c>
      <c r="B42" s="40" t="s">
        <v>529</v>
      </c>
      <c r="C42" s="41">
        <v>46032</v>
      </c>
      <c r="D42" s="40" t="s">
        <v>3213</v>
      </c>
      <c r="E42" s="40" t="s">
        <v>3012</v>
      </c>
      <c r="F42" s="47">
        <f>LEN(G42)</f>
        <v>13</v>
      </c>
      <c r="G42" s="40" t="s">
        <v>3214</v>
      </c>
      <c r="H42" s="40" t="s">
        <v>3205</v>
      </c>
      <c r="I42" s="40"/>
      <c r="J42" s="40" t="s">
        <v>154</v>
      </c>
      <c r="K42" s="40" t="s">
        <v>154</v>
      </c>
      <c r="L42" s="40" t="s">
        <v>661</v>
      </c>
      <c r="M42" s="40" t="s">
        <v>847</v>
      </c>
      <c r="N42" s="47">
        <v>38849</v>
      </c>
      <c r="O42" s="40" t="s">
        <v>3213</v>
      </c>
      <c r="P42" s="26" t="s">
        <v>535</v>
      </c>
      <c r="Q42" s="40"/>
      <c r="R42" s="55"/>
      <c r="S42" s="41"/>
      <c r="T42" s="40"/>
      <c r="U42" s="64" t="s">
        <v>3213</v>
      </c>
      <c r="V42" s="64" t="s">
        <v>3206</v>
      </c>
      <c r="W42" s="64" t="s">
        <v>3198</v>
      </c>
      <c r="X42" s="64" t="s">
        <v>3213</v>
      </c>
      <c r="Y42" s="59" t="s">
        <v>2617</v>
      </c>
      <c r="Z42" s="65" t="s">
        <v>3215</v>
      </c>
      <c r="AA42" s="68" t="s">
        <v>3208</v>
      </c>
      <c r="AB42" s="65" t="s">
        <v>3216</v>
      </c>
      <c r="AC42" s="68" t="s">
        <v>3210</v>
      </c>
      <c r="AD42" s="66" t="s">
        <v>3214</v>
      </c>
      <c r="AE42" s="68" t="s">
        <v>3211</v>
      </c>
      <c r="AF42" s="67"/>
      <c r="AG42" s="69"/>
      <c r="AH42" s="69"/>
      <c r="AI42" s="69"/>
      <c r="AJ42" s="86" t="s">
        <v>218</v>
      </c>
      <c r="AK42" s="89" t="str">
        <f>HYPERLINK("https://www.interroll.com/fileadmin/products/product_data/DM_Sprockets/DM_Sprockets_EN.pdf","https://www.interroll.com/fileadmin/products/product_data/DM_Sprockets/DM_Sprockets_EN.pdf")</f>
        <v>https://www.interroll.com/fileadmin/products/product_data/DM_Sprockets/DM_Sprockets_EN.pdf</v>
      </c>
      <c r="AL42" s="88"/>
      <c r="AM42" s="88"/>
      <c r="AN42" s="59" t="s">
        <v>70</v>
      </c>
      <c r="AO42" s="68" t="s">
        <v>3217</v>
      </c>
      <c r="AP42" s="59"/>
      <c r="AQ42" s="68" t="s">
        <v>746</v>
      </c>
      <c r="AR42" s="59"/>
      <c r="AS42" s="68" t="s">
        <v>747</v>
      </c>
    </row>
    <row r="43" spans="1:45" ht="87" customHeight="1">
      <c r="A43" s="40" t="s">
        <v>655</v>
      </c>
      <c r="B43" s="40" t="s">
        <v>2902</v>
      </c>
      <c r="C43" s="41">
        <v>46300</v>
      </c>
      <c r="D43" s="40" t="s">
        <v>3218</v>
      </c>
      <c r="E43" s="40" t="s">
        <v>3012</v>
      </c>
      <c r="F43" s="47">
        <f>LEN(G43)</f>
        <v>27</v>
      </c>
      <c r="G43" s="40" t="s">
        <v>3219</v>
      </c>
      <c r="H43" s="40" t="s">
        <v>1986</v>
      </c>
      <c r="I43" s="40"/>
      <c r="J43" s="40" t="s">
        <v>154</v>
      </c>
      <c r="K43" s="40" t="s">
        <v>154</v>
      </c>
      <c r="L43" s="40" t="s">
        <v>155</v>
      </c>
      <c r="M43" s="40" t="s">
        <v>3220</v>
      </c>
      <c r="N43" s="47">
        <v>114198</v>
      </c>
      <c r="O43" s="40" t="s">
        <v>3218</v>
      </c>
      <c r="P43" s="40" t="s">
        <v>535</v>
      </c>
      <c r="Q43" s="53" t="s">
        <v>3221</v>
      </c>
      <c r="R43" s="55" t="inlineStr">
        <is>
          <t xml:space="preserve">087343</t>
        </is>
      </c>
      <c r="S43" s="41">
        <v>46303</v>
      </c>
      <c r="T43" s="40"/>
      <c r="U43" s="64"/>
      <c r="V43" s="64"/>
      <c r="W43" s="64" t="s">
        <v>3222</v>
      </c>
      <c r="X43" s="64" t="s">
        <v>3218</v>
      </c>
      <c r="Y43" s="59" t="s">
        <v>2909</v>
      </c>
      <c r="Z43" s="65"/>
      <c r="AA43" s="68" t="s">
        <v>213</v>
      </c>
      <c r="AB43" s="65" t="s">
        <v>3223</v>
      </c>
      <c r="AC43" s="68" t="s">
        <v>3224</v>
      </c>
      <c r="AD43" s="66" t="s">
        <v>3219</v>
      </c>
      <c r="AE43" s="68" t="s">
        <v>3225</v>
      </c>
      <c r="AF43" s="67"/>
      <c r="AG43" s="69"/>
      <c r="AH43" s="69"/>
      <c r="AI43" s="69"/>
      <c r="AJ43" s="86" t="s">
        <v>218</v>
      </c>
      <c r="AK43" s="89" t="str">
        <f>HYPERLINK("https://bonduelleprd-my.sharepoint.com/:b:/r/personal/cedric_bompay_bonduelle_com/Documents/CREATIONS%20ARTICLES%20COSWIN/DEVIS%20BANDE%202135X580.pdf?d=w890c54435bf14a36ae3a248a7d874453&amp;csf=1&amp;web=1&amp;e=civ7Xo","https://bonduelleprd-my.sharepoint.com/:b:/r/personal/cedric_bompay_bonduelle_com/Documents/CREATIONS%20ARTICLES%20COSWIN/DEVIS%20BANDE%202135X580.pdf?d=w890c54435bf14a36ae3a248a7d874453&amp;csf=1&amp;web=1&amp;e=civ7Xo")</f>
        <v>https://bonduelleprd-my.sharepoint.com/:b:/r/personal/cedric_bompay_bonduelle_com/Documents/CREATIONS%20ARTICLES%20COSWIN/DEVIS%20BANDE%202135X580.pdf?d=w890c54435bf14a36ae3a248a7d874453&amp;csf=1&amp;web=1&amp;e=civ7Xo</v>
      </c>
      <c r="AL43" s="88"/>
      <c r="AM43" s="88"/>
      <c r="AN43" s="59" t="s">
        <v>72</v>
      </c>
      <c r="AO43" s="68" t="s">
        <v>3226</v>
      </c>
      <c r="AP43" s="59" t="inlineStr">
        <is>
          <t xml:space="preserve">100410 CONVOYAGE A BANDES PLASTIQUES : BANDES</t>
        </is>
      </c>
      <c r="AQ43" s="68" t="s">
        <v>3227</v>
      </c>
      <c r="AR43" s="59"/>
      <c r="AS43" s="68" t="s">
        <v>747</v>
      </c>
    </row>
    <row r="44" spans="1:45" ht="153" customHeight="1">
      <c r="A44" s="40" t="s">
        <v>655</v>
      </c>
      <c r="B44" s="40" t="s">
        <v>2829</v>
      </c>
      <c r="C44" s="41">
        <v>46152</v>
      </c>
      <c r="D44" s="40" t="s">
        <v>3000</v>
      </c>
      <c r="E44" s="40" t="s">
        <v>3012</v>
      </c>
      <c r="F44" s="47">
        <f>LEN(G44)</f>
        <v>59</v>
      </c>
      <c r="G44" s="40" t="s">
        <v>3002</v>
      </c>
      <c r="H44" s="40" t="s">
        <v>3003</v>
      </c>
      <c r="I44" s="40" t="s">
        <v>3228</v>
      </c>
      <c r="J44" s="40" t="s">
        <v>154</v>
      </c>
      <c r="K44" s="40" t="s">
        <v>154</v>
      </c>
      <c r="L44" s="5"/>
      <c r="M44" s="40" t="s">
        <v>3001</v>
      </c>
      <c r="N44" s="47">
        <v>144465</v>
      </c>
      <c r="O44" s="40" t="s">
        <v>3000</v>
      </c>
      <c r="P44" s="40" t="s">
        <v>157</v>
      </c>
      <c r="Q44" s="5"/>
      <c r="R44" s="5"/>
      <c r="S44" s="5"/>
      <c r="T44" s="40" t="s">
        <v>3229</v>
      </c>
      <c r="U44" s="64"/>
      <c r="V44" s="64"/>
      <c r="W44" s="64" t="s">
        <v>3004</v>
      </c>
      <c r="X44" s="64"/>
      <c r="Y44" s="59" t="s">
        <v>3005</v>
      </c>
      <c r="Z44" s="65"/>
      <c r="AA44" s="68" t="s">
        <v>213</v>
      </c>
      <c r="AB44" s="65" t="s">
        <v>3006</v>
      </c>
      <c r="AC44" s="68" t="s">
        <v>3007</v>
      </c>
      <c r="AD44" s="66" t="s">
        <v>3002</v>
      </c>
      <c r="AE44" s="68" t="s">
        <v>1075</v>
      </c>
      <c r="AF44" s="67"/>
      <c r="AG44" s="69"/>
      <c r="AH44" s="69"/>
      <c r="AI44" s="69"/>
      <c r="AJ44" s="86" t="s">
        <v>218</v>
      </c>
      <c r="AK44" s="88"/>
      <c r="AL44" s="89" t="str">
        <f>HYPERLINK("https://www.intralox.com/de/belt-finder/modular-plastic-belting/series-2400/radius-flush-grid-2-2","https://www.intralox.com/de/belt-finder/modular-plastic-belting/series-2400/radius-flush-grid-2-2")</f>
        <v>https://www.intralox.com/de/belt-finder/modular-plastic-belting/series-2400/radius-flush-grid-2-2</v>
      </c>
      <c r="AM44" s="88"/>
      <c r="AN44" s="59" t="s">
        <v>74</v>
      </c>
      <c r="AO44" s="68" t="s">
        <v>3230</v>
      </c>
      <c r="AP44" s="59" t="s">
        <v>2002</v>
      </c>
      <c r="AQ44" s="68" t="s">
        <v>3009</v>
      </c>
      <c r="AR44" s="59"/>
      <c r="AS44" s="68" t="s">
        <v>747</v>
      </c>
    </row>
    <row r="45" spans="1:45" ht="80.25" customHeight="1">
      <c r="A45" s="40" t="s">
        <v>655</v>
      </c>
      <c r="B45" s="40" t="s">
        <v>816</v>
      </c>
      <c r="C45" s="42">
        <v>46300</v>
      </c>
      <c r="D45" s="40" t="s">
        <v>3231</v>
      </c>
      <c r="E45" s="40" t="s">
        <v>3012</v>
      </c>
      <c r="F45" s="47">
        <f>LEN(G45)</f>
        <v>41</v>
      </c>
      <c r="G45" s="40" t="s">
        <v>3232</v>
      </c>
      <c r="H45" s="40" t="s">
        <v>2556</v>
      </c>
      <c r="I45" s="40"/>
      <c r="J45" s="40" t="s">
        <v>154</v>
      </c>
      <c r="K45" s="40" t="s">
        <v>154</v>
      </c>
      <c r="L45" s="40" t="s">
        <v>155</v>
      </c>
      <c r="M45" s="40" t="s">
        <v>3233</v>
      </c>
      <c r="N45" s="47">
        <v>6248</v>
      </c>
      <c r="O45" s="51" t="s">
        <v>3234</v>
      </c>
      <c r="P45" s="40" t="s">
        <v>157</v>
      </c>
      <c r="Q45" s="53" t="s">
        <v>2674</v>
      </c>
      <c r="R45" s="55" t="inlineStr">
        <is>
          <t xml:space="preserve">087338</t>
        </is>
      </c>
      <c r="S45" s="41">
        <v>46302</v>
      </c>
      <c r="T45" s="40"/>
      <c r="U45" s="64"/>
      <c r="V45" s="64"/>
      <c r="W45" s="64" t="s">
        <v>3233</v>
      </c>
      <c r="X45" s="64"/>
      <c r="Y45" s="59" t="s">
        <v>784</v>
      </c>
      <c r="Z45" s="65"/>
      <c r="AA45" s="68" t="s">
        <v>213</v>
      </c>
      <c r="AB45" s="65" t="s">
        <v>3235</v>
      </c>
      <c r="AC45" s="68" t="s">
        <v>786</v>
      </c>
      <c r="AD45" s="66" t="s">
        <v>3236</v>
      </c>
      <c r="AE45" s="68" t="s">
        <v>3237</v>
      </c>
      <c r="AF45" s="67"/>
      <c r="AG45" s="69"/>
      <c r="AH45" s="69"/>
      <c r="AI45" s="69"/>
      <c r="AJ45" s="86" t="s">
        <v>218</v>
      </c>
      <c r="AK45" s="88"/>
      <c r="AL45" s="89" t="str">
        <f>HYPERLINK("https://www.skf.com/my/products/industrial-seals/power-transmission-seals/radial-shaft-seals/productid-90X125X12%20CRW1%20V","https://www.skf.com/my/products/industrial-seals/power-transmission-seals/radial-shaft-seals/productid-90X125X12%20CRW1%20V")</f>
        <v>https://www.skf.com/my/products/industrial-seals/power-transmission-seals/radial-shaft-seals/productid-90X125X12%20CRW1%20V</v>
      </c>
      <c r="AM45" s="88"/>
      <c r="AN45" s="59" t="s">
        <v>74</v>
      </c>
      <c r="AO45" s="68" t="s">
        <v>3238</v>
      </c>
      <c r="AP45" s="59"/>
      <c r="AQ45" s="68" t="s">
        <v>788</v>
      </c>
      <c r="AR45" s="59"/>
      <c r="AS45" s="68" t="s">
        <v>747</v>
      </c>
    </row>
    <row r="46" spans="1:45" ht="80.25" customHeight="1">
      <c r="A46" s="40" t="s">
        <v>655</v>
      </c>
      <c r="B46" s="40" t="s">
        <v>529</v>
      </c>
      <c r="C46" s="41">
        <v>46183</v>
      </c>
      <c r="D46" s="40" t="s">
        <v>3239</v>
      </c>
      <c r="E46" s="40" t="s">
        <v>3012</v>
      </c>
      <c r="F46" s="47">
        <f>LEN(G46)</f>
        <v>70</v>
      </c>
      <c r="G46" s="40" t="s">
        <v>3240</v>
      </c>
      <c r="H46" s="40" t="s">
        <v>643</v>
      </c>
      <c r="I46" s="40"/>
      <c r="J46" s="40" t="s">
        <v>154</v>
      </c>
      <c r="K46" s="40" t="s">
        <v>154</v>
      </c>
      <c r="L46" s="40" t="s">
        <v>155</v>
      </c>
      <c r="M46" s="40" t="s">
        <v>445</v>
      </c>
      <c r="N46" s="47">
        <v>24741</v>
      </c>
      <c r="O46" s="40" t="s">
        <v>3239</v>
      </c>
      <c r="P46" s="40" t="s">
        <v>535</v>
      </c>
      <c r="Q46" s="40"/>
      <c r="R46" s="55"/>
      <c r="S46" s="41"/>
      <c r="T46" s="40"/>
      <c r="U46" s="64" t="s">
        <v>3239</v>
      </c>
      <c r="V46" s="64" t="s">
        <v>445</v>
      </c>
      <c r="W46" s="64" t="s">
        <v>445</v>
      </c>
      <c r="X46" s="64" t="s">
        <v>3239</v>
      </c>
      <c r="Y46" s="59" t="s">
        <v>2617</v>
      </c>
      <c r="Z46" s="65" t="s">
        <v>3241</v>
      </c>
      <c r="AA46" s="68" t="s">
        <v>3242</v>
      </c>
      <c r="AB46" s="65" t="s">
        <v>3243</v>
      </c>
      <c r="AC46" s="68" t="s">
        <v>3244</v>
      </c>
      <c r="AD46" s="66" t="s">
        <v>3245</v>
      </c>
      <c r="AE46" s="68" t="s">
        <v>3246</v>
      </c>
      <c r="AF46" s="67"/>
      <c r="AG46" s="69"/>
      <c r="AH46" s="69"/>
      <c r="AI46" s="69"/>
      <c r="AJ46" s="86" t="s">
        <v>218</v>
      </c>
      <c r="AK46" s="89" t="str">
        <f>HYPERLINK("https://www.sick.com/media/pdf/0/80/180/dataSheet_YG8U14-C20UA3M2A14_2139966_en.pdf","https://www.sick.com/media/pdf/0/80/180/dataSheet_YG8U14-C20UA3M2A14_2139966_en.pdf")</f>
        <v>https://www.sick.com/media/pdf/0/80/180/dataSheet_YG8U14-C20UA3M2A14_2139966_en.pdf</v>
      </c>
      <c r="AL46" s="88"/>
      <c r="AM46" s="89" t="str">
        <f>HYPERLINK("https://www.sonepar.fr/catalog/fr-fr/products/sick-connecteurs-et-cables-yg8u14-c20ua3m2a14-00067027146","https://www.sonepar.fr/catalog/fr-fr/products/sick-connecteurs-et-cables-yg8u14-c20ua3m2a14-00067027146")</f>
        <v>https://www.sonepar.fr/catalog/fr-fr/products/sick-connecteurs-et-cables-yg8u14-c20ua3m2a14-00067027146</v>
      </c>
      <c r="AN46" s="59" t="s">
        <v>70</v>
      </c>
      <c r="AO46" s="68" t="s">
        <v>3247</v>
      </c>
      <c r="AP46" s="59"/>
      <c r="AQ46" s="68" t="s">
        <v>746</v>
      </c>
      <c r="AR46" s="59"/>
      <c r="AS46" s="68" t="s">
        <v>747</v>
      </c>
    </row>
    <row r="47" spans="1:45" ht="80.25" customHeight="1">
      <c r="A47" s="40" t="s">
        <v>655</v>
      </c>
      <c r="B47" s="40" t="s">
        <v>2829</v>
      </c>
      <c r="C47" s="41">
        <v>46183</v>
      </c>
      <c r="D47" s="45" t="s">
        <v>3248</v>
      </c>
      <c r="E47" s="40" t="s">
        <v>3012</v>
      </c>
      <c r="F47" s="47">
        <f>LEN(G47)</f>
        <v>42</v>
      </c>
      <c r="G47" s="40" t="s">
        <v>3249</v>
      </c>
      <c r="H47" s="40" t="s">
        <v>336</v>
      </c>
      <c r="I47" s="40"/>
      <c r="J47" s="40" t="s">
        <v>154</v>
      </c>
      <c r="K47" s="40" t="s">
        <v>154</v>
      </c>
      <c r="L47" s="40" t="s">
        <v>155</v>
      </c>
      <c r="M47" s="40" t="s">
        <v>669</v>
      </c>
      <c r="N47" s="47">
        <v>14436</v>
      </c>
      <c r="O47" s="40" t="s">
        <v>3248</v>
      </c>
      <c r="P47" s="40" t="s">
        <v>157</v>
      </c>
      <c r="Q47" s="40" t="s">
        <v>3250</v>
      </c>
      <c r="R47" s="55"/>
      <c r="S47" s="41"/>
      <c r="T47" s="40"/>
      <c r="U47" s="64" t="s">
        <v>3248</v>
      </c>
      <c r="V47" s="64" t="s">
        <v>3114</v>
      </c>
      <c r="W47" s="64" t="s">
        <v>3115</v>
      </c>
      <c r="X47" s="64" t="s">
        <v>3248</v>
      </c>
      <c r="Y47" s="59" t="s">
        <v>2617</v>
      </c>
      <c r="Z47" s="65" t="s">
        <v>3251</v>
      </c>
      <c r="AA47" s="68" t="s">
        <v>3252</v>
      </c>
      <c r="AB47" s="65" t="s">
        <v>3253</v>
      </c>
      <c r="AC47" s="68" t="s">
        <v>3254</v>
      </c>
      <c r="AD47" s="66" t="s">
        <v>3249</v>
      </c>
      <c r="AE47" s="68" t="s">
        <v>3120</v>
      </c>
      <c r="AF47" s="67"/>
      <c r="AG47" s="69"/>
      <c r="AH47" s="69"/>
      <c r="AI47" s="69"/>
      <c r="AJ47" s="86" t="s">
        <v>218</v>
      </c>
      <c r="AK47" s="89" t="str">
        <f>HYPERLINK("https://ftp.festo.com/Public/PNEUMATIC/SOFTWARE_SERVICE/Datasheet/EN_US/8073977.pdf","https://ftp.festo.com/Public/PNEUMATIC/SOFTWARE_SERVICE/Datasheet/EN_US/8073977.pdf")</f>
        <v>https://ftp.festo.com/Public/PNEUMATIC/SOFTWARE_SERVICE/Datasheet/EN_US/8073977.pdf</v>
      </c>
      <c r="AL47" s="89" t="str">
        <f>HYPERLINK("https://www.festo.com/us/en/a/8073977/","https://www.festo.com/us/en/a/8073977/")</f>
        <v>https://www.festo.com/us/en/a/8073977/</v>
      </c>
      <c r="AM47" s="88"/>
      <c r="AN47" s="59" t="s">
        <v>70</v>
      </c>
      <c r="AO47" s="68" t="s">
        <v>3255</v>
      </c>
      <c r="AP47" s="59"/>
      <c r="AQ47" s="68" t="s">
        <v>746</v>
      </c>
      <c r="AR47" s="59"/>
      <c r="AS47" s="68" t="s">
        <v>747</v>
      </c>
    </row>
    <row r="48" spans="1:45" ht="131.25" customHeight="1">
      <c r="A48" s="40" t="s">
        <v>655</v>
      </c>
      <c r="B48" s="40" t="s">
        <v>2829</v>
      </c>
      <c r="C48" s="41">
        <v>46183</v>
      </c>
      <c r="D48" s="40" t="s">
        <v>3256</v>
      </c>
      <c r="E48" s="40" t="s">
        <v>3012</v>
      </c>
      <c r="F48" s="47">
        <f ca="1">LEN(G48)</f>
        <v>11</v>
      </c>
      <c r="G48" s="47">
        <f ca="1">UPPER(F48)</f>
        <v>0</v>
      </c>
      <c r="H48" s="40" t="s">
        <v>883</v>
      </c>
      <c r="I48" s="40"/>
      <c r="J48" s="40" t="s">
        <v>154</v>
      </c>
      <c r="K48" s="40" t="s">
        <v>154</v>
      </c>
      <c r="L48" s="40" t="s">
        <v>155</v>
      </c>
      <c r="M48" s="40" t="s">
        <v>3257</v>
      </c>
      <c r="N48" s="47"/>
      <c r="O48" s="40" t="s">
        <v>3256</v>
      </c>
      <c r="P48" s="40" t="s">
        <v>157</v>
      </c>
      <c r="Q48" s="40" t="s">
        <v>3250</v>
      </c>
      <c r="R48" s="55"/>
      <c r="S48" s="41"/>
      <c r="T48" s="40"/>
      <c r="U48" s="64"/>
      <c r="V48" s="64"/>
      <c r="W48" s="64" t="s">
        <v>3258</v>
      </c>
      <c r="X48" s="64"/>
      <c r="Y48" s="59" t="s">
        <v>3259</v>
      </c>
      <c r="Z48" s="65"/>
      <c r="AA48" s="68" t="s">
        <v>213</v>
      </c>
      <c r="AB48" s="65" t="s">
        <v>3260</v>
      </c>
      <c r="AC48" s="68" t="s">
        <v>3261</v>
      </c>
      <c r="AD48" s="66" t="s">
        <v>3262</v>
      </c>
      <c r="AE48" s="68" t="s">
        <v>3263</v>
      </c>
      <c r="AF48" s="67"/>
      <c r="AG48" s="69"/>
      <c r="AH48" s="69"/>
      <c r="AI48" s="69"/>
      <c r="AJ48" s="86" t="s">
        <v>218</v>
      </c>
      <c r="AK48" s="89" t="str">
        <f>HYPERLINK("https://www.dertec.com/images/downloads/brochures/FH-Hypoid-Bevel-Gearboxes.pdf","https://www.dertec.com/images/downloads/brochures/FH-Hypoid-Bevel-Gearboxes.pdf")</f>
        <v>https://www.dertec.com/images/downloads/brochures/FH-Hypoid-Bevel-Gearboxes.pdf</v>
      </c>
      <c r="AL48" s="88"/>
      <c r="AM48" s="88"/>
      <c r="AN48" s="59" t="s">
        <v>74</v>
      </c>
      <c r="AO48" s="68" t="s">
        <v>3264</v>
      </c>
      <c r="AP48" s="59"/>
      <c r="AQ48" s="68" t="s">
        <v>746</v>
      </c>
      <c r="AR48" s="59"/>
      <c r="AS48" s="68" t="s">
        <v>747</v>
      </c>
    </row>
    <row r="49" spans="1:20" ht="24">
      <c r="A49" s="40" t="s">
        <v>655</v>
      </c>
      <c r="B49" s="40"/>
      <c r="C49" s="41"/>
      <c r="D49" s="40"/>
      <c r="E49" s="40" t="s">
        <v>3012</v>
      </c>
      <c r="F49" s="47">
        <f>LEN(G49)</f>
        <v>0</v>
      </c>
      <c r="G49" s="40"/>
      <c r="H49" s="40"/>
      <c r="I49" s="40"/>
      <c r="J49" s="40"/>
      <c r="K49" s="40"/>
      <c r="L49" s="40"/>
      <c r="M49" s="40"/>
      <c r="N49" s="47"/>
      <c r="O49" s="40"/>
      <c r="P49" s="40"/>
      <c r="Q49" s="40"/>
      <c r="R49" s="55"/>
      <c r="S49" s="41"/>
      <c r="T49" s="40"/>
    </row>
    <row r="50" spans="1:20" ht="24">
      <c r="A50" s="40" t="s">
        <v>655</v>
      </c>
      <c r="B50" s="40"/>
      <c r="C50" s="41"/>
      <c r="D50" s="40"/>
      <c r="E50" s="40" t="s">
        <v>3012</v>
      </c>
      <c r="F50" s="47">
        <f>LEN(G50)</f>
        <v>0</v>
      </c>
      <c r="G50" s="40"/>
      <c r="H50" s="40"/>
      <c r="I50" s="40"/>
      <c r="J50" s="40"/>
      <c r="K50" s="40"/>
      <c r="L50" s="40"/>
      <c r="M50" s="40"/>
      <c r="N50" s="47"/>
      <c r="O50" s="40"/>
      <c r="P50" s="40"/>
      <c r="Q50" s="40"/>
      <c r="R50" s="55"/>
      <c r="S50" s="41"/>
      <c r="T50" s="40"/>
    </row>
    <row r="51" spans="1:20" ht="24">
      <c r="A51" s="40" t="s">
        <v>655</v>
      </c>
      <c r="B51" s="40"/>
      <c r="C51" s="41"/>
      <c r="D51" s="40"/>
      <c r="E51" s="40" t="s">
        <v>3012</v>
      </c>
      <c r="F51" s="47">
        <f>LEN(G51)</f>
        <v>0</v>
      </c>
      <c r="G51" s="40"/>
      <c r="H51" s="40"/>
      <c r="I51" s="40"/>
      <c r="J51" s="40"/>
      <c r="K51" s="40"/>
      <c r="L51" s="40"/>
      <c r="M51" s="40"/>
      <c r="N51" s="47"/>
      <c r="O51" s="40"/>
      <c r="P51" s="40"/>
      <c r="Q51" s="40"/>
      <c r="R51" s="55"/>
      <c r="S51" s="41"/>
      <c r="T51" s="40"/>
    </row>
    <row r="52" spans="1:20" ht="24">
      <c r="A52" s="40" t="s">
        <v>655</v>
      </c>
      <c r="B52" s="40"/>
      <c r="C52" s="41"/>
      <c r="D52" s="40"/>
      <c r="E52" s="40" t="s">
        <v>3012</v>
      </c>
      <c r="F52" s="47">
        <f>LEN(G52)</f>
        <v>0</v>
      </c>
      <c r="G52" s="40"/>
      <c r="H52" s="40"/>
      <c r="I52" s="40"/>
      <c r="J52" s="40"/>
      <c r="K52" s="40"/>
      <c r="L52" s="40"/>
      <c r="M52" s="40"/>
      <c r="N52" s="47"/>
      <c r="O52" s="40"/>
      <c r="P52" s="40"/>
      <c r="Q52" s="40"/>
      <c r="R52" s="55"/>
      <c r="S52" s="41"/>
      <c r="T52" s="40"/>
    </row>
    <row r="53" spans="1:20" ht="24">
      <c r="A53" s="40" t="s">
        <v>655</v>
      </c>
      <c r="B53" s="40"/>
      <c r="C53" s="41"/>
      <c r="D53" s="40"/>
      <c r="E53" s="40" t="s">
        <v>3012</v>
      </c>
      <c r="F53" s="47">
        <f>LEN(G53)</f>
        <v>0</v>
      </c>
      <c r="G53" s="40"/>
      <c r="H53" s="40"/>
      <c r="I53" s="40"/>
      <c r="J53" s="40"/>
      <c r="K53" s="40"/>
      <c r="L53" s="40"/>
      <c r="M53" s="40"/>
      <c r="N53" s="47"/>
      <c r="O53" s="40"/>
      <c r="P53" s="40"/>
      <c r="Q53" s="40"/>
      <c r="R53" s="55"/>
      <c r="S53" s="41"/>
      <c r="T53" s="40"/>
    </row>
    <row r="54" spans="1:20" ht="24">
      <c r="A54" s="40" t="s">
        <v>655</v>
      </c>
      <c r="B54" s="40"/>
      <c r="C54" s="41"/>
      <c r="D54" s="40"/>
      <c r="E54" s="40" t="s">
        <v>3012</v>
      </c>
      <c r="F54" s="47">
        <f>LEN(G54)</f>
        <v>0</v>
      </c>
      <c r="G54" s="40"/>
      <c r="H54" s="40"/>
      <c r="I54" s="40"/>
      <c r="J54" s="40"/>
      <c r="K54" s="40"/>
      <c r="L54" s="40"/>
      <c r="M54" s="40"/>
      <c r="N54" s="47"/>
      <c r="O54" s="40"/>
      <c r="P54" s="40"/>
      <c r="Q54" s="40"/>
      <c r="R54" s="55"/>
      <c r="S54" s="41"/>
      <c r="T54" s="40"/>
    </row>
    <row r="55" spans="1:20" ht="24">
      <c r="A55" s="40" t="s">
        <v>655</v>
      </c>
      <c r="B55" s="40"/>
      <c r="C55" s="41"/>
      <c r="D55" s="40"/>
      <c r="E55" s="40" t="s">
        <v>3012</v>
      </c>
      <c r="F55" s="47">
        <f>LEN(G55)</f>
        <v>0</v>
      </c>
      <c r="G55" s="40"/>
      <c r="H55" s="40"/>
      <c r="I55" s="40"/>
      <c r="J55" s="40"/>
      <c r="K55" s="40"/>
      <c r="L55" s="40"/>
      <c r="M55" s="40"/>
      <c r="N55" s="47"/>
      <c r="O55" s="40"/>
      <c r="P55" s="40"/>
      <c r="Q55" s="40"/>
      <c r="R55" s="55"/>
      <c r="S55" s="41"/>
      <c r="T55" s="40"/>
    </row>
    <row r="56" spans="1:20" ht="24">
      <c r="A56" s="40" t="s">
        <v>655</v>
      </c>
      <c r="B56" s="40"/>
      <c r="C56" s="41"/>
      <c r="D56" s="40"/>
      <c r="E56" s="40" t="s">
        <v>3012</v>
      </c>
      <c r="F56" s="47">
        <f>LEN(G56)</f>
        <v>0</v>
      </c>
      <c r="G56" s="40"/>
      <c r="H56" s="40"/>
      <c r="I56" s="40"/>
      <c r="J56" s="40"/>
      <c r="K56" s="40"/>
      <c r="L56" s="40"/>
      <c r="M56" s="40"/>
      <c r="N56" s="47"/>
      <c r="O56" s="40"/>
      <c r="P56" s="40"/>
      <c r="Q56" s="40"/>
      <c r="R56" s="55"/>
      <c r="S56" s="41"/>
      <c r="T56" s="40"/>
    </row>
    <row r="57" spans="1:20" ht="24">
      <c r="A57" s="40" t="s">
        <v>655</v>
      </c>
      <c r="B57" s="40"/>
      <c r="C57" s="41"/>
      <c r="D57" s="40"/>
      <c r="E57" s="40" t="s">
        <v>3012</v>
      </c>
      <c r="F57" s="47">
        <f>LEN(G57)</f>
        <v>0</v>
      </c>
      <c r="G57" s="40"/>
      <c r="H57" s="40"/>
      <c r="I57" s="40"/>
      <c r="J57" s="40"/>
      <c r="K57" s="40"/>
      <c r="L57" s="40"/>
      <c r="M57" s="40"/>
      <c r="N57" s="47"/>
      <c r="O57" s="40"/>
      <c r="P57" s="40"/>
      <c r="Q57" s="40"/>
      <c r="R57" s="55"/>
      <c r="S57" s="41"/>
      <c r="T57" s="40"/>
    </row>
    <row r="58" spans="1:20" ht="24">
      <c r="A58" s="40" t="s">
        <v>655</v>
      </c>
      <c r="B58" s="40"/>
      <c r="C58" s="41"/>
      <c r="D58" s="40"/>
      <c r="E58" s="40" t="s">
        <v>3012</v>
      </c>
      <c r="F58" s="47">
        <f>LEN(G58)</f>
        <v>0</v>
      </c>
      <c r="G58" s="40"/>
      <c r="H58" s="40"/>
      <c r="I58" s="40"/>
      <c r="J58" s="40"/>
      <c r="K58" s="40"/>
      <c r="L58" s="40"/>
      <c r="M58" s="40"/>
      <c r="N58" s="47"/>
      <c r="O58" s="40"/>
      <c r="P58" s="40"/>
      <c r="Q58" s="40"/>
      <c r="R58" s="55"/>
      <c r="S58" s="41"/>
      <c r="T58" s="40"/>
    </row>
    <row r="59" spans="1:20" ht="24">
      <c r="A59" s="40" t="s">
        <v>655</v>
      </c>
      <c r="B59" s="40"/>
      <c r="C59" s="41"/>
      <c r="D59" s="40"/>
      <c r="E59" s="40" t="s">
        <v>3012</v>
      </c>
      <c r="F59" s="47">
        <f>LEN(G59)</f>
        <v>0</v>
      </c>
      <c r="G59" s="40"/>
      <c r="H59" s="40"/>
      <c r="I59" s="40"/>
      <c r="J59" s="40"/>
      <c r="K59" s="40"/>
      <c r="L59" s="40"/>
      <c r="M59" s="40"/>
      <c r="N59" s="47"/>
      <c r="O59" s="40"/>
      <c r="P59" s="40"/>
      <c r="Q59" s="40"/>
      <c r="R59" s="55"/>
      <c r="S59" s="41"/>
      <c r="T59" s="40"/>
    </row>
    <row r="60" spans="1:20" ht="24">
      <c r="A60" s="40" t="s">
        <v>655</v>
      </c>
      <c r="B60" s="40"/>
      <c r="C60" s="41"/>
      <c r="D60" s="40"/>
      <c r="E60" s="40" t="s">
        <v>3012</v>
      </c>
      <c r="F60" s="47">
        <f>LEN(G60)</f>
        <v>0</v>
      </c>
      <c r="G60" s="40"/>
      <c r="H60" s="40"/>
      <c r="I60" s="40"/>
      <c r="J60" s="40"/>
      <c r="K60" s="40"/>
      <c r="L60" s="40"/>
      <c r="M60" s="40"/>
      <c r="N60" s="47"/>
      <c r="O60" s="40"/>
      <c r="P60" s="40"/>
      <c r="Q60" s="40"/>
      <c r="R60" s="55"/>
      <c r="S60" s="41"/>
      <c r="T60" s="40"/>
    </row>
    <row r="61" spans="1:20" ht="24">
      <c r="A61" s="40" t="s">
        <v>655</v>
      </c>
      <c r="B61" s="40"/>
      <c r="C61" s="41"/>
      <c r="D61" s="40"/>
      <c r="E61" s="40" t="s">
        <v>3012</v>
      </c>
      <c r="F61" s="47">
        <f>LEN(G61)</f>
        <v>0</v>
      </c>
      <c r="G61" s="40"/>
      <c r="H61" s="40"/>
      <c r="I61" s="40"/>
      <c r="J61" s="40"/>
      <c r="K61" s="40"/>
      <c r="L61" s="40"/>
      <c r="M61" s="40"/>
      <c r="N61" s="47"/>
      <c r="O61" s="40"/>
      <c r="P61" s="40"/>
      <c r="Q61" s="40"/>
      <c r="R61" s="55"/>
      <c r="S61" s="41"/>
      <c r="T61" s="40"/>
    </row>
    <row r="62" spans="1:20" ht="24">
      <c r="A62" s="40" t="s">
        <v>655</v>
      </c>
      <c r="B62" s="40"/>
      <c r="C62" s="41"/>
      <c r="D62" s="40"/>
      <c r="E62" s="40" t="s">
        <v>3012</v>
      </c>
      <c r="F62" s="47">
        <f>LEN(G62)</f>
        <v>0</v>
      </c>
      <c r="G62" s="40"/>
      <c r="H62" s="40"/>
      <c r="I62" s="40"/>
      <c r="J62" s="40"/>
      <c r="K62" s="40"/>
      <c r="L62" s="40"/>
      <c r="M62" s="40"/>
      <c r="N62" s="47"/>
      <c r="O62" s="40"/>
      <c r="P62" s="40"/>
      <c r="Q62" s="40"/>
      <c r="R62" s="55"/>
      <c r="S62" s="41"/>
      <c r="T62" s="40"/>
    </row>
    <row r="63" spans="1:20" ht="24">
      <c r="A63" s="40" t="s">
        <v>655</v>
      </c>
      <c r="B63" s="40"/>
      <c r="C63" s="41"/>
      <c r="D63" s="40"/>
      <c r="E63" s="40" t="s">
        <v>3012</v>
      </c>
      <c r="F63" s="47">
        <f>LEN(G63)</f>
        <v>0</v>
      </c>
      <c r="G63" s="40"/>
      <c r="H63" s="40"/>
      <c r="I63" s="40"/>
      <c r="J63" s="40"/>
      <c r="K63" s="40"/>
      <c r="L63" s="40"/>
      <c r="M63" s="40"/>
      <c r="N63" s="47"/>
      <c r="O63" s="40"/>
      <c r="P63" s="40"/>
      <c r="Q63" s="40"/>
      <c r="R63" s="55"/>
      <c r="S63" s="41"/>
      <c r="T63" s="40"/>
    </row>
    <row r="64" spans="1:20" ht="24">
      <c r="A64" s="40" t="s">
        <v>655</v>
      </c>
      <c r="B64" s="40"/>
      <c r="C64" s="41"/>
      <c r="D64" s="40"/>
      <c r="E64" s="40" t="s">
        <v>3012</v>
      </c>
      <c r="F64" s="47">
        <f>LEN(G64)</f>
        <v>0</v>
      </c>
      <c r="G64" s="40"/>
      <c r="H64" s="40"/>
      <c r="I64" s="40"/>
      <c r="J64" s="40"/>
      <c r="K64" s="40"/>
      <c r="L64" s="40"/>
      <c r="M64" s="40"/>
      <c r="N64" s="47"/>
      <c r="O64" s="40"/>
      <c r="P64" s="40"/>
      <c r="Q64" s="40"/>
      <c r="R64" s="55"/>
      <c r="S64" s="41"/>
      <c r="T64" s="40"/>
    </row>
    <row r="65" spans="1:20" ht="24">
      <c r="A65" s="40" t="s">
        <v>655</v>
      </c>
      <c r="B65" s="40"/>
      <c r="C65" s="41"/>
      <c r="D65" s="40"/>
      <c r="E65" s="40" t="s">
        <v>3012</v>
      </c>
      <c r="F65" s="47">
        <f>LEN(G65)</f>
        <v>0</v>
      </c>
      <c r="G65" s="40"/>
      <c r="H65" s="40"/>
      <c r="I65" s="40"/>
      <c r="J65" s="40"/>
      <c r="K65" s="40"/>
      <c r="L65" s="40"/>
      <c r="M65" s="40"/>
      <c r="N65" s="47"/>
      <c r="O65" s="40"/>
      <c r="P65" s="40"/>
      <c r="Q65" s="40"/>
      <c r="R65" s="55"/>
      <c r="S65" s="41"/>
      <c r="T65" s="40"/>
    </row>
    <row r="66" spans="1:20" ht="24">
      <c r="A66" s="40" t="s">
        <v>655</v>
      </c>
      <c r="B66" s="40"/>
      <c r="C66" s="41"/>
      <c r="D66" s="40"/>
      <c r="E66" s="40" t="s">
        <v>3012</v>
      </c>
      <c r="F66" s="47">
        <f>LEN(G66)</f>
        <v>0</v>
      </c>
      <c r="G66" s="40"/>
      <c r="H66" s="40"/>
      <c r="I66" s="40"/>
      <c r="J66" s="40"/>
      <c r="K66" s="40"/>
      <c r="L66" s="40"/>
      <c r="M66" s="40"/>
      <c r="N66" s="47"/>
      <c r="O66" s="40"/>
      <c r="P66" s="40"/>
      <c r="Q66" s="40"/>
      <c r="R66" s="55"/>
      <c r="S66" s="41"/>
      <c r="T66" s="40"/>
    </row>
    <row r="67" spans="1:20" ht="24">
      <c r="A67" s="40" t="s">
        <v>655</v>
      </c>
      <c r="B67" s="40"/>
      <c r="C67" s="41"/>
      <c r="D67" s="40"/>
      <c r="E67" s="40" t="s">
        <v>3012</v>
      </c>
      <c r="F67" s="47">
        <f>LEN(G67)</f>
        <v>0</v>
      </c>
      <c r="G67" s="40"/>
      <c r="H67" s="40"/>
      <c r="I67" s="40"/>
      <c r="J67" s="40"/>
      <c r="K67" s="40"/>
      <c r="L67" s="40"/>
      <c r="M67" s="40"/>
      <c r="N67" s="47"/>
      <c r="O67" s="40"/>
      <c r="P67" s="40"/>
      <c r="Q67" s="40"/>
      <c r="R67" s="55"/>
      <c r="S67" s="41"/>
      <c r="T67" s="40"/>
    </row>
    <row r="68" spans="1:20" ht="24">
      <c r="A68" s="40" t="s">
        <v>655</v>
      </c>
      <c r="B68" s="40"/>
      <c r="C68" s="41"/>
      <c r="D68" s="40"/>
      <c r="E68" s="40" t="s">
        <v>3012</v>
      </c>
      <c r="F68" s="47">
        <f>LEN(G68)</f>
        <v>0</v>
      </c>
      <c r="G68" s="40"/>
      <c r="H68" s="40"/>
      <c r="I68" s="40"/>
      <c r="J68" s="40"/>
      <c r="K68" s="40"/>
      <c r="L68" s="40"/>
      <c r="M68" s="40"/>
      <c r="N68" s="47"/>
      <c r="O68" s="40"/>
      <c r="P68" s="40"/>
      <c r="Q68" s="40"/>
      <c r="R68" s="55"/>
      <c r="S68" s="41"/>
      <c r="T68" s="40"/>
    </row>
    <row r="69" spans="1:20" ht="24">
      <c r="A69" s="40" t="s">
        <v>655</v>
      </c>
      <c r="B69" s="40"/>
      <c r="C69" s="41"/>
      <c r="D69" s="40"/>
      <c r="E69" s="40" t="s">
        <v>3012</v>
      </c>
      <c r="F69" s="47">
        <f>LEN(G69)</f>
        <v>0</v>
      </c>
      <c r="G69" s="40"/>
      <c r="H69" s="40"/>
      <c r="I69" s="40"/>
      <c r="J69" s="40"/>
      <c r="K69" s="40"/>
      <c r="L69" s="40"/>
      <c r="M69" s="40"/>
      <c r="N69" s="47"/>
      <c r="O69" s="40"/>
      <c r="P69" s="40"/>
      <c r="Q69" s="40"/>
      <c r="R69" s="55"/>
      <c r="S69" s="41"/>
      <c r="T69" s="40"/>
    </row>
    <row r="70" spans="1:20" ht="24">
      <c r="A70" s="40" t="s">
        <v>655</v>
      </c>
      <c r="B70" s="40"/>
      <c r="C70" s="41"/>
      <c r="D70" s="40"/>
      <c r="E70" s="40" t="s">
        <v>3012</v>
      </c>
      <c r="F70" s="47">
        <f>LEN(G70)</f>
        <v>0</v>
      </c>
      <c r="G70" s="40"/>
      <c r="H70" s="40"/>
      <c r="I70" s="40"/>
      <c r="J70" s="40"/>
      <c r="K70" s="40"/>
      <c r="L70" s="40"/>
      <c r="M70" s="40"/>
      <c r="N70" s="47"/>
      <c r="O70" s="40"/>
      <c r="P70" s="40"/>
      <c r="Q70" s="40"/>
      <c r="R70" s="55"/>
      <c r="S70" s="41"/>
      <c r="T70" s="40"/>
    </row>
    <row r="71" spans="1:20" ht="24">
      <c r="A71" s="40" t="s">
        <v>655</v>
      </c>
      <c r="B71" s="40"/>
      <c r="C71" s="41"/>
      <c r="D71" s="40"/>
      <c r="E71" s="40" t="s">
        <v>3012</v>
      </c>
      <c r="F71" s="47">
        <f>LEN(G71)</f>
        <v>0</v>
      </c>
      <c r="G71" s="40"/>
      <c r="H71" s="40"/>
      <c r="I71" s="40"/>
      <c r="J71" s="40"/>
      <c r="K71" s="40"/>
      <c r="L71" s="40"/>
      <c r="M71" s="40"/>
      <c r="N71" s="47"/>
      <c r="O71" s="40"/>
      <c r="P71" s="40"/>
      <c r="Q71" s="40"/>
      <c r="R71" s="55"/>
      <c r="S71" s="41"/>
      <c r="T71" s="40"/>
    </row>
    <row r="72" spans="1:20" ht="24">
      <c r="A72" s="40" t="s">
        <v>655</v>
      </c>
      <c r="B72" s="40"/>
      <c r="C72" s="41"/>
      <c r="D72" s="40"/>
      <c r="E72" s="40" t="s">
        <v>3012</v>
      </c>
      <c r="F72" s="47">
        <f>LEN(G72)</f>
        <v>0</v>
      </c>
      <c r="G72" s="40"/>
      <c r="H72" s="40"/>
      <c r="I72" s="40"/>
      <c r="J72" s="40"/>
      <c r="K72" s="40"/>
      <c r="L72" s="40"/>
      <c r="M72" s="40"/>
      <c r="N72" s="47"/>
      <c r="O72" s="40"/>
      <c r="P72" s="40"/>
      <c r="Q72" s="40"/>
      <c r="R72" s="55"/>
      <c r="S72" s="41"/>
      <c r="T72" s="40"/>
    </row>
    <row r="73" spans="1:20" ht="24">
      <c r="A73" s="40" t="s">
        <v>655</v>
      </c>
      <c r="B73" s="40"/>
      <c r="C73" s="41"/>
      <c r="D73" s="40"/>
      <c r="E73" s="40" t="s">
        <v>3012</v>
      </c>
      <c r="F73" s="47">
        <f>LEN(G73)</f>
        <v>0</v>
      </c>
      <c r="G73" s="40"/>
      <c r="H73" s="40"/>
      <c r="I73" s="40"/>
      <c r="J73" s="40"/>
      <c r="K73" s="40"/>
      <c r="L73" s="40"/>
      <c r="M73" s="40"/>
      <c r="N73" s="47"/>
      <c r="O73" s="40"/>
      <c r="P73" s="40"/>
      <c r="Q73" s="40"/>
      <c r="R73" s="55"/>
      <c r="S73" s="41"/>
      <c r="T73" s="40"/>
    </row>
    <row r="74" spans="1:20" ht="24">
      <c r="A74" s="40" t="s">
        <v>655</v>
      </c>
      <c r="B74" s="40"/>
      <c r="C74" s="41"/>
      <c r="D74" s="40"/>
      <c r="E74" s="40" t="s">
        <v>3012</v>
      </c>
      <c r="F74" s="47">
        <f>LEN(G74)</f>
        <v>0</v>
      </c>
      <c r="G74" s="40"/>
      <c r="H74" s="40"/>
      <c r="I74" s="40"/>
      <c r="J74" s="40"/>
      <c r="K74" s="40"/>
      <c r="L74" s="40"/>
      <c r="M74" s="40"/>
      <c r="N74" s="47"/>
      <c r="O74" s="40"/>
      <c r="P74" s="40"/>
      <c r="Q74" s="40"/>
      <c r="R74" s="55"/>
      <c r="S74" s="41"/>
      <c r="T74" s="40"/>
    </row>
    <row r="75" spans="1:20" ht="24">
      <c r="A75" s="40" t="s">
        <v>655</v>
      </c>
      <c r="B75" s="40"/>
      <c r="C75" s="41"/>
      <c r="D75" s="40"/>
      <c r="E75" s="40" t="s">
        <v>3012</v>
      </c>
      <c r="F75" s="47">
        <f>LEN(G75)</f>
        <v>0</v>
      </c>
      <c r="G75" s="40"/>
      <c r="H75" s="40"/>
      <c r="I75" s="40"/>
      <c r="J75" s="40"/>
      <c r="K75" s="40"/>
      <c r="L75" s="40"/>
      <c r="M75" s="40"/>
      <c r="N75" s="47"/>
      <c r="O75" s="40"/>
      <c r="P75" s="40"/>
      <c r="Q75" s="40"/>
      <c r="R75" s="55"/>
      <c r="S75" s="41"/>
      <c r="T75" s="40"/>
    </row>
    <row r="76" spans="1:20" ht="24">
      <c r="A76" s="40" t="s">
        <v>655</v>
      </c>
      <c r="B76" s="40"/>
      <c r="C76" s="41"/>
      <c r="D76" s="40"/>
      <c r="E76" s="40" t="s">
        <v>3012</v>
      </c>
      <c r="F76" s="47">
        <f>LEN(G76)</f>
        <v>0</v>
      </c>
      <c r="G76" s="40"/>
      <c r="H76" s="40"/>
      <c r="I76" s="40"/>
      <c r="J76" s="40"/>
      <c r="K76" s="40"/>
      <c r="L76" s="40"/>
      <c r="M76" s="40"/>
      <c r="N76" s="47"/>
      <c r="O76" s="40"/>
      <c r="P76" s="40"/>
      <c r="Q76" s="40"/>
      <c r="R76" s="55"/>
      <c r="S76" s="41"/>
      <c r="T76" s="40"/>
    </row>
    <row r="77" spans="1:20" ht="24">
      <c r="A77" s="40" t="s">
        <v>655</v>
      </c>
      <c r="B77" s="40"/>
      <c r="C77" s="41"/>
      <c r="D77" s="40"/>
      <c r="E77" s="40" t="s">
        <v>3012</v>
      </c>
      <c r="F77" s="47">
        <f>LEN(G77)</f>
        <v>0</v>
      </c>
      <c r="G77" s="40"/>
      <c r="H77" s="40"/>
      <c r="I77" s="40"/>
      <c r="J77" s="40"/>
      <c r="K77" s="40"/>
      <c r="L77" s="40"/>
      <c r="M77" s="40"/>
      <c r="N77" s="47"/>
      <c r="O77" s="40"/>
      <c r="P77" s="40"/>
      <c r="Q77" s="40"/>
      <c r="R77" s="55"/>
      <c r="S77" s="41"/>
      <c r="T77" s="40"/>
    </row>
    <row r="78" spans="1:20" ht="24">
      <c r="A78" s="40" t="s">
        <v>655</v>
      </c>
      <c r="B78" s="40"/>
      <c r="C78" s="41"/>
      <c r="D78" s="40"/>
      <c r="E78" s="40" t="s">
        <v>3012</v>
      </c>
      <c r="F78" s="47">
        <f>LEN(G78)</f>
        <v>0</v>
      </c>
      <c r="G78" s="40"/>
      <c r="H78" s="40"/>
      <c r="I78" s="40"/>
      <c r="J78" s="40"/>
      <c r="K78" s="40"/>
      <c r="L78" s="40"/>
      <c r="M78" s="40"/>
      <c r="N78" s="47"/>
      <c r="O78" s="40"/>
      <c r="P78" s="40"/>
      <c r="Q78" s="40"/>
      <c r="R78" s="55"/>
      <c r="S78" s="41"/>
      <c r="T78" s="40"/>
    </row>
    <row r="79" spans="1:20" ht="24">
      <c r="A79" s="40" t="s">
        <v>655</v>
      </c>
      <c r="B79" s="40"/>
      <c r="C79" s="41"/>
      <c r="D79" s="40"/>
      <c r="E79" s="40" t="s">
        <v>3012</v>
      </c>
      <c r="F79" s="47">
        <f>LEN(G79)</f>
        <v>0</v>
      </c>
      <c r="G79" s="40"/>
      <c r="H79" s="40"/>
      <c r="I79" s="40"/>
      <c r="J79" s="40"/>
      <c r="K79" s="40"/>
      <c r="L79" s="40"/>
      <c r="M79" s="40"/>
      <c r="N79" s="47"/>
      <c r="O79" s="40"/>
      <c r="P79" s="40"/>
      <c r="Q79" s="40"/>
      <c r="R79" s="55"/>
      <c r="S79" s="41"/>
      <c r="T79" s="40"/>
    </row>
    <row r="80" spans="1:20" ht="24">
      <c r="A80" s="40" t="s">
        <v>655</v>
      </c>
      <c r="B80" s="40"/>
      <c r="C80" s="41"/>
      <c r="D80" s="40"/>
      <c r="E80" s="40" t="s">
        <v>3012</v>
      </c>
      <c r="F80" s="47">
        <f>LEN(G80)</f>
        <v>0</v>
      </c>
      <c r="G80" s="40"/>
      <c r="H80" s="40"/>
      <c r="I80" s="40"/>
      <c r="J80" s="40"/>
      <c r="K80" s="40"/>
      <c r="L80" s="40"/>
      <c r="M80" s="40"/>
      <c r="N80" s="47"/>
      <c r="O80" s="40"/>
      <c r="P80" s="40"/>
      <c r="Q80" s="40"/>
      <c r="R80" s="55"/>
      <c r="S80" s="41"/>
      <c r="T80" s="40"/>
    </row>
    <row r="81" spans="1:20" ht="24">
      <c r="A81" s="40" t="s">
        <v>655</v>
      </c>
      <c r="B81" s="40"/>
      <c r="C81" s="41"/>
      <c r="D81" s="40"/>
      <c r="E81" s="40" t="s">
        <v>3012</v>
      </c>
      <c r="F81" s="47">
        <f>LEN(G81)</f>
        <v>0</v>
      </c>
      <c r="G81" s="40"/>
      <c r="H81" s="40"/>
      <c r="I81" s="40"/>
      <c r="J81" s="40"/>
      <c r="K81" s="40"/>
      <c r="L81" s="40"/>
      <c r="M81" s="40"/>
      <c r="N81" s="47"/>
      <c r="O81" s="40"/>
      <c r="P81" s="40"/>
      <c r="Q81" s="40"/>
      <c r="R81" s="55"/>
      <c r="S81" s="41"/>
      <c r="T81" s="40"/>
    </row>
    <row r="82" spans="1:20" ht="24">
      <c r="A82" s="40" t="s">
        <v>655</v>
      </c>
      <c r="B82" s="40"/>
      <c r="C82" s="41"/>
      <c r="D82" s="40"/>
      <c r="E82" s="40" t="s">
        <v>3012</v>
      </c>
      <c r="F82" s="47">
        <f>LEN(G82)</f>
        <v>0</v>
      </c>
      <c r="G82" s="40"/>
      <c r="H82" s="40"/>
      <c r="I82" s="40"/>
      <c r="J82" s="40"/>
      <c r="K82" s="40"/>
      <c r="L82" s="40"/>
      <c r="M82" s="40"/>
      <c r="N82" s="47"/>
      <c r="O82" s="40"/>
      <c r="P82" s="40"/>
      <c r="Q82" s="40"/>
      <c r="R82" s="55"/>
      <c r="S82" s="41"/>
      <c r="T82" s="40"/>
    </row>
    <row r="83" spans="1:20" ht="24">
      <c r="A83" s="40" t="s">
        <v>655</v>
      </c>
      <c r="B83" s="40"/>
      <c r="C83" s="41"/>
      <c r="D83" s="40"/>
      <c r="E83" s="40" t="s">
        <v>3012</v>
      </c>
      <c r="F83" s="47">
        <f>LEN(G83)</f>
        <v>0</v>
      </c>
      <c r="G83" s="40"/>
      <c r="H83" s="40"/>
      <c r="I83" s="40"/>
      <c r="J83" s="40"/>
      <c r="K83" s="40"/>
      <c r="L83" s="40"/>
      <c r="M83" s="40"/>
      <c r="N83" s="47"/>
      <c r="O83" s="40"/>
      <c r="P83" s="40"/>
      <c r="Q83" s="40"/>
      <c r="R83" s="55"/>
      <c r="S83" s="41"/>
      <c r="T83" s="40"/>
    </row>
    <row r="84" spans="1:20" ht="24">
      <c r="A84" s="40" t="s">
        <v>655</v>
      </c>
      <c r="B84" s="40"/>
      <c r="C84" s="41"/>
      <c r="D84" s="40"/>
      <c r="E84" s="40" t="s">
        <v>3012</v>
      </c>
      <c r="F84" s="47">
        <f>LEN(G84)</f>
        <v>0</v>
      </c>
      <c r="G84" s="40"/>
      <c r="H84" s="40"/>
      <c r="I84" s="40"/>
      <c r="J84" s="40"/>
      <c r="K84" s="40"/>
      <c r="L84" s="40"/>
      <c r="M84" s="40"/>
      <c r="N84" s="47"/>
      <c r="O84" s="40"/>
      <c r="P84" s="40"/>
      <c r="Q84" s="40"/>
      <c r="R84" s="55"/>
      <c r="S84" s="41"/>
      <c r="T84" s="40"/>
    </row>
    <row r="85" spans="1:20" ht="24">
      <c r="A85" s="40" t="s">
        <v>655</v>
      </c>
      <c r="B85" s="40"/>
      <c r="C85" s="41"/>
      <c r="D85" s="40"/>
      <c r="E85" s="40" t="s">
        <v>3012</v>
      </c>
      <c r="F85" s="47">
        <f>LEN(G85)</f>
        <v>0</v>
      </c>
      <c r="G85" s="40"/>
      <c r="H85" s="40"/>
      <c r="I85" s="40"/>
      <c r="J85" s="40"/>
      <c r="K85" s="40"/>
      <c r="L85" s="40"/>
      <c r="M85" s="40"/>
      <c r="N85" s="47"/>
      <c r="O85" s="40"/>
      <c r="P85" s="40"/>
      <c r="Q85" s="40"/>
      <c r="R85" s="55"/>
      <c r="S85" s="41"/>
      <c r="T85" s="40"/>
    </row>
    <row r="86" spans="1:20" ht="24">
      <c r="A86" s="40" t="s">
        <v>655</v>
      </c>
      <c r="B86" s="40"/>
      <c r="C86" s="41"/>
      <c r="D86" s="40"/>
      <c r="E86" s="40" t="s">
        <v>3012</v>
      </c>
      <c r="F86" s="47">
        <f>LEN(G86)</f>
        <v>0</v>
      </c>
      <c r="G86" s="40"/>
      <c r="H86" s="40"/>
      <c r="I86" s="40"/>
      <c r="J86" s="40"/>
      <c r="K86" s="40"/>
      <c r="L86" s="40"/>
      <c r="M86" s="40"/>
      <c r="N86" s="47"/>
      <c r="O86" s="40"/>
      <c r="P86" s="40"/>
      <c r="Q86" s="40"/>
      <c r="R86" s="55"/>
      <c r="S86" s="41"/>
      <c r="T86" s="40"/>
    </row>
    <row r="87" spans="1:20" ht="24">
      <c r="A87" s="40" t="s">
        <v>655</v>
      </c>
      <c r="B87" s="40"/>
      <c r="C87" s="41"/>
      <c r="D87" s="40"/>
      <c r="E87" s="40" t="s">
        <v>3012</v>
      </c>
      <c r="F87" s="47">
        <f>LEN(G87)</f>
        <v>0</v>
      </c>
      <c r="G87" s="40"/>
      <c r="H87" s="40"/>
      <c r="I87" s="40"/>
      <c r="J87" s="40"/>
      <c r="K87" s="40"/>
      <c r="L87" s="40"/>
      <c r="M87" s="40"/>
      <c r="N87" s="47"/>
      <c r="O87" s="40"/>
      <c r="P87" s="40"/>
      <c r="Q87" s="40"/>
      <c r="R87" s="55"/>
      <c r="S87" s="41"/>
      <c r="T87" s="40"/>
    </row>
    <row r="88" spans="1:20" ht="24">
      <c r="A88" s="40" t="s">
        <v>655</v>
      </c>
      <c r="B88" s="40"/>
      <c r="C88" s="41"/>
      <c r="D88" s="40"/>
      <c r="E88" s="40" t="s">
        <v>3012</v>
      </c>
      <c r="F88" s="47">
        <f>LEN(G88)</f>
        <v>0</v>
      </c>
      <c r="G88" s="40"/>
      <c r="H88" s="40"/>
      <c r="I88" s="40"/>
      <c r="J88" s="40"/>
      <c r="K88" s="40"/>
      <c r="L88" s="40"/>
      <c r="M88" s="40"/>
      <c r="N88" s="47"/>
      <c r="O88" s="40"/>
      <c r="P88" s="40"/>
      <c r="Q88" s="40"/>
      <c r="R88" s="55"/>
      <c r="S88" s="41"/>
      <c r="T88" s="40"/>
    </row>
    <row r="89" spans="1:20" ht="24">
      <c r="A89" s="40" t="s">
        <v>655</v>
      </c>
      <c r="B89" s="40"/>
      <c r="C89" s="41"/>
      <c r="D89" s="40"/>
      <c r="E89" s="40" t="s">
        <v>3012</v>
      </c>
      <c r="F89" s="47">
        <f>LEN(G89)</f>
        <v>0</v>
      </c>
      <c r="G89" s="40"/>
      <c r="H89" s="40"/>
      <c r="I89" s="40"/>
      <c r="J89" s="40"/>
      <c r="K89" s="40"/>
      <c r="L89" s="40"/>
      <c r="M89" s="40"/>
      <c r="N89" s="47"/>
      <c r="O89" s="40"/>
      <c r="P89" s="40"/>
      <c r="Q89" s="40"/>
      <c r="R89" s="55"/>
      <c r="S89" s="41"/>
      <c r="T89" s="40"/>
    </row>
    <row r="90" spans="1:20" ht="24">
      <c r="A90" s="40" t="s">
        <v>655</v>
      </c>
      <c r="B90" s="40"/>
      <c r="C90" s="41"/>
      <c r="D90" s="40"/>
      <c r="E90" s="40" t="s">
        <v>3012</v>
      </c>
      <c r="F90" s="47">
        <f>LEN(G91)</f>
        <v>0</v>
      </c>
      <c r="G90" s="5"/>
      <c r="H90" s="40"/>
      <c r="I90" s="40"/>
      <c r="J90" s="40"/>
      <c r="K90" s="40"/>
      <c r="L90" s="40"/>
      <c r="M90" s="40"/>
      <c r="N90" s="47"/>
      <c r="O90" s="40"/>
      <c r="P90" s="40"/>
      <c r="Q90" s="40"/>
      <c r="R90" s="55"/>
      <c r="S90" s="41"/>
      <c r="T90" s="40"/>
    </row>
    <row r="91" spans="1:20" ht="24">
      <c r="A91" s="40" t="s">
        <v>655</v>
      </c>
      <c r="B91" s="40"/>
      <c r="C91" s="41"/>
      <c r="D91" s="40"/>
      <c r="E91" s="40" t="s">
        <v>3012</v>
      </c>
      <c r="F91" s="47" t="e">
        <f>LEN(#REF!)</f>
        <v>#REF!</v>
      </c>
      <c r="G91" s="40"/>
      <c r="H91" s="40"/>
      <c r="I91" s="40"/>
      <c r="J91" s="40"/>
      <c r="K91" s="40"/>
      <c r="L91" s="40"/>
      <c r="M91" s="40"/>
      <c r="N91" s="47"/>
      <c r="O91" s="40"/>
      <c r="P91" s="40"/>
      <c r="Q91" s="40"/>
      <c r="R91" s="55"/>
      <c r="S91" s="41"/>
      <c r="T91" s="40"/>
    </row>
    <row r="92" spans="1:20" ht="24">
      <c r="A92" s="40" t="s">
        <v>655</v>
      </c>
      <c r="B92" s="40"/>
      <c r="C92" s="41"/>
      <c r="D92" s="40"/>
      <c r="E92" s="40" t="s">
        <v>3012</v>
      </c>
      <c r="F92" s="47">
        <f>LEN(G92)</f>
        <v>0</v>
      </c>
      <c r="G92" s="40"/>
      <c r="H92" s="40"/>
      <c r="I92" s="40"/>
      <c r="J92" s="40"/>
      <c r="K92" s="40"/>
      <c r="L92" s="40"/>
      <c r="M92" s="40"/>
      <c r="N92" s="47"/>
      <c r="O92" s="40"/>
      <c r="P92" s="40"/>
      <c r="Q92" s="40"/>
      <c r="R92" s="55"/>
      <c r="S92" s="41"/>
      <c r="T92" s="40"/>
    </row>
    <row r="93" spans="1:20" ht="24">
      <c r="A93" s="40" t="s">
        <v>655</v>
      </c>
      <c r="B93" s="40"/>
      <c r="C93" s="41"/>
      <c r="D93" s="40"/>
      <c r="E93" s="40" t="s">
        <v>3012</v>
      </c>
      <c r="F93" s="47">
        <f>LEN(G93)</f>
        <v>0</v>
      </c>
      <c r="G93" s="40"/>
      <c r="H93" s="40"/>
      <c r="I93" s="40"/>
      <c r="J93" s="40"/>
      <c r="K93" s="40"/>
      <c r="L93" s="40"/>
      <c r="M93" s="40"/>
      <c r="N93" s="47"/>
      <c r="O93" s="40"/>
      <c r="P93" s="40"/>
      <c r="Q93" s="40"/>
      <c r="R93" s="55"/>
      <c r="S93" s="41"/>
      <c r="T93" s="40"/>
    </row>
    <row r="94" spans="1:20" ht="24">
      <c r="A94" s="40" t="s">
        <v>655</v>
      </c>
      <c r="B94" s="40"/>
      <c r="C94" s="41"/>
      <c r="D94" s="40"/>
      <c r="E94" s="40" t="s">
        <v>3012</v>
      </c>
      <c r="F94" s="47">
        <f>LEN(G94)</f>
        <v>0</v>
      </c>
      <c r="G94" s="40"/>
      <c r="H94" s="40"/>
      <c r="I94" s="40"/>
      <c r="J94" s="40"/>
      <c r="K94" s="40"/>
      <c r="L94" s="40"/>
      <c r="M94" s="40"/>
      <c r="N94" s="47"/>
      <c r="O94" s="40"/>
      <c r="P94" s="40"/>
      <c r="Q94" s="40"/>
      <c r="R94" s="55"/>
      <c r="S94" s="41"/>
      <c r="T94" s="40"/>
    </row>
    <row r="95" spans="1:20" ht="24">
      <c r="A95" s="40" t="s">
        <v>655</v>
      </c>
      <c r="B95" s="40"/>
      <c r="C95" s="41"/>
      <c r="D95" s="40"/>
      <c r="E95" s="40" t="s">
        <v>3012</v>
      </c>
      <c r="F95" s="47">
        <f>LEN(G95)</f>
        <v>0</v>
      </c>
      <c r="G95" s="40"/>
      <c r="H95" s="40"/>
      <c r="I95" s="40"/>
      <c r="J95" s="40"/>
      <c r="K95" s="40"/>
      <c r="L95" s="40"/>
      <c r="M95" s="40"/>
      <c r="N95" s="47"/>
      <c r="O95" s="40"/>
      <c r="P95" s="40"/>
      <c r="Q95" s="40"/>
      <c r="R95" s="55"/>
      <c r="S95" s="41"/>
      <c r="T95" s="40"/>
    </row>
    <row r="96" spans="1:20" ht="24">
      <c r="A96" s="40" t="s">
        <v>655</v>
      </c>
      <c r="B96" s="40"/>
      <c r="C96" s="41"/>
      <c r="D96" s="40"/>
      <c r="E96" s="40" t="s">
        <v>3012</v>
      </c>
      <c r="F96" s="47">
        <f>LEN(G96)</f>
        <v>0</v>
      </c>
      <c r="G96" s="40"/>
      <c r="H96" s="40"/>
      <c r="I96" s="40"/>
      <c r="J96" s="40"/>
      <c r="K96" s="40"/>
      <c r="L96" s="40"/>
      <c r="M96" s="40"/>
      <c r="N96" s="47"/>
      <c r="O96" s="40"/>
      <c r="P96" s="40"/>
      <c r="Q96" s="40"/>
      <c r="R96" s="55"/>
      <c r="S96" s="41"/>
      <c r="T96" s="40"/>
    </row>
    <row r="97" spans="1:20" ht="24">
      <c r="A97" s="40" t="s">
        <v>655</v>
      </c>
      <c r="B97" s="40"/>
      <c r="C97" s="41"/>
      <c r="D97" s="40"/>
      <c r="E97" s="40" t="s">
        <v>3012</v>
      </c>
      <c r="F97" s="47">
        <f>LEN(G97)</f>
        <v>0</v>
      </c>
      <c r="G97" s="40"/>
      <c r="H97" s="40"/>
      <c r="I97" s="40"/>
      <c r="J97" s="40"/>
      <c r="K97" s="40"/>
      <c r="L97" s="40"/>
      <c r="M97" s="40"/>
      <c r="N97" s="47"/>
      <c r="O97" s="40"/>
      <c r="P97" s="40"/>
      <c r="Q97" s="40"/>
      <c r="R97" s="55"/>
      <c r="S97" s="41"/>
      <c r="T97" s="40"/>
    </row>
    <row r="98" spans="1:20" ht="24">
      <c r="A98" s="40" t="s">
        <v>655</v>
      </c>
      <c r="B98" s="40"/>
      <c r="C98" s="41"/>
      <c r="D98" s="40"/>
      <c r="E98" s="40" t="s">
        <v>3012</v>
      </c>
      <c r="F98" s="47">
        <f>LEN(G98)</f>
        <v>0</v>
      </c>
      <c r="G98" s="40"/>
      <c r="H98" s="40"/>
      <c r="I98" s="40"/>
      <c r="J98" s="40"/>
      <c r="K98" s="40"/>
      <c r="L98" s="40"/>
      <c r="M98" s="40"/>
      <c r="N98" s="47"/>
      <c r="O98" s="40"/>
      <c r="P98" s="40"/>
      <c r="Q98" s="40"/>
      <c r="R98" s="55"/>
      <c r="S98" s="41"/>
      <c r="T98" s="40"/>
    </row>
    <row r="99" spans="1:20" ht="24">
      <c r="A99" s="40" t="s">
        <v>655</v>
      </c>
      <c r="B99" s="40"/>
      <c r="C99" s="41"/>
      <c r="D99" s="40"/>
      <c r="E99" s="40" t="s">
        <v>3012</v>
      </c>
      <c r="F99" s="47">
        <f>LEN(G99)</f>
        <v>0</v>
      </c>
      <c r="G99" s="40"/>
      <c r="H99" s="40"/>
      <c r="I99" s="40"/>
      <c r="J99" s="40"/>
      <c r="K99" s="40"/>
      <c r="L99" s="40"/>
      <c r="M99" s="40"/>
      <c r="N99" s="47"/>
      <c r="O99" s="40"/>
      <c r="P99" s="40"/>
      <c r="Q99" s="40"/>
      <c r="R99" s="55"/>
      <c r="S99" s="41"/>
      <c r="T99" s="40"/>
    </row>
    <row r="100" spans="1:20" ht="24">
      <c r="A100" s="40" t="s">
        <v>655</v>
      </c>
      <c r="B100" s="40"/>
      <c r="C100" s="41"/>
      <c r="D100" s="40"/>
      <c r="E100" s="40" t="s">
        <v>3012</v>
      </c>
      <c r="F100" s="47">
        <f>LEN(G100)</f>
        <v>0</v>
      </c>
      <c r="G100" s="40"/>
      <c r="H100" s="40"/>
      <c r="I100" s="40"/>
      <c r="J100" s="40"/>
      <c r="K100" s="40"/>
      <c r="L100" s="40"/>
      <c r="M100" s="40"/>
      <c r="N100" s="47"/>
      <c r="O100" s="40"/>
      <c r="P100" s="40"/>
      <c r="Q100" s="40"/>
      <c r="R100" s="55"/>
      <c r="S100" s="41"/>
      <c r="T100" s="40"/>
    </row>
    <row r="101" spans="1:20" ht="24">
      <c r="A101" s="40" t="s">
        <v>655</v>
      </c>
      <c r="B101" s="40"/>
      <c r="C101" s="41"/>
      <c r="D101" s="40"/>
      <c r="E101" s="40" t="s">
        <v>3012</v>
      </c>
      <c r="F101" s="47">
        <f>LEN(G101)</f>
        <v>0</v>
      </c>
      <c r="G101" s="40"/>
      <c r="H101" s="40"/>
      <c r="I101" s="40"/>
      <c r="J101" s="40"/>
      <c r="K101" s="40"/>
      <c r="L101" s="40"/>
      <c r="M101" s="40"/>
      <c r="N101" s="47"/>
      <c r="O101" s="40"/>
      <c r="P101" s="40"/>
      <c r="Q101" s="40"/>
      <c r="R101" s="55"/>
      <c r="S101" s="41"/>
      <c r="T101" s="40"/>
    </row>
    <row r="102" spans="1:20" ht="24">
      <c r="A102" s="40" t="s">
        <v>655</v>
      </c>
      <c r="B102" s="40"/>
      <c r="C102" s="41"/>
      <c r="D102" s="40"/>
      <c r="E102" s="40" t="s">
        <v>3012</v>
      </c>
      <c r="F102" s="47">
        <f>LEN(G102)</f>
        <v>0</v>
      </c>
      <c r="G102" s="40"/>
      <c r="H102" s="40"/>
      <c r="I102" s="40"/>
      <c r="J102" s="40"/>
      <c r="K102" s="40"/>
      <c r="L102" s="40"/>
      <c r="M102" s="40"/>
      <c r="N102" s="47"/>
      <c r="O102" s="40"/>
      <c r="P102" s="40"/>
      <c r="Q102" s="40"/>
      <c r="R102" s="55"/>
      <c r="S102" s="41"/>
      <c r="T102" s="40"/>
    </row>
    <row r="103" spans="1:20" ht="24">
      <c r="A103" s="40" t="s">
        <v>655</v>
      </c>
      <c r="B103" s="40"/>
      <c r="C103" s="41"/>
      <c r="D103" s="40"/>
      <c r="E103" s="40" t="s">
        <v>3012</v>
      </c>
      <c r="F103" s="47">
        <f>LEN(G103)</f>
        <v>0</v>
      </c>
      <c r="G103" s="40"/>
      <c r="H103" s="40"/>
      <c r="I103" s="40"/>
      <c r="J103" s="40"/>
      <c r="K103" s="40"/>
      <c r="L103" s="40"/>
      <c r="M103" s="40"/>
      <c r="N103" s="47"/>
      <c r="O103" s="40"/>
      <c r="P103" s="40"/>
      <c r="Q103" s="40"/>
      <c r="R103" s="55"/>
      <c r="S103" s="41"/>
      <c r="T103" s="40"/>
    </row>
    <row r="104" spans="1:20" ht="24">
      <c r="A104" s="40" t="s">
        <v>655</v>
      </c>
      <c r="B104" s="40"/>
      <c r="C104" s="41"/>
      <c r="D104" s="40"/>
      <c r="E104" s="40" t="s">
        <v>3012</v>
      </c>
      <c r="F104" s="47">
        <f>LEN(G104)</f>
        <v>0</v>
      </c>
      <c r="G104" s="40"/>
      <c r="H104" s="40"/>
      <c r="I104" s="40"/>
      <c r="J104" s="40"/>
      <c r="K104" s="40"/>
      <c r="L104" s="40"/>
      <c r="M104" s="40"/>
      <c r="N104" s="47"/>
      <c r="O104" s="40"/>
      <c r="P104" s="40"/>
      <c r="Q104" s="40"/>
      <c r="R104" s="55"/>
      <c r="S104" s="41"/>
      <c r="T104" s="40"/>
    </row>
    <row r="105" spans="1:20" ht="24">
      <c r="A105" s="40" t="s">
        <v>655</v>
      </c>
      <c r="B105" s="40"/>
      <c r="C105" s="41"/>
      <c r="D105" s="40"/>
      <c r="E105" s="40" t="s">
        <v>3012</v>
      </c>
      <c r="F105" s="47">
        <f>LEN(G105)</f>
        <v>0</v>
      </c>
      <c r="G105" s="40"/>
      <c r="H105" s="40"/>
      <c r="I105" s="40"/>
      <c r="J105" s="40"/>
      <c r="K105" s="40"/>
      <c r="L105" s="40"/>
      <c r="M105" s="40"/>
      <c r="N105" s="47"/>
      <c r="O105" s="40"/>
      <c r="P105" s="40"/>
      <c r="Q105" s="40"/>
      <c r="R105" s="55"/>
      <c r="S105" s="41"/>
      <c r="T105" s="40"/>
    </row>
    <row r="106" spans="1:20" ht="24">
      <c r="A106" s="40" t="s">
        <v>655</v>
      </c>
      <c r="B106" s="40"/>
      <c r="C106" s="41"/>
      <c r="D106" s="40"/>
      <c r="E106" s="40" t="s">
        <v>3012</v>
      </c>
      <c r="F106" s="47">
        <f>LEN(G106)</f>
        <v>0</v>
      </c>
      <c r="G106" s="40"/>
      <c r="H106" s="40"/>
      <c r="I106" s="40"/>
      <c r="J106" s="40"/>
      <c r="K106" s="40"/>
      <c r="L106" s="40"/>
      <c r="M106" s="40"/>
      <c r="N106" s="47"/>
      <c r="O106" s="40"/>
      <c r="P106" s="40"/>
      <c r="Q106" s="40"/>
      <c r="R106" s="55"/>
      <c r="S106" s="41"/>
      <c r="T106" s="40"/>
    </row>
    <row r="107" spans="1:20" ht="24">
      <c r="A107" s="40" t="s">
        <v>655</v>
      </c>
      <c r="B107" s="40"/>
      <c r="C107" s="41"/>
      <c r="D107" s="40"/>
      <c r="E107" s="40" t="s">
        <v>3012</v>
      </c>
      <c r="F107" s="47">
        <f>LEN(G107)</f>
        <v>0</v>
      </c>
      <c r="G107" s="40"/>
      <c r="H107" s="40"/>
      <c r="I107" s="40"/>
      <c r="J107" s="40"/>
      <c r="K107" s="40"/>
      <c r="L107" s="40"/>
      <c r="M107" s="40"/>
      <c r="N107" s="47"/>
      <c r="O107" s="40"/>
      <c r="P107" s="40"/>
      <c r="Q107" s="40"/>
      <c r="R107" s="55"/>
      <c r="S107" s="41"/>
      <c r="T107" s="40"/>
    </row>
    <row r="108" spans="1:20" ht="24">
      <c r="A108" s="40" t="s">
        <v>655</v>
      </c>
      <c r="B108" s="40"/>
      <c r="C108" s="41"/>
      <c r="D108" s="40"/>
      <c r="E108" s="40" t="s">
        <v>3012</v>
      </c>
      <c r="F108" s="47">
        <f>LEN(G108)</f>
        <v>0</v>
      </c>
      <c r="G108" s="40"/>
      <c r="H108" s="40"/>
      <c r="I108" s="40"/>
      <c r="J108" s="40"/>
      <c r="K108" s="40"/>
      <c r="L108" s="40"/>
      <c r="M108" s="40"/>
      <c r="N108" s="47"/>
      <c r="O108" s="40"/>
      <c r="P108" s="40"/>
      <c r="Q108" s="40"/>
      <c r="R108" s="55"/>
      <c r="S108" s="41"/>
      <c r="T108" s="40"/>
    </row>
    <row r="109" spans="1:20" ht="24">
      <c r="A109" s="40" t="s">
        <v>655</v>
      </c>
      <c r="B109" s="40"/>
      <c r="C109" s="41"/>
      <c r="D109" s="40"/>
      <c r="E109" s="40" t="s">
        <v>3012</v>
      </c>
      <c r="F109" s="47">
        <f>LEN(G109)</f>
        <v>0</v>
      </c>
      <c r="G109" s="40"/>
      <c r="H109" s="40"/>
      <c r="I109" s="40"/>
      <c r="J109" s="40"/>
      <c r="K109" s="40"/>
      <c r="L109" s="40"/>
      <c r="M109" s="40"/>
      <c r="N109" s="47"/>
      <c r="O109" s="40"/>
      <c r="P109" s="40"/>
      <c r="Q109" s="40"/>
      <c r="R109" s="55"/>
      <c r="S109" s="41"/>
      <c r="T109" s="40"/>
    </row>
    <row r="110" spans="1:20" ht="24">
      <c r="A110" s="40" t="s">
        <v>655</v>
      </c>
      <c r="B110" s="40"/>
      <c r="C110" s="41"/>
      <c r="D110" s="40"/>
      <c r="E110" s="40" t="s">
        <v>3012</v>
      </c>
      <c r="F110" s="47">
        <f>LEN(G110)</f>
        <v>0</v>
      </c>
      <c r="G110" s="40"/>
      <c r="H110" s="40"/>
      <c r="I110" s="40"/>
      <c r="J110" s="40"/>
      <c r="K110" s="40"/>
      <c r="L110" s="40"/>
      <c r="M110" s="40"/>
      <c r="N110" s="47"/>
      <c r="O110" s="40"/>
      <c r="P110" s="40"/>
      <c r="Q110" s="40"/>
      <c r="R110" s="55"/>
      <c r="S110" s="41"/>
      <c r="T110" s="40"/>
    </row>
    <row r="111" spans="1:20" ht="24">
      <c r="A111" s="40" t="s">
        <v>655</v>
      </c>
      <c r="B111" s="40"/>
      <c r="C111" s="41"/>
      <c r="D111" s="40"/>
      <c r="E111" s="40" t="s">
        <v>3012</v>
      </c>
      <c r="F111" s="47">
        <f>LEN(G111)</f>
        <v>0</v>
      </c>
      <c r="G111" s="40"/>
      <c r="H111" s="40"/>
      <c r="I111" s="40"/>
      <c r="J111" s="40"/>
      <c r="K111" s="40"/>
      <c r="L111" s="40"/>
      <c r="M111" s="40"/>
      <c r="N111" s="47"/>
      <c r="O111" s="40"/>
      <c r="P111" s="40"/>
      <c r="Q111" s="40"/>
      <c r="R111" s="55"/>
      <c r="S111" s="41"/>
      <c r="T111" s="40"/>
    </row>
    <row r="112" spans="1:20" ht="24">
      <c r="A112" s="40" t="s">
        <v>655</v>
      </c>
      <c r="B112" s="40"/>
      <c r="C112" s="41"/>
      <c r="D112" s="40"/>
      <c r="E112" s="40" t="s">
        <v>3012</v>
      </c>
      <c r="F112" s="47">
        <f>LEN(G112)</f>
        <v>0</v>
      </c>
      <c r="G112" s="40"/>
      <c r="H112" s="40"/>
      <c r="I112" s="40"/>
      <c r="J112" s="40"/>
      <c r="K112" s="40"/>
      <c r="L112" s="40"/>
      <c r="M112" s="40"/>
      <c r="N112" s="47"/>
      <c r="O112" s="40"/>
      <c r="P112" s="40"/>
      <c r="Q112" s="40"/>
      <c r="R112" s="55"/>
      <c r="S112" s="41"/>
      <c r="T112" s="40"/>
    </row>
    <row r="113" spans="1:20" ht="24">
      <c r="A113" s="40" t="s">
        <v>655</v>
      </c>
      <c r="B113" s="40"/>
      <c r="C113" s="41"/>
      <c r="D113" s="40"/>
      <c r="E113" s="40" t="s">
        <v>3012</v>
      </c>
      <c r="F113" s="47">
        <f>LEN(G113)</f>
        <v>0</v>
      </c>
      <c r="G113" s="40"/>
      <c r="H113" s="40"/>
      <c r="I113" s="40"/>
      <c r="J113" s="40"/>
      <c r="K113" s="40"/>
      <c r="L113" s="40"/>
      <c r="M113" s="40"/>
      <c r="N113" s="47"/>
      <c r="O113" s="40"/>
      <c r="P113" s="40"/>
      <c r="Q113" s="40"/>
      <c r="R113" s="55"/>
      <c r="S113" s="41"/>
      <c r="T113" s="40"/>
    </row>
    <row r="114" spans="1:20" ht="24">
      <c r="A114" s="40" t="s">
        <v>655</v>
      </c>
      <c r="B114" s="40"/>
      <c r="C114" s="41"/>
      <c r="D114" s="40"/>
      <c r="E114" s="40" t="s">
        <v>3012</v>
      </c>
      <c r="F114" s="47">
        <f>LEN(G114)</f>
        <v>0</v>
      </c>
      <c r="G114" s="40"/>
      <c r="H114" s="40"/>
      <c r="I114" s="40"/>
      <c r="J114" s="40"/>
      <c r="K114" s="40"/>
      <c r="L114" s="40"/>
      <c r="M114" s="40"/>
      <c r="N114" s="47"/>
      <c r="O114" s="40"/>
      <c r="P114" s="40"/>
      <c r="Q114" s="40"/>
      <c r="R114" s="55"/>
      <c r="S114" s="41"/>
      <c r="T114" s="40"/>
    </row>
    <row r="115" spans="1:20" ht="24">
      <c r="A115" s="40" t="s">
        <v>655</v>
      </c>
      <c r="B115" s="40"/>
      <c r="C115" s="41"/>
      <c r="D115" s="40"/>
      <c r="E115" s="40" t="s">
        <v>3012</v>
      </c>
      <c r="F115" s="47">
        <f>LEN(G115)</f>
        <v>0</v>
      </c>
      <c r="G115" s="40"/>
      <c r="H115" s="40"/>
      <c r="I115" s="40"/>
      <c r="J115" s="40"/>
      <c r="K115" s="40"/>
      <c r="L115" s="40"/>
      <c r="M115" s="40"/>
      <c r="N115" s="47"/>
      <c r="O115" s="40"/>
      <c r="P115" s="40"/>
      <c r="Q115" s="40"/>
      <c r="R115" s="55"/>
      <c r="S115" s="41"/>
      <c r="T115" s="40"/>
    </row>
    <row r="116" spans="1:20" ht="24">
      <c r="A116" s="40" t="s">
        <v>655</v>
      </c>
      <c r="B116" s="40"/>
      <c r="C116" s="41"/>
      <c r="D116" s="40"/>
      <c r="E116" s="40" t="s">
        <v>3012</v>
      </c>
      <c r="F116" s="47">
        <f>LEN(G116)</f>
        <v>0</v>
      </c>
      <c r="G116" s="40"/>
      <c r="H116" s="40"/>
      <c r="I116" s="40"/>
      <c r="J116" s="40"/>
      <c r="K116" s="40"/>
      <c r="L116" s="40"/>
      <c r="M116" s="40"/>
      <c r="N116" s="47"/>
      <c r="O116" s="40"/>
      <c r="P116" s="40"/>
      <c r="Q116" s="40"/>
      <c r="R116" s="55"/>
      <c r="S116" s="41"/>
      <c r="T116" s="40"/>
    </row>
    <row r="117" spans="1:20" ht="24">
      <c r="A117" s="40" t="s">
        <v>655</v>
      </c>
      <c r="B117" s="40"/>
      <c r="C117" s="41"/>
      <c r="D117" s="40"/>
      <c r="E117" s="40" t="s">
        <v>3012</v>
      </c>
      <c r="F117" s="47">
        <f>LEN(G117)</f>
        <v>0</v>
      </c>
      <c r="G117" s="40"/>
      <c r="H117" s="40"/>
      <c r="I117" s="40"/>
      <c r="J117" s="40"/>
      <c r="K117" s="40"/>
      <c r="L117" s="40"/>
      <c r="M117" s="40"/>
      <c r="N117" s="47"/>
      <c r="O117" s="40"/>
      <c r="P117" s="40"/>
      <c r="Q117" s="40"/>
      <c r="R117" s="55"/>
      <c r="S117" s="41"/>
      <c r="T117" s="40"/>
    </row>
    <row r="118" spans="1:20" ht="24">
      <c r="A118" s="40" t="s">
        <v>655</v>
      </c>
      <c r="B118" s="40"/>
      <c r="C118" s="41"/>
      <c r="D118" s="40"/>
      <c r="E118" s="40" t="s">
        <v>3012</v>
      </c>
      <c r="F118" s="47">
        <f>LEN(G118)</f>
        <v>0</v>
      </c>
      <c r="G118" s="40"/>
      <c r="H118" s="40"/>
      <c r="I118" s="40"/>
      <c r="J118" s="40"/>
      <c r="K118" s="40"/>
      <c r="L118" s="40"/>
      <c r="M118" s="40"/>
      <c r="N118" s="47"/>
      <c r="O118" s="40"/>
      <c r="P118" s="40"/>
      <c r="Q118" s="40"/>
      <c r="R118" s="55"/>
      <c r="S118" s="41"/>
      <c r="T118" s="40"/>
    </row>
    <row r="119" spans="1:20" ht="24">
      <c r="A119" s="40" t="s">
        <v>655</v>
      </c>
      <c r="B119" s="40"/>
      <c r="C119" s="41"/>
      <c r="D119" s="40"/>
      <c r="E119" s="40" t="s">
        <v>3012</v>
      </c>
      <c r="F119" s="47">
        <f>LEN(G119)</f>
        <v>0</v>
      </c>
      <c r="G119" s="40"/>
      <c r="H119" s="40"/>
      <c r="I119" s="40"/>
      <c r="J119" s="40"/>
      <c r="K119" s="40"/>
      <c r="L119" s="40"/>
      <c r="M119" s="40"/>
      <c r="N119" s="47"/>
      <c r="O119" s="40"/>
      <c r="P119" s="40"/>
      <c r="Q119" s="40"/>
      <c r="R119" s="55"/>
      <c r="S119" s="41"/>
      <c r="T119" s="40"/>
    </row>
    <row r="120" spans="1:20" ht="24">
      <c r="A120" s="40" t="s">
        <v>655</v>
      </c>
      <c r="B120" s="40"/>
      <c r="C120" s="41"/>
      <c r="D120" s="40"/>
      <c r="E120" s="40" t="s">
        <v>3012</v>
      </c>
      <c r="F120" s="47">
        <f>LEN(G120)</f>
        <v>0</v>
      </c>
      <c r="G120" s="40"/>
      <c r="H120" s="40"/>
      <c r="I120" s="40"/>
      <c r="J120" s="40"/>
      <c r="K120" s="40"/>
      <c r="L120" s="40"/>
      <c r="M120" s="40"/>
      <c r="N120" s="47"/>
      <c r="O120" s="40"/>
      <c r="P120" s="40"/>
      <c r="Q120" s="40"/>
      <c r="R120" s="55"/>
      <c r="S120" s="41"/>
      <c r="T120" s="40"/>
    </row>
    <row r="121" spans="1:20" ht="24">
      <c r="A121" s="40" t="s">
        <v>655</v>
      </c>
      <c r="B121" s="40"/>
      <c r="C121" s="41"/>
      <c r="D121" s="40"/>
      <c r="E121" s="40" t="s">
        <v>3012</v>
      </c>
      <c r="F121" s="47">
        <f>LEN(G121)</f>
        <v>0</v>
      </c>
      <c r="G121" s="40"/>
      <c r="H121" s="40"/>
      <c r="I121" s="40"/>
      <c r="J121" s="40"/>
      <c r="K121" s="40"/>
      <c r="L121" s="40"/>
      <c r="M121" s="40"/>
      <c r="N121" s="47"/>
      <c r="O121" s="40"/>
      <c r="P121" s="40"/>
      <c r="Q121" s="40"/>
      <c r="R121" s="55"/>
      <c r="S121" s="41"/>
      <c r="T121" s="40"/>
    </row>
    <row r="122" spans="1:20" ht="24">
      <c r="A122" s="40" t="s">
        <v>655</v>
      </c>
      <c r="B122" s="40"/>
      <c r="C122" s="41"/>
      <c r="D122" s="40"/>
      <c r="E122" s="40" t="s">
        <v>3012</v>
      </c>
      <c r="F122" s="47">
        <f>LEN(G122)</f>
        <v>0</v>
      </c>
      <c r="G122" s="40"/>
      <c r="H122" s="40"/>
      <c r="I122" s="40"/>
      <c r="J122" s="40"/>
      <c r="K122" s="40"/>
      <c r="L122" s="40"/>
      <c r="M122" s="40"/>
      <c r="N122" s="47"/>
      <c r="O122" s="40"/>
      <c r="P122" s="40"/>
      <c r="Q122" s="40"/>
      <c r="R122" s="55"/>
      <c r="S122" s="41"/>
      <c r="T122" s="40"/>
    </row>
    <row r="123" spans="1:20" ht="24">
      <c r="A123" s="40" t="s">
        <v>655</v>
      </c>
      <c r="B123" s="40"/>
      <c r="C123" s="41"/>
      <c r="D123" s="40"/>
      <c r="E123" s="40" t="s">
        <v>3012</v>
      </c>
      <c r="F123" s="47">
        <f>LEN(G123)</f>
        <v>0</v>
      </c>
      <c r="G123" s="40"/>
      <c r="H123" s="40"/>
      <c r="I123" s="40"/>
      <c r="J123" s="40"/>
      <c r="K123" s="40"/>
      <c r="L123" s="40"/>
      <c r="M123" s="40"/>
      <c r="N123" s="47"/>
      <c r="O123" s="40"/>
      <c r="P123" s="40"/>
      <c r="Q123" s="40"/>
      <c r="R123" s="55"/>
      <c r="S123" s="41"/>
      <c r="T123" s="40"/>
    </row>
    <row r="124" spans="1:20" ht="24">
      <c r="A124" s="40" t="s">
        <v>655</v>
      </c>
      <c r="B124" s="40"/>
      <c r="C124" s="41"/>
      <c r="D124" s="40"/>
      <c r="E124" s="40" t="s">
        <v>3012</v>
      </c>
      <c r="F124" s="47">
        <f>LEN(G124)</f>
        <v>0</v>
      </c>
      <c r="G124" s="40"/>
      <c r="H124" s="40"/>
      <c r="I124" s="40"/>
      <c r="J124" s="40"/>
      <c r="K124" s="40"/>
      <c r="L124" s="40"/>
      <c r="M124" s="40"/>
      <c r="N124" s="47"/>
      <c r="O124" s="40"/>
      <c r="P124" s="40"/>
      <c r="Q124" s="40"/>
      <c r="R124" s="55"/>
      <c r="S124" s="41"/>
      <c r="T124" s="40"/>
    </row>
    <row r="125" spans="1:20" ht="24">
      <c r="A125" s="40" t="s">
        <v>655</v>
      </c>
      <c r="B125" s="40"/>
      <c r="C125" s="41"/>
      <c r="D125" s="40"/>
      <c r="E125" s="40" t="s">
        <v>3012</v>
      </c>
      <c r="F125" s="47">
        <f>LEN(G125)</f>
        <v>0</v>
      </c>
      <c r="G125" s="40"/>
      <c r="H125" s="40"/>
      <c r="I125" s="40"/>
      <c r="J125" s="40"/>
      <c r="K125" s="40"/>
      <c r="L125" s="40"/>
      <c r="M125" s="40"/>
      <c r="N125" s="47"/>
      <c r="O125" s="40"/>
      <c r="P125" s="40"/>
      <c r="Q125" s="40"/>
      <c r="R125" s="55"/>
      <c r="S125" s="41"/>
      <c r="T125" s="40"/>
    </row>
    <row r="126" spans="1:20" ht="24">
      <c r="A126" s="40" t="s">
        <v>655</v>
      </c>
      <c r="B126" s="40"/>
      <c r="C126" s="41"/>
      <c r="D126" s="40"/>
      <c r="E126" s="40" t="s">
        <v>3012</v>
      </c>
      <c r="F126" s="47">
        <f>LEN(G126)</f>
        <v>0</v>
      </c>
      <c r="G126" s="40"/>
      <c r="H126" s="40"/>
      <c r="I126" s="40"/>
      <c r="J126" s="40"/>
      <c r="K126" s="40"/>
      <c r="L126" s="40"/>
      <c r="M126" s="40"/>
      <c r="N126" s="47"/>
      <c r="O126" s="40"/>
      <c r="P126" s="40"/>
      <c r="Q126" s="40"/>
      <c r="R126" s="55"/>
      <c r="S126" s="41"/>
      <c r="T126" s="40"/>
    </row>
    <row r="127" spans="1:20" ht="24">
      <c r="A127" s="40" t="s">
        <v>655</v>
      </c>
      <c r="B127" s="40"/>
      <c r="C127" s="41"/>
      <c r="D127" s="40"/>
      <c r="E127" s="40" t="s">
        <v>3012</v>
      </c>
      <c r="F127" s="47">
        <f>LEN(G127)</f>
        <v>0</v>
      </c>
      <c r="G127" s="40"/>
      <c r="H127" s="40"/>
      <c r="I127" s="40"/>
      <c r="J127" s="40"/>
      <c r="K127" s="40"/>
      <c r="L127" s="40"/>
      <c r="M127" s="40"/>
      <c r="N127" s="47"/>
      <c r="O127" s="40"/>
      <c r="P127" s="40"/>
      <c r="Q127" s="40"/>
      <c r="R127" s="55"/>
      <c r="S127" s="41"/>
      <c r="T127" s="40"/>
    </row>
    <row r="128" spans="1:20" ht="24">
      <c r="A128" s="40" t="s">
        <v>655</v>
      </c>
      <c r="B128" s="40"/>
      <c r="C128" s="41"/>
      <c r="D128" s="40"/>
      <c r="E128" s="40" t="s">
        <v>3012</v>
      </c>
      <c r="F128" s="47">
        <f>LEN(G128)</f>
        <v>0</v>
      </c>
      <c r="G128" s="40"/>
      <c r="H128" s="40"/>
      <c r="I128" s="40"/>
      <c r="J128" s="40"/>
      <c r="K128" s="40"/>
      <c r="L128" s="40"/>
      <c r="M128" s="40"/>
      <c r="N128" s="47"/>
      <c r="O128" s="40"/>
      <c r="P128" s="40"/>
      <c r="Q128" s="40"/>
      <c r="R128" s="55"/>
      <c r="S128" s="41"/>
      <c r="T128" s="40"/>
    </row>
    <row r="129" spans="1:20" ht="24">
      <c r="A129" s="40" t="s">
        <v>655</v>
      </c>
      <c r="B129" s="40"/>
      <c r="C129" s="41"/>
      <c r="D129" s="40"/>
      <c r="E129" s="40" t="s">
        <v>3012</v>
      </c>
      <c r="F129" s="47">
        <f>LEN(G129)</f>
        <v>0</v>
      </c>
      <c r="G129" s="40"/>
      <c r="H129" s="40"/>
      <c r="I129" s="40"/>
      <c r="J129" s="40"/>
      <c r="K129" s="40"/>
      <c r="L129" s="40"/>
      <c r="M129" s="40"/>
      <c r="N129" s="47"/>
      <c r="O129" s="40"/>
      <c r="P129" s="40"/>
      <c r="Q129" s="40"/>
      <c r="R129" s="55"/>
      <c r="S129" s="41"/>
      <c r="T129" s="40"/>
    </row>
    <row r="130" spans="1:20" ht="24">
      <c r="A130" s="40" t="s">
        <v>655</v>
      </c>
      <c r="B130" s="40"/>
      <c r="C130" s="41"/>
      <c r="D130" s="40"/>
      <c r="E130" s="40" t="s">
        <v>3012</v>
      </c>
      <c r="F130" s="47">
        <f>LEN(G130)</f>
        <v>0</v>
      </c>
      <c r="G130" s="40"/>
      <c r="H130" s="40"/>
      <c r="I130" s="40"/>
      <c r="J130" s="40"/>
      <c r="K130" s="40"/>
      <c r="L130" s="40"/>
      <c r="M130" s="40"/>
      <c r="N130" s="47"/>
      <c r="O130" s="40"/>
      <c r="P130" s="40"/>
      <c r="Q130" s="40"/>
      <c r="R130" s="55"/>
      <c r="S130" s="41"/>
      <c r="T130" s="40"/>
    </row>
    <row r="131" spans="1:20" ht="24">
      <c r="A131" s="40" t="s">
        <v>655</v>
      </c>
      <c r="B131" s="40"/>
      <c r="C131" s="41"/>
      <c r="D131" s="40"/>
      <c r="E131" s="40" t="s">
        <v>3012</v>
      </c>
      <c r="F131" s="47">
        <f>LEN(G131)</f>
        <v>0</v>
      </c>
      <c r="G131" s="40"/>
      <c r="H131" s="40"/>
      <c r="I131" s="40"/>
      <c r="J131" s="40"/>
      <c r="K131" s="40"/>
      <c r="L131" s="40"/>
      <c r="M131" s="40"/>
      <c r="N131" s="47"/>
      <c r="O131" s="40"/>
      <c r="P131" s="40"/>
      <c r="Q131" s="40"/>
      <c r="R131" s="55"/>
      <c r="S131" s="41"/>
      <c r="T131" s="40"/>
    </row>
    <row r="132" spans="1:20" ht="24">
      <c r="A132" s="40" t="s">
        <v>655</v>
      </c>
      <c r="B132" s="40"/>
      <c r="C132" s="41"/>
      <c r="D132" s="40"/>
      <c r="E132" s="40" t="s">
        <v>3012</v>
      </c>
      <c r="F132" s="47">
        <f>LEN(G132)</f>
        <v>0</v>
      </c>
      <c r="G132" s="40"/>
      <c r="H132" s="40"/>
      <c r="I132" s="40"/>
      <c r="J132" s="40"/>
      <c r="K132" s="40"/>
      <c r="L132" s="40"/>
      <c r="M132" s="40"/>
      <c r="N132" s="47"/>
      <c r="O132" s="40"/>
      <c r="P132" s="40"/>
      <c r="Q132" s="40"/>
      <c r="R132" s="55"/>
      <c r="S132" s="41"/>
      <c r="T132" s="40"/>
    </row>
    <row r="133" spans="1:20" ht="24">
      <c r="A133" s="40" t="s">
        <v>655</v>
      </c>
      <c r="B133" s="40"/>
      <c r="C133" s="41"/>
      <c r="D133" s="40"/>
      <c r="E133" s="40" t="s">
        <v>3012</v>
      </c>
      <c r="F133" s="47">
        <f>LEN(G133)</f>
        <v>0</v>
      </c>
      <c r="G133" s="40"/>
      <c r="H133" s="40"/>
      <c r="I133" s="40"/>
      <c r="J133" s="40"/>
      <c r="K133" s="40"/>
      <c r="L133" s="40"/>
      <c r="M133" s="40"/>
      <c r="N133" s="47"/>
      <c r="O133" s="40"/>
      <c r="P133" s="40"/>
      <c r="Q133" s="40"/>
      <c r="R133" s="55"/>
      <c r="S133" s="41"/>
      <c r="T133" s="40"/>
    </row>
    <row r="134" spans="1:20" ht="24">
      <c r="A134" s="40" t="s">
        <v>655</v>
      </c>
      <c r="B134" s="40"/>
      <c r="C134" s="41"/>
      <c r="D134" s="40"/>
      <c r="E134" s="40" t="s">
        <v>3012</v>
      </c>
      <c r="F134" s="47">
        <f>LEN(G134)</f>
        <v>0</v>
      </c>
      <c r="G134" s="40"/>
      <c r="H134" s="40"/>
      <c r="I134" s="40"/>
      <c r="J134" s="40"/>
      <c r="K134" s="40"/>
      <c r="L134" s="40"/>
      <c r="M134" s="40"/>
      <c r="N134" s="47"/>
      <c r="O134" s="40"/>
      <c r="P134" s="40"/>
      <c r="Q134" s="40"/>
      <c r="R134" s="55"/>
      <c r="S134" s="41"/>
      <c r="T134" s="40"/>
    </row>
    <row r="135" spans="1:20" ht="24">
      <c r="A135" s="40" t="s">
        <v>655</v>
      </c>
      <c r="B135" s="40"/>
      <c r="C135" s="41"/>
      <c r="D135" s="40"/>
      <c r="E135" s="40" t="s">
        <v>3012</v>
      </c>
      <c r="F135" s="47">
        <f>LEN(G135)</f>
        <v>0</v>
      </c>
      <c r="G135" s="40"/>
      <c r="H135" s="40"/>
      <c r="I135" s="40"/>
      <c r="J135" s="40"/>
      <c r="K135" s="40"/>
      <c r="L135" s="40"/>
      <c r="M135" s="40"/>
      <c r="N135" s="47"/>
      <c r="O135" s="40"/>
      <c r="P135" s="40"/>
      <c r="Q135" s="40"/>
      <c r="R135" s="55"/>
      <c r="S135" s="41"/>
      <c r="T135" s="40"/>
    </row>
    <row r="136" spans="1:20" ht="24">
      <c r="A136" s="40" t="s">
        <v>655</v>
      </c>
      <c r="B136" s="40"/>
      <c r="C136" s="41"/>
      <c r="D136" s="40"/>
      <c r="E136" s="40" t="s">
        <v>3012</v>
      </c>
      <c r="F136" s="47">
        <f>LEN(G136)</f>
        <v>0</v>
      </c>
      <c r="G136" s="40"/>
      <c r="H136" s="40"/>
      <c r="I136" s="40"/>
      <c r="J136" s="40"/>
      <c r="K136" s="40"/>
      <c r="L136" s="40"/>
      <c r="M136" s="40"/>
      <c r="N136" s="47"/>
      <c r="O136" s="40"/>
      <c r="P136" s="40"/>
      <c r="Q136" s="40"/>
      <c r="R136" s="55"/>
      <c r="S136" s="41"/>
      <c r="T136" s="40"/>
    </row>
    <row r="137" spans="1:20" ht="24">
      <c r="A137" s="40" t="s">
        <v>655</v>
      </c>
      <c r="B137" s="40"/>
      <c r="C137" s="41"/>
      <c r="D137" s="40"/>
      <c r="E137" s="40" t="s">
        <v>3012</v>
      </c>
      <c r="F137" s="47">
        <f>LEN(G137)</f>
        <v>0</v>
      </c>
      <c r="G137" s="40"/>
      <c r="H137" s="40"/>
      <c r="I137" s="40"/>
      <c r="J137" s="40"/>
      <c r="K137" s="40"/>
      <c r="L137" s="40"/>
      <c r="M137" s="40"/>
      <c r="N137" s="47"/>
      <c r="O137" s="40"/>
      <c r="P137" s="40"/>
      <c r="Q137" s="40"/>
      <c r="R137" s="55"/>
      <c r="S137" s="41"/>
      <c r="T137" s="40"/>
    </row>
    <row r="138" spans="1:20" ht="24">
      <c r="A138" s="40" t="s">
        <v>655</v>
      </c>
      <c r="B138" s="40"/>
      <c r="C138" s="41"/>
      <c r="D138" s="40"/>
      <c r="E138" s="40" t="s">
        <v>3012</v>
      </c>
      <c r="F138" s="47">
        <f>LEN(G138)</f>
        <v>0</v>
      </c>
      <c r="G138" s="40"/>
      <c r="H138" s="40"/>
      <c r="I138" s="40"/>
      <c r="J138" s="40"/>
      <c r="K138" s="40"/>
      <c r="L138" s="40"/>
      <c r="M138" s="40"/>
      <c r="N138" s="47"/>
      <c r="O138" s="40"/>
      <c r="P138" s="40"/>
      <c r="Q138" s="40"/>
      <c r="R138" s="55"/>
      <c r="S138" s="41"/>
      <c r="T138" s="40"/>
    </row>
    <row r="139" spans="1:20" ht="24">
      <c r="A139" s="40" t="s">
        <v>655</v>
      </c>
      <c r="B139" s="40"/>
      <c r="C139" s="41"/>
      <c r="D139" s="40"/>
      <c r="E139" s="40" t="s">
        <v>3012</v>
      </c>
      <c r="F139" s="47">
        <f>LEN(G139)</f>
        <v>0</v>
      </c>
      <c r="G139" s="40"/>
      <c r="H139" s="40"/>
      <c r="I139" s="40"/>
      <c r="J139" s="40"/>
      <c r="K139" s="40"/>
      <c r="L139" s="40"/>
      <c r="M139" s="40"/>
      <c r="N139" s="47"/>
      <c r="O139" s="40"/>
      <c r="P139" s="40"/>
      <c r="Q139" s="40"/>
      <c r="R139" s="55"/>
      <c r="S139" s="41"/>
      <c r="T139" s="40"/>
    </row>
    <row r="140" spans="1:20" ht="24">
      <c r="A140" s="40" t="s">
        <v>655</v>
      </c>
      <c r="B140" s="40"/>
      <c r="C140" s="41"/>
      <c r="D140" s="40"/>
      <c r="E140" s="40" t="s">
        <v>3012</v>
      </c>
      <c r="F140" s="47">
        <f>LEN(G140)</f>
        <v>0</v>
      </c>
      <c r="G140" s="40"/>
      <c r="H140" s="40"/>
      <c r="I140" s="40"/>
      <c r="J140" s="40"/>
      <c r="K140" s="40"/>
      <c r="L140" s="40"/>
      <c r="M140" s="40"/>
      <c r="N140" s="47"/>
      <c r="O140" s="40"/>
      <c r="P140" s="40"/>
      <c r="Q140" s="40"/>
      <c r="R140" s="55"/>
      <c r="S140" s="41"/>
      <c r="T140" s="40"/>
    </row>
    <row r="141" spans="1:20" ht="24">
      <c r="A141" s="40" t="s">
        <v>655</v>
      </c>
      <c r="B141" s="40"/>
      <c r="C141" s="41"/>
      <c r="D141" s="40"/>
      <c r="E141" s="40" t="s">
        <v>3012</v>
      </c>
      <c r="F141" s="47">
        <f>LEN(G141)</f>
        <v>0</v>
      </c>
      <c r="G141" s="40"/>
      <c r="H141" s="40"/>
      <c r="I141" s="40"/>
      <c r="J141" s="40"/>
      <c r="K141" s="40"/>
      <c r="L141" s="40"/>
      <c r="M141" s="40"/>
      <c r="N141" s="47"/>
      <c r="O141" s="40"/>
      <c r="P141" s="40"/>
      <c r="Q141" s="40"/>
      <c r="R141" s="55"/>
      <c r="S141" s="41"/>
      <c r="T141" s="40"/>
    </row>
    <row r="142" spans="1:20" ht="24">
      <c r="A142" s="40" t="s">
        <v>655</v>
      </c>
      <c r="B142" s="40"/>
      <c r="C142" s="41"/>
      <c r="D142" s="40"/>
      <c r="E142" s="40" t="s">
        <v>3012</v>
      </c>
      <c r="F142" s="47">
        <f>LEN(G142)</f>
        <v>0</v>
      </c>
      <c r="G142" s="40"/>
      <c r="H142" s="40"/>
      <c r="I142" s="40"/>
      <c r="J142" s="40"/>
      <c r="K142" s="40"/>
      <c r="L142" s="40"/>
      <c r="M142" s="40"/>
      <c r="N142" s="47"/>
      <c r="O142" s="40"/>
      <c r="P142" s="40"/>
      <c r="Q142" s="40"/>
      <c r="R142" s="55"/>
      <c r="S142" s="41"/>
      <c r="T142" s="40"/>
    </row>
    <row r="143" spans="1:20" ht="24">
      <c r="A143" s="40" t="s">
        <v>655</v>
      </c>
      <c r="B143" s="40"/>
      <c r="C143" s="41"/>
      <c r="D143" s="40"/>
      <c r="E143" s="40" t="s">
        <v>3012</v>
      </c>
      <c r="F143" s="47">
        <f>LEN(G143)</f>
        <v>0</v>
      </c>
      <c r="G143" s="40"/>
      <c r="H143" s="40"/>
      <c r="I143" s="40"/>
      <c r="J143" s="40"/>
      <c r="K143" s="40"/>
      <c r="L143" s="40"/>
      <c r="M143" s="40"/>
      <c r="N143" s="47"/>
      <c r="O143" s="40"/>
      <c r="P143" s="40"/>
      <c r="Q143" s="40"/>
      <c r="R143" s="55"/>
      <c r="S143" s="41"/>
      <c r="T143" s="40"/>
    </row>
    <row r="144" spans="1:20" ht="24">
      <c r="A144" s="40" t="s">
        <v>655</v>
      </c>
      <c r="B144" s="40"/>
      <c r="C144" s="41"/>
      <c r="D144" s="40"/>
      <c r="E144" s="40" t="s">
        <v>3012</v>
      </c>
      <c r="F144" s="47">
        <f>LEN(G144)</f>
        <v>0</v>
      </c>
      <c r="G144" s="40"/>
      <c r="H144" s="40"/>
      <c r="I144" s="40"/>
      <c r="J144" s="40"/>
      <c r="K144" s="40"/>
      <c r="L144" s="40"/>
      <c r="M144" s="40"/>
      <c r="N144" s="47"/>
      <c r="O144" s="40"/>
      <c r="P144" s="40"/>
      <c r="Q144" s="40"/>
      <c r="R144" s="55"/>
      <c r="S144" s="41"/>
      <c r="T144" s="40"/>
    </row>
    <row r="145" spans="1:20" ht="24">
      <c r="A145" s="40" t="s">
        <v>655</v>
      </c>
      <c r="B145" s="40"/>
      <c r="C145" s="41"/>
      <c r="D145" s="40"/>
      <c r="E145" s="40" t="s">
        <v>3012</v>
      </c>
      <c r="F145" s="47">
        <f>LEN(G145)</f>
        <v>0</v>
      </c>
      <c r="G145" s="40"/>
      <c r="H145" s="40"/>
      <c r="I145" s="40"/>
      <c r="J145" s="40"/>
      <c r="K145" s="40"/>
      <c r="L145" s="40"/>
      <c r="M145" s="40"/>
      <c r="N145" s="47"/>
      <c r="O145" s="40"/>
      <c r="P145" s="40"/>
      <c r="Q145" s="40"/>
      <c r="R145" s="55"/>
      <c r="S145" s="41"/>
      <c r="T145" s="40"/>
    </row>
    <row r="146" spans="1:20" ht="24">
      <c r="A146" s="40" t="s">
        <v>655</v>
      </c>
      <c r="B146" s="40"/>
      <c r="C146" s="41"/>
      <c r="D146" s="40"/>
      <c r="E146" s="40" t="s">
        <v>3012</v>
      </c>
      <c r="F146" s="47">
        <f>LEN(G146)</f>
        <v>0</v>
      </c>
      <c r="G146" s="40"/>
      <c r="H146" s="40"/>
      <c r="I146" s="40"/>
      <c r="J146" s="40"/>
      <c r="K146" s="40"/>
      <c r="L146" s="40"/>
      <c r="M146" s="40"/>
      <c r="N146" s="47"/>
      <c r="O146" s="40"/>
      <c r="P146" s="40"/>
      <c r="Q146" s="40"/>
      <c r="R146" s="55"/>
      <c r="S146" s="41"/>
      <c r="T146" s="40"/>
    </row>
    <row r="147" spans="1:20" ht="24">
      <c r="A147" s="40" t="s">
        <v>655</v>
      </c>
      <c r="B147" s="40"/>
      <c r="C147" s="41"/>
      <c r="D147" s="40"/>
      <c r="E147" s="40" t="s">
        <v>3012</v>
      </c>
      <c r="F147" s="47">
        <f>LEN(G147)</f>
        <v>0</v>
      </c>
      <c r="G147" s="40"/>
      <c r="H147" s="40"/>
      <c r="I147" s="40"/>
      <c r="J147" s="40"/>
      <c r="K147" s="40"/>
      <c r="L147" s="40"/>
      <c r="M147" s="40"/>
      <c r="N147" s="47"/>
      <c r="O147" s="40"/>
      <c r="P147" s="40"/>
      <c r="Q147" s="40"/>
      <c r="R147" s="55"/>
      <c r="S147" s="41"/>
      <c r="T147" s="40"/>
    </row>
    <row r="148" spans="1:20" ht="24">
      <c r="A148" s="40" t="s">
        <v>655</v>
      </c>
      <c r="B148" s="40"/>
      <c r="C148" s="41"/>
      <c r="D148" s="40"/>
      <c r="E148" s="40" t="s">
        <v>3012</v>
      </c>
      <c r="F148" s="47">
        <f>LEN(G148)</f>
        <v>0</v>
      </c>
      <c r="G148" s="40"/>
      <c r="H148" s="40"/>
      <c r="I148" s="40"/>
      <c r="J148" s="40"/>
      <c r="K148" s="40"/>
      <c r="L148" s="40"/>
      <c r="M148" s="40"/>
      <c r="N148" s="47"/>
      <c r="O148" s="40"/>
      <c r="P148" s="40"/>
      <c r="Q148" s="40"/>
      <c r="R148" s="55"/>
      <c r="S148" s="41"/>
      <c r="T148" s="40"/>
    </row>
    <row r="149" spans="1:20" ht="24">
      <c r="A149" s="40" t="s">
        <v>655</v>
      </c>
      <c r="B149" s="40"/>
      <c r="C149" s="41"/>
      <c r="D149" s="40"/>
      <c r="E149" s="40" t="s">
        <v>3012</v>
      </c>
      <c r="F149" s="47">
        <f>LEN(G149)</f>
        <v>0</v>
      </c>
      <c r="G149" s="40"/>
      <c r="H149" s="40"/>
      <c r="I149" s="40"/>
      <c r="J149" s="40"/>
      <c r="K149" s="40"/>
      <c r="L149" s="40"/>
      <c r="M149" s="40"/>
      <c r="N149" s="47"/>
      <c r="O149" s="40"/>
      <c r="P149" s="40"/>
      <c r="Q149" s="40"/>
      <c r="R149" s="55"/>
      <c r="S149" s="41"/>
      <c r="T149" s="40"/>
    </row>
    <row r="150" spans="1:20" ht="24">
      <c r="A150" s="40" t="s">
        <v>655</v>
      </c>
      <c r="B150" s="40"/>
      <c r="C150" s="41"/>
      <c r="D150" s="40"/>
      <c r="E150" s="40" t="s">
        <v>3012</v>
      </c>
      <c r="F150" s="47">
        <f>LEN(G150)</f>
        <v>0</v>
      </c>
      <c r="G150" s="40"/>
      <c r="H150" s="40"/>
      <c r="I150" s="40"/>
      <c r="J150" s="40"/>
      <c r="K150" s="40"/>
      <c r="L150" s="40"/>
      <c r="M150" s="40"/>
      <c r="N150" s="47"/>
      <c r="O150" s="40"/>
      <c r="P150" s="40"/>
      <c r="Q150" s="40"/>
      <c r="R150" s="55"/>
      <c r="S150" s="41"/>
      <c r="T150" s="40"/>
    </row>
    <row r="151" spans="1:20" ht="24">
      <c r="A151" s="40" t="s">
        <v>655</v>
      </c>
      <c r="B151" s="40"/>
      <c r="C151" s="41"/>
      <c r="D151" s="40"/>
      <c r="E151" s="40" t="s">
        <v>3012</v>
      </c>
      <c r="F151" s="47">
        <f>LEN(G151)</f>
        <v>0</v>
      </c>
      <c r="G151" s="40"/>
      <c r="H151" s="40"/>
      <c r="I151" s="40"/>
      <c r="J151" s="40"/>
      <c r="K151" s="40"/>
      <c r="L151" s="40"/>
      <c r="M151" s="40"/>
      <c r="N151" s="47"/>
      <c r="O151" s="40"/>
      <c r="P151" s="40"/>
      <c r="Q151" s="40"/>
      <c r="R151" s="55"/>
      <c r="S151" s="41"/>
      <c r="T151" s="40"/>
    </row>
    <row r="152" spans="1:20" ht="24">
      <c r="A152" s="40" t="s">
        <v>655</v>
      </c>
      <c r="B152" s="40"/>
      <c r="C152" s="41"/>
      <c r="D152" s="40"/>
      <c r="E152" s="40" t="s">
        <v>3012</v>
      </c>
      <c r="F152" s="47">
        <f>LEN(G152)</f>
        <v>0</v>
      </c>
      <c r="G152" s="40"/>
      <c r="H152" s="40"/>
      <c r="I152" s="40"/>
      <c r="J152" s="40"/>
      <c r="K152" s="40"/>
      <c r="L152" s="40"/>
      <c r="M152" s="40"/>
      <c r="N152" s="47"/>
      <c r="O152" s="40"/>
      <c r="P152" s="40"/>
      <c r="Q152" s="40"/>
      <c r="R152" s="55"/>
      <c r="S152" s="41"/>
      <c r="T152" s="40"/>
    </row>
    <row r="153" spans="1:20" ht="24">
      <c r="A153" s="40" t="s">
        <v>655</v>
      </c>
      <c r="B153" s="40"/>
      <c r="C153" s="41"/>
      <c r="D153" s="40"/>
      <c r="E153" s="40" t="s">
        <v>3012</v>
      </c>
      <c r="F153" s="47">
        <f>LEN(G153)</f>
        <v>0</v>
      </c>
      <c r="G153" s="40"/>
      <c r="H153" s="40"/>
      <c r="I153" s="40"/>
      <c r="J153" s="40"/>
      <c r="K153" s="40"/>
      <c r="L153" s="40"/>
      <c r="M153" s="40"/>
      <c r="N153" s="47"/>
      <c r="O153" s="40"/>
      <c r="P153" s="40"/>
      <c r="Q153" s="40"/>
      <c r="R153" s="55"/>
      <c r="S153" s="41"/>
      <c r="T153" s="40"/>
    </row>
    <row r="154" spans="1:20" ht="24">
      <c r="A154" s="40" t="s">
        <v>655</v>
      </c>
      <c r="B154" s="40"/>
      <c r="C154" s="41"/>
      <c r="D154" s="40"/>
      <c r="E154" s="40" t="s">
        <v>3012</v>
      </c>
      <c r="F154" s="47">
        <f>LEN(G154)</f>
        <v>0</v>
      </c>
      <c r="G154" s="40"/>
      <c r="H154" s="40"/>
      <c r="I154" s="40"/>
      <c r="J154" s="40"/>
      <c r="K154" s="40"/>
      <c r="L154" s="40"/>
      <c r="M154" s="40"/>
      <c r="N154" s="47"/>
      <c r="O154" s="40"/>
      <c r="P154" s="40"/>
      <c r="Q154" s="40"/>
      <c r="R154" s="55"/>
      <c r="S154" s="41"/>
      <c r="T154" s="40"/>
    </row>
    <row r="155" spans="1:20" ht="24">
      <c r="A155" s="40" t="s">
        <v>655</v>
      </c>
      <c r="B155" s="40"/>
      <c r="C155" s="41"/>
      <c r="D155" s="40"/>
      <c r="E155" s="40" t="s">
        <v>3012</v>
      </c>
      <c r="F155" s="47">
        <f>LEN(G155)</f>
        <v>0</v>
      </c>
      <c r="G155" s="40"/>
      <c r="H155" s="40"/>
      <c r="I155" s="40"/>
      <c r="J155" s="40"/>
      <c r="K155" s="40"/>
      <c r="L155" s="40"/>
      <c r="M155" s="40"/>
      <c r="N155" s="47"/>
      <c r="O155" s="40"/>
      <c r="P155" s="40"/>
      <c r="Q155" s="40"/>
      <c r="R155" s="55"/>
      <c r="S155" s="41"/>
      <c r="T155" s="40"/>
    </row>
    <row r="156" spans="1:20" ht="24">
      <c r="A156" s="40" t="s">
        <v>655</v>
      </c>
      <c r="B156" s="40"/>
      <c r="C156" s="41"/>
      <c r="D156" s="40"/>
      <c r="E156" s="40" t="s">
        <v>3012</v>
      </c>
      <c r="F156" s="47">
        <f>LEN(G156)</f>
        <v>0</v>
      </c>
      <c r="G156" s="40"/>
      <c r="H156" s="40"/>
      <c r="I156" s="40"/>
      <c r="J156" s="40"/>
      <c r="K156" s="40"/>
      <c r="L156" s="40"/>
      <c r="M156" s="40"/>
      <c r="N156" s="47"/>
      <c r="O156" s="40"/>
      <c r="P156" s="40"/>
      <c r="Q156" s="40"/>
      <c r="R156" s="55"/>
      <c r="S156" s="41"/>
      <c r="T156" s="40"/>
    </row>
    <row r="157" spans="1:20" ht="24">
      <c r="A157" s="40" t="s">
        <v>655</v>
      </c>
      <c r="B157" s="40"/>
      <c r="C157" s="41"/>
      <c r="D157" s="40"/>
      <c r="E157" s="40" t="s">
        <v>3012</v>
      </c>
      <c r="F157" s="47">
        <f>LEN(G157)</f>
        <v>0</v>
      </c>
      <c r="G157" s="40"/>
      <c r="H157" s="40"/>
      <c r="I157" s="40"/>
      <c r="J157" s="40"/>
      <c r="K157" s="40"/>
      <c r="L157" s="40"/>
      <c r="M157" s="40"/>
      <c r="N157" s="47"/>
      <c r="O157" s="40"/>
      <c r="P157" s="40"/>
      <c r="Q157" s="40"/>
      <c r="R157" s="55"/>
      <c r="S157" s="41"/>
      <c r="T157" s="40"/>
    </row>
    <row r="158" spans="1:20" ht="24">
      <c r="A158" s="40" t="s">
        <v>655</v>
      </c>
      <c r="B158" s="40"/>
      <c r="C158" s="41"/>
      <c r="D158" s="40"/>
      <c r="E158" s="40" t="s">
        <v>3012</v>
      </c>
      <c r="F158" s="47">
        <f>LEN(G158)</f>
        <v>0</v>
      </c>
      <c r="G158" s="40"/>
      <c r="H158" s="40"/>
      <c r="I158" s="40"/>
      <c r="J158" s="40"/>
      <c r="K158" s="40"/>
      <c r="L158" s="40"/>
      <c r="M158" s="40"/>
      <c r="N158" s="47"/>
      <c r="O158" s="40"/>
      <c r="P158" s="40"/>
      <c r="Q158" s="40"/>
      <c r="R158" s="55"/>
      <c r="S158" s="41"/>
      <c r="T158" s="40"/>
    </row>
    <row r="159" spans="1:20" ht="24">
      <c r="A159" s="40" t="s">
        <v>655</v>
      </c>
      <c r="B159" s="40"/>
      <c r="C159" s="41"/>
      <c r="D159" s="40"/>
      <c r="E159" s="40" t="s">
        <v>3012</v>
      </c>
      <c r="F159" s="47">
        <f>LEN(G159)</f>
        <v>0</v>
      </c>
      <c r="G159" s="40"/>
      <c r="H159" s="40"/>
      <c r="I159" s="40"/>
      <c r="J159" s="40"/>
      <c r="K159" s="40"/>
      <c r="L159" s="40"/>
      <c r="M159" s="40"/>
      <c r="N159" s="47"/>
      <c r="O159" s="40"/>
      <c r="P159" s="40"/>
      <c r="Q159" s="40"/>
      <c r="R159" s="55"/>
      <c r="S159" s="41"/>
      <c r="T159" s="40"/>
    </row>
    <row r="160" spans="1:20" ht="24">
      <c r="A160" s="40" t="s">
        <v>655</v>
      </c>
      <c r="B160" s="40"/>
      <c r="C160" s="41"/>
      <c r="D160" s="40"/>
      <c r="E160" s="40" t="s">
        <v>3012</v>
      </c>
      <c r="F160" s="47">
        <f>LEN(G160)</f>
        <v>0</v>
      </c>
      <c r="G160" s="40"/>
      <c r="H160" s="40"/>
      <c r="I160" s="40"/>
      <c r="J160" s="40"/>
      <c r="K160" s="40"/>
      <c r="L160" s="40"/>
      <c r="M160" s="40"/>
      <c r="N160" s="47"/>
      <c r="O160" s="40"/>
      <c r="P160" s="40"/>
      <c r="Q160" s="40"/>
      <c r="R160" s="55"/>
      <c r="S160" s="41"/>
      <c r="T160" s="40"/>
    </row>
    <row r="161" spans="1:20" ht="24">
      <c r="A161" s="40" t="s">
        <v>655</v>
      </c>
      <c r="B161" s="40"/>
      <c r="C161" s="41"/>
      <c r="D161" s="40"/>
      <c r="E161" s="40" t="s">
        <v>3012</v>
      </c>
      <c r="F161" s="47">
        <f>LEN(G161)</f>
        <v>0</v>
      </c>
      <c r="G161" s="40"/>
      <c r="H161" s="40"/>
      <c r="I161" s="40"/>
      <c r="J161" s="40"/>
      <c r="K161" s="40"/>
      <c r="L161" s="40"/>
      <c r="M161" s="40"/>
      <c r="N161" s="47"/>
      <c r="O161" s="40"/>
      <c r="P161" s="40"/>
      <c r="Q161" s="40"/>
      <c r="R161" s="55"/>
      <c r="S161" s="41"/>
      <c r="T161" s="40"/>
    </row>
    <row r="162" spans="1:20" ht="24">
      <c r="A162" s="40" t="s">
        <v>655</v>
      </c>
      <c r="B162" s="40"/>
      <c r="C162" s="41"/>
      <c r="D162" s="40"/>
      <c r="E162" s="40" t="s">
        <v>3012</v>
      </c>
      <c r="F162" s="47">
        <f>LEN(G162)</f>
        <v>0</v>
      </c>
      <c r="G162" s="40"/>
      <c r="H162" s="40"/>
      <c r="I162" s="40"/>
      <c r="J162" s="40"/>
      <c r="K162" s="40"/>
      <c r="L162" s="40"/>
      <c r="M162" s="40"/>
      <c r="N162" s="47"/>
      <c r="O162" s="40"/>
      <c r="P162" s="40"/>
      <c r="Q162" s="40"/>
      <c r="R162" s="55"/>
      <c r="S162" s="41"/>
      <c r="T162" s="40"/>
    </row>
    <row r="163" spans="1:20" ht="24">
      <c r="A163" s="40" t="s">
        <v>655</v>
      </c>
      <c r="B163" s="40"/>
      <c r="C163" s="41"/>
      <c r="D163" s="40"/>
      <c r="E163" s="40" t="s">
        <v>3012</v>
      </c>
      <c r="F163" s="47">
        <f>LEN(G163)</f>
        <v>0</v>
      </c>
      <c r="G163" s="40"/>
      <c r="H163" s="40"/>
      <c r="I163" s="40"/>
      <c r="J163" s="40"/>
      <c r="K163" s="40"/>
      <c r="L163" s="40"/>
      <c r="M163" s="40"/>
      <c r="N163" s="47"/>
      <c r="O163" s="40"/>
      <c r="P163" s="40"/>
      <c r="Q163" s="40"/>
      <c r="R163" s="55"/>
      <c r="S163" s="41"/>
      <c r="T163" s="40"/>
    </row>
    <row r="164" spans="1:20" ht="24">
      <c r="A164" s="40" t="s">
        <v>655</v>
      </c>
      <c r="B164" s="40"/>
      <c r="C164" s="41"/>
      <c r="D164" s="40"/>
      <c r="E164" s="40" t="s">
        <v>3012</v>
      </c>
      <c r="F164" s="47">
        <f>LEN(G164)</f>
        <v>0</v>
      </c>
      <c r="G164" s="40"/>
      <c r="H164" s="40"/>
      <c r="I164" s="40"/>
      <c r="J164" s="40"/>
      <c r="K164" s="40"/>
      <c r="L164" s="40"/>
      <c r="M164" s="40"/>
      <c r="N164" s="47"/>
      <c r="O164" s="40"/>
      <c r="P164" s="40"/>
      <c r="Q164" s="40"/>
      <c r="R164" s="55"/>
      <c r="S164" s="41"/>
      <c r="T164" s="40"/>
    </row>
    <row r="165" spans="1:20" ht="24">
      <c r="A165" s="40" t="s">
        <v>655</v>
      </c>
      <c r="B165" s="40"/>
      <c r="C165" s="41"/>
      <c r="D165" s="40"/>
      <c r="E165" s="40" t="s">
        <v>3012</v>
      </c>
      <c r="F165" s="47">
        <f>LEN(G165)</f>
        <v>0</v>
      </c>
      <c r="G165" s="40"/>
      <c r="H165" s="40"/>
      <c r="I165" s="40"/>
      <c r="J165" s="40"/>
      <c r="K165" s="40"/>
      <c r="L165" s="40"/>
      <c r="M165" s="40"/>
      <c r="N165" s="47"/>
      <c r="O165" s="40"/>
      <c r="P165" s="40"/>
      <c r="Q165" s="40"/>
      <c r="R165" s="55"/>
      <c r="S165" s="41"/>
      <c r="T165" s="40"/>
    </row>
    <row r="166" spans="1:20" ht="24">
      <c r="A166" s="40" t="s">
        <v>655</v>
      </c>
      <c r="B166" s="40"/>
      <c r="C166" s="41"/>
      <c r="D166" s="40"/>
      <c r="E166" s="40" t="s">
        <v>3012</v>
      </c>
      <c r="F166" s="47">
        <f>LEN(G166)</f>
        <v>0</v>
      </c>
      <c r="G166" s="40"/>
      <c r="H166" s="40"/>
      <c r="I166" s="40"/>
      <c r="J166" s="40"/>
      <c r="K166" s="40"/>
      <c r="L166" s="40"/>
      <c r="M166" s="40"/>
      <c r="N166" s="47"/>
      <c r="O166" s="40"/>
      <c r="P166" s="40"/>
      <c r="Q166" s="40"/>
      <c r="R166" s="55"/>
      <c r="S166" s="41"/>
      <c r="T166" s="40"/>
    </row>
    <row r="167" spans="1:20" ht="24">
      <c r="A167" s="40" t="s">
        <v>655</v>
      </c>
      <c r="B167" s="40"/>
      <c r="C167" s="41"/>
      <c r="D167" s="40"/>
      <c r="E167" s="40" t="s">
        <v>3012</v>
      </c>
      <c r="F167" s="47">
        <f>LEN(G167)</f>
        <v>0</v>
      </c>
      <c r="G167" s="40"/>
      <c r="H167" s="40"/>
      <c r="I167" s="40"/>
      <c r="J167" s="40"/>
      <c r="K167" s="40"/>
      <c r="L167" s="40"/>
      <c r="M167" s="40"/>
      <c r="N167" s="47"/>
      <c r="O167" s="40"/>
      <c r="P167" s="40"/>
      <c r="Q167" s="40"/>
      <c r="R167" s="55"/>
      <c r="S167" s="41"/>
      <c r="T167" s="40"/>
    </row>
    <row r="168" spans="1:20" ht="24">
      <c r="A168" s="40" t="s">
        <v>655</v>
      </c>
      <c r="B168" s="40"/>
      <c r="C168" s="41"/>
      <c r="D168" s="40"/>
      <c r="E168" s="40" t="s">
        <v>3012</v>
      </c>
      <c r="F168" s="47">
        <f>LEN(G168)</f>
        <v>0</v>
      </c>
      <c r="G168" s="40"/>
      <c r="H168" s="40"/>
      <c r="I168" s="40"/>
      <c r="J168" s="40"/>
      <c r="K168" s="40"/>
      <c r="L168" s="40"/>
      <c r="M168" s="40"/>
      <c r="N168" s="47"/>
      <c r="O168" s="40"/>
      <c r="P168" s="40"/>
      <c r="Q168" s="40"/>
      <c r="R168" s="55"/>
      <c r="S168" s="41"/>
      <c r="T168" s="40"/>
    </row>
    <row r="169" spans="1:20" ht="24">
      <c r="A169" s="40" t="s">
        <v>655</v>
      </c>
      <c r="B169" s="40"/>
      <c r="C169" s="41"/>
      <c r="D169" s="40"/>
      <c r="E169" s="40" t="s">
        <v>3012</v>
      </c>
      <c r="F169" s="47">
        <f>LEN(G169)</f>
        <v>0</v>
      </c>
      <c r="G169" s="40"/>
      <c r="H169" s="40"/>
      <c r="I169" s="40"/>
      <c r="J169" s="40"/>
      <c r="K169" s="40"/>
      <c r="L169" s="40"/>
      <c r="M169" s="40"/>
      <c r="N169" s="47"/>
      <c r="O169" s="40"/>
      <c r="P169" s="40"/>
      <c r="Q169" s="40"/>
      <c r="R169" s="55"/>
      <c r="S169" s="41"/>
      <c r="T169" s="40"/>
    </row>
    <row r="170" spans="1:20" ht="24">
      <c r="A170" s="40" t="s">
        <v>655</v>
      </c>
      <c r="B170" s="40"/>
      <c r="C170" s="41"/>
      <c r="D170" s="40"/>
      <c r="E170" s="40" t="s">
        <v>3012</v>
      </c>
      <c r="F170" s="47">
        <f>LEN(G170)</f>
        <v>0</v>
      </c>
      <c r="G170" s="40"/>
      <c r="H170" s="40"/>
      <c r="I170" s="40"/>
      <c r="J170" s="40"/>
      <c r="K170" s="40"/>
      <c r="L170" s="40"/>
      <c r="M170" s="40"/>
      <c r="N170" s="47"/>
      <c r="O170" s="40"/>
      <c r="P170" s="40"/>
      <c r="Q170" s="40"/>
      <c r="R170" s="55"/>
      <c r="S170" s="41"/>
      <c r="T170" s="40"/>
    </row>
    <row r="171" spans="1:20" ht="24">
      <c r="A171" s="40" t="s">
        <v>655</v>
      </c>
      <c r="B171" s="40"/>
      <c r="C171" s="41"/>
      <c r="D171" s="40"/>
      <c r="E171" s="40" t="s">
        <v>3012</v>
      </c>
      <c r="F171" s="47">
        <f>LEN(G171)</f>
        <v>0</v>
      </c>
      <c r="G171" s="40"/>
      <c r="H171" s="40"/>
      <c r="I171" s="40"/>
      <c r="J171" s="40"/>
      <c r="K171" s="40"/>
      <c r="L171" s="40"/>
      <c r="M171" s="40"/>
      <c r="N171" s="47"/>
      <c r="O171" s="40"/>
      <c r="P171" s="40"/>
      <c r="Q171" s="40"/>
      <c r="R171" s="55"/>
      <c r="S171" s="41"/>
      <c r="T171" s="40"/>
    </row>
    <row r="172" spans="1:20" ht="24">
      <c r="A172" s="40" t="s">
        <v>655</v>
      </c>
      <c r="B172" s="40"/>
      <c r="C172" s="41"/>
      <c r="D172" s="40"/>
      <c r="E172" s="40" t="s">
        <v>3012</v>
      </c>
      <c r="F172" s="47">
        <f>LEN(G172)</f>
        <v>0</v>
      </c>
      <c r="G172" s="40"/>
      <c r="H172" s="40"/>
      <c r="I172" s="40"/>
      <c r="J172" s="40"/>
      <c r="K172" s="40"/>
      <c r="L172" s="40"/>
      <c r="M172" s="40"/>
      <c r="N172" s="47"/>
      <c r="O172" s="40"/>
      <c r="P172" s="40"/>
      <c r="Q172" s="40"/>
      <c r="R172" s="55"/>
      <c r="S172" s="41"/>
      <c r="T172" s="40"/>
    </row>
    <row r="173" spans="1:20" ht="24">
      <c r="A173" s="40" t="s">
        <v>655</v>
      </c>
      <c r="B173" s="40"/>
      <c r="C173" s="41"/>
      <c r="D173" s="40"/>
      <c r="E173" s="40" t="s">
        <v>3012</v>
      </c>
      <c r="F173" s="47">
        <f>LEN(G173)</f>
        <v>0</v>
      </c>
      <c r="G173" s="40"/>
      <c r="H173" s="40"/>
      <c r="I173" s="40"/>
      <c r="J173" s="40"/>
      <c r="K173" s="40"/>
      <c r="L173" s="40"/>
      <c r="M173" s="40"/>
      <c r="N173" s="47"/>
      <c r="O173" s="40"/>
      <c r="P173" s="40"/>
      <c r="Q173" s="40"/>
      <c r="R173" s="55"/>
      <c r="S173" s="41"/>
      <c r="T173" s="40"/>
    </row>
    <row r="174" spans="1:20" ht="24">
      <c r="A174" s="40" t="s">
        <v>655</v>
      </c>
      <c r="B174" s="40"/>
      <c r="C174" s="41"/>
      <c r="D174" s="40"/>
      <c r="E174" s="40" t="s">
        <v>3012</v>
      </c>
      <c r="F174" s="47">
        <f>LEN(G174)</f>
        <v>0</v>
      </c>
      <c r="G174" s="40"/>
      <c r="H174" s="40"/>
      <c r="I174" s="40"/>
      <c r="J174" s="40"/>
      <c r="K174" s="40"/>
      <c r="L174" s="40"/>
      <c r="M174" s="40"/>
      <c r="N174" s="47"/>
      <c r="O174" s="40"/>
      <c r="P174" s="40"/>
      <c r="Q174" s="40"/>
      <c r="R174" s="55"/>
      <c r="S174" s="41"/>
      <c r="T174" s="40"/>
    </row>
    <row r="175" spans="1:20" ht="24">
      <c r="A175" s="40" t="s">
        <v>655</v>
      </c>
      <c r="B175" s="40"/>
      <c r="C175" s="41"/>
      <c r="D175" s="40"/>
      <c r="E175" s="40" t="s">
        <v>3012</v>
      </c>
      <c r="F175" s="47">
        <f>LEN(G175)</f>
        <v>0</v>
      </c>
      <c r="G175" s="40"/>
      <c r="H175" s="40"/>
      <c r="I175" s="40"/>
      <c r="J175" s="40"/>
      <c r="K175" s="40"/>
      <c r="L175" s="40"/>
      <c r="M175" s="40"/>
      <c r="N175" s="47"/>
      <c r="O175" s="40"/>
      <c r="P175" s="40"/>
      <c r="Q175" s="40"/>
      <c r="R175" s="55"/>
      <c r="S175" s="41"/>
      <c r="T175" s="40"/>
    </row>
    <row r="176" spans="1:20" ht="24">
      <c r="A176" s="40" t="s">
        <v>655</v>
      </c>
      <c r="B176" s="40"/>
      <c r="C176" s="41"/>
      <c r="D176" s="40"/>
      <c r="E176" s="40" t="s">
        <v>3012</v>
      </c>
      <c r="F176" s="47">
        <f>LEN(G176)</f>
        <v>0</v>
      </c>
      <c r="G176" s="40"/>
      <c r="H176" s="40"/>
      <c r="I176" s="40"/>
      <c r="J176" s="40"/>
      <c r="K176" s="40"/>
      <c r="L176" s="40"/>
      <c r="M176" s="40"/>
      <c r="N176" s="47"/>
      <c r="O176" s="40"/>
      <c r="P176" s="40"/>
      <c r="Q176" s="40"/>
      <c r="R176" s="55"/>
      <c r="S176" s="41"/>
      <c r="T176" s="40"/>
    </row>
    <row r="177" spans="1:20" ht="24">
      <c r="A177" s="40" t="s">
        <v>655</v>
      </c>
      <c r="B177" s="40"/>
      <c r="C177" s="41"/>
      <c r="D177" s="40"/>
      <c r="E177" s="40" t="s">
        <v>3012</v>
      </c>
      <c r="F177" s="47">
        <f>LEN(G177)</f>
        <v>0</v>
      </c>
      <c r="G177" s="40"/>
      <c r="H177" s="40"/>
      <c r="I177" s="40"/>
      <c r="J177" s="40"/>
      <c r="K177" s="40"/>
      <c r="L177" s="40"/>
      <c r="M177" s="40"/>
      <c r="N177" s="47"/>
      <c r="O177" s="40"/>
      <c r="P177" s="40"/>
      <c r="Q177" s="40"/>
      <c r="R177" s="55"/>
      <c r="S177" s="41"/>
      <c r="T177" s="40"/>
    </row>
    <row r="178" spans="1:20" ht="24">
      <c r="A178" s="40" t="s">
        <v>655</v>
      </c>
      <c r="B178" s="40"/>
      <c r="C178" s="41"/>
      <c r="D178" s="40"/>
      <c r="E178" s="40" t="s">
        <v>3012</v>
      </c>
      <c r="F178" s="47">
        <f>LEN(G178)</f>
        <v>0</v>
      </c>
      <c r="G178" s="40"/>
      <c r="H178" s="40"/>
      <c r="I178" s="40"/>
      <c r="J178" s="40"/>
      <c r="K178" s="40"/>
      <c r="L178" s="40"/>
      <c r="M178" s="40"/>
      <c r="N178" s="47"/>
      <c r="O178" s="40"/>
      <c r="P178" s="40"/>
      <c r="Q178" s="40"/>
      <c r="R178" s="55"/>
      <c r="S178" s="41"/>
      <c r="T178" s="40"/>
    </row>
    <row r="179" spans="1:20" ht="24">
      <c r="A179" s="40" t="s">
        <v>655</v>
      </c>
      <c r="B179" s="40"/>
      <c r="C179" s="41"/>
      <c r="D179" s="40"/>
      <c r="E179" s="40" t="s">
        <v>3012</v>
      </c>
      <c r="F179" s="47">
        <f>LEN(G179)</f>
        <v>0</v>
      </c>
      <c r="G179" s="40"/>
      <c r="H179" s="40"/>
      <c r="I179" s="40"/>
      <c r="J179" s="40"/>
      <c r="K179" s="40"/>
      <c r="L179" s="40"/>
      <c r="M179" s="40"/>
      <c r="N179" s="47"/>
      <c r="O179" s="40"/>
      <c r="P179" s="40"/>
      <c r="Q179" s="40"/>
      <c r="R179" s="55"/>
      <c r="S179" s="41"/>
      <c r="T179" s="40"/>
    </row>
    <row r="180" spans="1:20" ht="24">
      <c r="A180" s="40" t="s">
        <v>655</v>
      </c>
      <c r="B180" s="40"/>
      <c r="C180" s="41"/>
      <c r="D180" s="40"/>
      <c r="E180" s="40" t="s">
        <v>3012</v>
      </c>
      <c r="F180" s="47">
        <f>LEN(G180)</f>
        <v>0</v>
      </c>
      <c r="G180" s="40"/>
      <c r="H180" s="40"/>
      <c r="I180" s="40"/>
      <c r="J180" s="40"/>
      <c r="K180" s="40"/>
      <c r="L180" s="40"/>
      <c r="M180" s="40"/>
      <c r="N180" s="47"/>
      <c r="O180" s="40"/>
      <c r="P180" s="40"/>
      <c r="Q180" s="40"/>
      <c r="R180" s="55"/>
      <c r="S180" s="41"/>
      <c r="T180" s="40"/>
    </row>
    <row r="181" spans="1:20" ht="24">
      <c r="A181" s="40" t="s">
        <v>655</v>
      </c>
      <c r="B181" s="40"/>
      <c r="C181" s="41"/>
      <c r="D181" s="40"/>
      <c r="E181" s="40" t="s">
        <v>3012</v>
      </c>
      <c r="F181" s="47">
        <f>LEN(G181)</f>
        <v>0</v>
      </c>
      <c r="G181" s="40"/>
      <c r="H181" s="40"/>
      <c r="I181" s="40"/>
      <c r="J181" s="40"/>
      <c r="K181" s="40"/>
      <c r="L181" s="40"/>
      <c r="M181" s="40"/>
      <c r="N181" s="47"/>
      <c r="O181" s="40"/>
      <c r="P181" s="40"/>
      <c r="Q181" s="40"/>
      <c r="R181" s="55"/>
      <c r="S181" s="41"/>
      <c r="T181" s="40"/>
    </row>
    <row r="182" spans="1:20" ht="24">
      <c r="A182" s="40" t="s">
        <v>655</v>
      </c>
      <c r="B182" s="40"/>
      <c r="C182" s="41"/>
      <c r="D182" s="40"/>
      <c r="E182" s="40" t="s">
        <v>3012</v>
      </c>
      <c r="F182" s="47">
        <f>LEN(G182)</f>
        <v>0</v>
      </c>
      <c r="G182" s="40"/>
      <c r="H182" s="40"/>
      <c r="I182" s="40"/>
      <c r="J182" s="40"/>
      <c r="K182" s="40"/>
      <c r="L182" s="40"/>
      <c r="M182" s="40"/>
      <c r="N182" s="47"/>
      <c r="O182" s="40"/>
      <c r="P182" s="40"/>
      <c r="Q182" s="40"/>
      <c r="R182" s="55"/>
      <c r="S182" s="41"/>
      <c r="T182" s="40"/>
    </row>
    <row r="183" spans="1:20" ht="24">
      <c r="A183" s="40" t="s">
        <v>655</v>
      </c>
      <c r="B183" s="40"/>
      <c r="C183" s="41"/>
      <c r="D183" s="40"/>
      <c r="E183" s="40" t="s">
        <v>3012</v>
      </c>
      <c r="F183" s="47">
        <f>LEN(G183)</f>
        <v>0</v>
      </c>
      <c r="G183" s="40"/>
      <c r="H183" s="40"/>
      <c r="I183" s="40"/>
      <c r="J183" s="40"/>
      <c r="K183" s="40"/>
      <c r="L183" s="40"/>
      <c r="M183" s="40"/>
      <c r="N183" s="47"/>
      <c r="O183" s="40"/>
      <c r="P183" s="40"/>
      <c r="Q183" s="40"/>
      <c r="R183" s="55"/>
      <c r="S183" s="41"/>
      <c r="T183" s="40"/>
    </row>
    <row r="184" spans="1:20" ht="24">
      <c r="A184" s="40" t="s">
        <v>655</v>
      </c>
      <c r="B184" s="40"/>
      <c r="C184" s="41"/>
      <c r="D184" s="40"/>
      <c r="E184" s="40" t="s">
        <v>3012</v>
      </c>
      <c r="F184" s="47">
        <f>LEN(G184)</f>
        <v>0</v>
      </c>
      <c r="G184" s="40"/>
      <c r="H184" s="40"/>
      <c r="I184" s="40"/>
      <c r="J184" s="40"/>
      <c r="K184" s="40"/>
      <c r="L184" s="40"/>
      <c r="M184" s="40"/>
      <c r="N184" s="47"/>
      <c r="O184" s="40"/>
      <c r="P184" s="40"/>
      <c r="Q184" s="40"/>
      <c r="R184" s="55"/>
      <c r="S184" s="41"/>
      <c r="T184" s="40"/>
    </row>
    <row r="185" spans="1:20" ht="24">
      <c r="A185" s="40" t="s">
        <v>655</v>
      </c>
      <c r="B185" s="40"/>
      <c r="C185" s="41"/>
      <c r="D185" s="40"/>
      <c r="E185" s="40" t="s">
        <v>3012</v>
      </c>
      <c r="F185" s="47">
        <f>LEN(G185)</f>
        <v>0</v>
      </c>
      <c r="G185" s="40"/>
      <c r="H185" s="40"/>
      <c r="I185" s="40"/>
      <c r="J185" s="40"/>
      <c r="K185" s="40"/>
      <c r="L185" s="40"/>
      <c r="M185" s="40"/>
      <c r="N185" s="47"/>
      <c r="O185" s="40"/>
      <c r="P185" s="40"/>
      <c r="Q185" s="40"/>
      <c r="R185" s="55"/>
      <c r="S185" s="41"/>
      <c r="T185" s="40"/>
    </row>
    <row r="186" spans="1:20" ht="24">
      <c r="A186" s="40" t="s">
        <v>655</v>
      </c>
      <c r="B186" s="40"/>
      <c r="C186" s="41"/>
      <c r="D186" s="40"/>
      <c r="E186" s="40" t="s">
        <v>3012</v>
      </c>
      <c r="F186" s="47">
        <f>LEN(G186)</f>
        <v>0</v>
      </c>
      <c r="G186" s="40"/>
      <c r="H186" s="40"/>
      <c r="I186" s="40"/>
      <c r="J186" s="40"/>
      <c r="K186" s="40"/>
      <c r="L186" s="40"/>
      <c r="M186" s="40"/>
      <c r="N186" s="47"/>
      <c r="O186" s="40"/>
      <c r="P186" s="40"/>
      <c r="Q186" s="40"/>
      <c r="R186" s="55"/>
      <c r="S186" s="41"/>
      <c r="T186" s="40"/>
    </row>
    <row r="187" spans="1:20" ht="24">
      <c r="A187" s="40" t="s">
        <v>655</v>
      </c>
      <c r="B187" s="40"/>
      <c r="C187" s="41"/>
      <c r="D187" s="40"/>
      <c r="E187" s="40" t="s">
        <v>3012</v>
      </c>
      <c r="F187" s="47">
        <f>LEN(G187)</f>
        <v>0</v>
      </c>
      <c r="G187" s="40"/>
      <c r="H187" s="40"/>
      <c r="I187" s="40"/>
      <c r="J187" s="40"/>
      <c r="K187" s="40"/>
      <c r="L187" s="40"/>
      <c r="M187" s="40"/>
      <c r="N187" s="47"/>
      <c r="O187" s="40"/>
      <c r="P187" s="40"/>
      <c r="Q187" s="40"/>
      <c r="R187" s="55"/>
      <c r="S187" s="41"/>
      <c r="T187" s="40"/>
    </row>
    <row r="188" spans="1:20" ht="24">
      <c r="A188" s="40" t="s">
        <v>655</v>
      </c>
      <c r="B188" s="40"/>
      <c r="C188" s="41"/>
      <c r="D188" s="40"/>
      <c r="E188" s="40" t="s">
        <v>3012</v>
      </c>
      <c r="F188" s="47">
        <f>LEN(G188)</f>
        <v>0</v>
      </c>
      <c r="G188" s="40"/>
      <c r="H188" s="40"/>
      <c r="I188" s="40"/>
      <c r="J188" s="40"/>
      <c r="K188" s="40"/>
      <c r="L188" s="40"/>
      <c r="M188" s="40"/>
      <c r="N188" s="47"/>
      <c r="O188" s="40"/>
      <c r="P188" s="40"/>
      <c r="Q188" s="40"/>
      <c r="R188" s="55"/>
      <c r="S188" s="41"/>
      <c r="T188" s="40"/>
    </row>
    <row r="189" spans="1:20" ht="24">
      <c r="A189" s="40" t="s">
        <v>655</v>
      </c>
      <c r="B189" s="40"/>
      <c r="C189" s="41"/>
      <c r="D189" s="40"/>
      <c r="E189" s="40" t="s">
        <v>3012</v>
      </c>
      <c r="F189" s="47">
        <f>LEN(G189)</f>
        <v>0</v>
      </c>
      <c r="G189" s="40"/>
      <c r="H189" s="40"/>
      <c r="I189" s="40"/>
      <c r="J189" s="40"/>
      <c r="K189" s="40"/>
      <c r="L189" s="40"/>
      <c r="M189" s="40"/>
      <c r="N189" s="47"/>
      <c r="O189" s="40"/>
      <c r="P189" s="40"/>
      <c r="Q189" s="40"/>
      <c r="R189" s="55"/>
      <c r="S189" s="41"/>
      <c r="T189" s="40"/>
    </row>
    <row r="190" spans="1:20" ht="24">
      <c r="A190" s="40" t="s">
        <v>655</v>
      </c>
      <c r="B190" s="40"/>
      <c r="C190" s="41"/>
      <c r="D190" s="40"/>
      <c r="E190" s="40" t="s">
        <v>3012</v>
      </c>
      <c r="F190" s="47">
        <f>LEN(G190)</f>
        <v>0</v>
      </c>
      <c r="G190" s="40"/>
      <c r="H190" s="40"/>
      <c r="I190" s="40"/>
      <c r="J190" s="40"/>
      <c r="K190" s="40"/>
      <c r="L190" s="40"/>
      <c r="M190" s="40"/>
      <c r="N190" s="47"/>
      <c r="O190" s="40"/>
      <c r="P190" s="40"/>
      <c r="Q190" s="40"/>
      <c r="R190" s="55"/>
      <c r="S190" s="41"/>
      <c r="T190" s="40"/>
    </row>
    <row r="191" spans="1:20" ht="24">
      <c r="A191" s="40" t="s">
        <v>655</v>
      </c>
      <c r="B191" s="40"/>
      <c r="C191" s="41"/>
      <c r="D191" s="40"/>
      <c r="E191" s="40" t="s">
        <v>3012</v>
      </c>
      <c r="F191" s="47">
        <f>LEN(G191)</f>
        <v>0</v>
      </c>
      <c r="G191" s="40"/>
      <c r="H191" s="40"/>
      <c r="I191" s="40"/>
      <c r="J191" s="40"/>
      <c r="K191" s="40"/>
      <c r="L191" s="40"/>
      <c r="M191" s="40"/>
      <c r="N191" s="47"/>
      <c r="O191" s="40"/>
      <c r="P191" s="40"/>
      <c r="Q191" s="40"/>
      <c r="R191" s="55"/>
      <c r="S191" s="41"/>
      <c r="T191" s="40"/>
    </row>
    <row r="192" spans="1:20" ht="24">
      <c r="A192" s="40" t="s">
        <v>655</v>
      </c>
      <c r="B192" s="40"/>
      <c r="C192" s="41"/>
      <c r="D192" s="40"/>
      <c r="E192" s="40" t="s">
        <v>3012</v>
      </c>
      <c r="F192" s="47">
        <f>LEN(G192)</f>
        <v>0</v>
      </c>
      <c r="G192" s="40"/>
      <c r="H192" s="40"/>
      <c r="I192" s="40"/>
      <c r="J192" s="40"/>
      <c r="K192" s="40"/>
      <c r="L192" s="40"/>
      <c r="M192" s="40"/>
      <c r="N192" s="47"/>
      <c r="O192" s="40"/>
      <c r="P192" s="40"/>
      <c r="Q192" s="40"/>
      <c r="R192" s="55"/>
      <c r="S192" s="41"/>
      <c r="T192" s="40"/>
    </row>
    <row r="193" spans="1:20" ht="24">
      <c r="A193" s="40" t="s">
        <v>655</v>
      </c>
      <c r="B193" s="40"/>
      <c r="C193" s="41"/>
      <c r="D193" s="40"/>
      <c r="E193" s="40" t="s">
        <v>3012</v>
      </c>
      <c r="F193" s="47">
        <f>LEN(G193)</f>
        <v>0</v>
      </c>
      <c r="G193" s="40"/>
      <c r="H193" s="40"/>
      <c r="I193" s="40"/>
      <c r="J193" s="40"/>
      <c r="K193" s="40"/>
      <c r="L193" s="40"/>
      <c r="M193" s="40"/>
      <c r="N193" s="47"/>
      <c r="O193" s="40"/>
      <c r="P193" s="40"/>
      <c r="Q193" s="40"/>
      <c r="R193" s="55"/>
      <c r="S193" s="41"/>
      <c r="T193" s="40"/>
    </row>
    <row r="194" spans="1:20" ht="24">
      <c r="A194" s="40" t="s">
        <v>655</v>
      </c>
      <c r="B194" s="40"/>
      <c r="C194" s="41"/>
      <c r="D194" s="40"/>
      <c r="E194" s="40" t="s">
        <v>3012</v>
      </c>
      <c r="F194" s="47">
        <f>LEN(G194)</f>
        <v>0</v>
      </c>
      <c r="G194" s="40"/>
      <c r="H194" s="40"/>
      <c r="I194" s="40"/>
      <c r="J194" s="40"/>
      <c r="K194" s="40"/>
      <c r="L194" s="40"/>
      <c r="M194" s="40"/>
      <c r="N194" s="47"/>
      <c r="O194" s="40"/>
      <c r="P194" s="40"/>
      <c r="Q194" s="40"/>
      <c r="R194" s="55"/>
      <c r="S194" s="41"/>
      <c r="T194" s="40"/>
    </row>
    <row r="195" spans="1:20" ht="24">
      <c r="A195" s="40" t="s">
        <v>655</v>
      </c>
      <c r="B195" s="40"/>
      <c r="C195" s="41"/>
      <c r="D195" s="40"/>
      <c r="E195" s="40" t="s">
        <v>3012</v>
      </c>
      <c r="F195" s="47">
        <f>LEN(G195)</f>
        <v>0</v>
      </c>
      <c r="G195" s="40"/>
      <c r="H195" s="40"/>
      <c r="I195" s="40"/>
      <c r="J195" s="40"/>
      <c r="K195" s="40"/>
      <c r="L195" s="40"/>
      <c r="M195" s="40"/>
      <c r="N195" s="47"/>
      <c r="O195" s="40"/>
      <c r="P195" s="40"/>
      <c r="Q195" s="40"/>
      <c r="R195" s="55"/>
      <c r="S195" s="41"/>
      <c r="T195" s="40"/>
    </row>
    <row r="196" spans="1:20" ht="24">
      <c r="A196" s="40" t="s">
        <v>655</v>
      </c>
      <c r="B196" s="40"/>
      <c r="C196" s="41"/>
      <c r="D196" s="40"/>
      <c r="E196" s="40" t="s">
        <v>3012</v>
      </c>
      <c r="F196" s="47">
        <f>LEN(G196)</f>
        <v>0</v>
      </c>
      <c r="G196" s="40"/>
      <c r="H196" s="40"/>
      <c r="I196" s="40"/>
      <c r="J196" s="40"/>
      <c r="K196" s="40"/>
      <c r="L196" s="40"/>
      <c r="M196" s="40"/>
      <c r="N196" s="47"/>
      <c r="O196" s="40"/>
      <c r="P196" s="40"/>
      <c r="Q196" s="40"/>
      <c r="R196" s="55"/>
      <c r="S196" s="41"/>
      <c r="T196" s="40"/>
    </row>
    <row r="197" spans="1:20" ht="24">
      <c r="A197" s="40" t="s">
        <v>655</v>
      </c>
      <c r="B197" s="40"/>
      <c r="C197" s="41"/>
      <c r="D197" s="40"/>
      <c r="E197" s="40" t="s">
        <v>3012</v>
      </c>
      <c r="F197" s="47">
        <f>LEN(G197)</f>
        <v>0</v>
      </c>
      <c r="G197" s="40"/>
      <c r="H197" s="40"/>
      <c r="I197" s="40"/>
      <c r="J197" s="40"/>
      <c r="K197" s="40"/>
      <c r="L197" s="40"/>
      <c r="M197" s="40"/>
      <c r="N197" s="47"/>
      <c r="O197" s="40"/>
      <c r="P197" s="40"/>
      <c r="Q197" s="40"/>
      <c r="R197" s="55"/>
      <c r="S197" s="41"/>
      <c r="T197" s="40"/>
    </row>
    <row r="198" spans="1:20" ht="24">
      <c r="A198" s="40" t="s">
        <v>655</v>
      </c>
      <c r="B198" s="40"/>
      <c r="C198" s="41"/>
      <c r="D198" s="40"/>
      <c r="E198" s="40" t="s">
        <v>3012</v>
      </c>
      <c r="F198" s="47">
        <f>LEN(G198)</f>
        <v>0</v>
      </c>
      <c r="G198" s="40"/>
      <c r="H198" s="40"/>
      <c r="I198" s="40"/>
      <c r="J198" s="40"/>
      <c r="K198" s="40"/>
      <c r="L198" s="40"/>
      <c r="M198" s="40"/>
      <c r="N198" s="47"/>
      <c r="O198" s="40"/>
      <c r="P198" s="40"/>
      <c r="Q198" s="40"/>
      <c r="R198" s="55"/>
      <c r="S198" s="41"/>
      <c r="T198" s="40"/>
    </row>
    <row r="199" spans="1:20" ht="24">
      <c r="A199" s="40" t="s">
        <v>655</v>
      </c>
      <c r="B199" s="40"/>
      <c r="C199" s="41"/>
      <c r="D199" s="40"/>
      <c r="E199" s="40" t="s">
        <v>3012</v>
      </c>
      <c r="F199" s="47">
        <f>LEN(G199)</f>
        <v>0</v>
      </c>
      <c r="G199" s="40"/>
      <c r="H199" s="40"/>
      <c r="I199" s="40"/>
      <c r="J199" s="40"/>
      <c r="K199" s="40"/>
      <c r="L199" s="40"/>
      <c r="M199" s="40"/>
      <c r="N199" s="47"/>
      <c r="O199" s="40"/>
      <c r="P199" s="40"/>
      <c r="Q199" s="40"/>
      <c r="R199" s="55"/>
      <c r="S199" s="41"/>
      <c r="T199" s="40"/>
    </row>
    <row r="200" spans="1:20" ht="24">
      <c r="A200" s="40" t="s">
        <v>655</v>
      </c>
      <c r="B200" s="40"/>
      <c r="C200" s="41"/>
      <c r="D200" s="40"/>
      <c r="E200" s="40" t="s">
        <v>3012</v>
      </c>
      <c r="F200" s="47">
        <f>LEN(G200)</f>
        <v>0</v>
      </c>
      <c r="G200" s="40"/>
      <c r="H200" s="40"/>
      <c r="I200" s="40"/>
      <c r="J200" s="40"/>
      <c r="K200" s="40"/>
      <c r="L200" s="40"/>
      <c r="M200" s="40"/>
      <c r="N200" s="47"/>
      <c r="O200" s="40"/>
      <c r="P200" s="40"/>
      <c r="Q200" s="40"/>
      <c r="R200" s="55"/>
      <c r="S200" s="41"/>
      <c r="T200" s="40"/>
    </row>
    <row r="201" spans="1:20" ht="24">
      <c r="A201" s="40" t="s">
        <v>655</v>
      </c>
      <c r="B201" s="40"/>
      <c r="C201" s="41"/>
      <c r="D201" s="40"/>
      <c r="E201" s="40" t="s">
        <v>3012</v>
      </c>
      <c r="F201" s="47">
        <f>LEN(G201)</f>
        <v>0</v>
      </c>
      <c r="G201" s="40"/>
      <c r="H201" s="40"/>
      <c r="I201" s="40"/>
      <c r="J201" s="40"/>
      <c r="K201" s="40"/>
      <c r="L201" s="40"/>
      <c r="M201" s="40"/>
      <c r="N201" s="47"/>
      <c r="O201" s="40"/>
      <c r="P201" s="40"/>
      <c r="Q201" s="40"/>
      <c r="R201" s="55"/>
      <c r="S201" s="41"/>
      <c r="T201" s="40"/>
    </row>
    <row r="202" spans="1:20" ht="24">
      <c r="A202" s="40" t="s">
        <v>655</v>
      </c>
      <c r="B202" s="40"/>
      <c r="C202" s="41"/>
      <c r="D202" s="40"/>
      <c r="E202" s="40" t="s">
        <v>3012</v>
      </c>
      <c r="F202" s="47">
        <f>LEN(G202)</f>
        <v>0</v>
      </c>
      <c r="G202" s="40"/>
      <c r="H202" s="40"/>
      <c r="I202" s="40"/>
      <c r="J202" s="40"/>
      <c r="K202" s="40"/>
      <c r="L202" s="40"/>
      <c r="M202" s="40"/>
      <c r="N202" s="47"/>
      <c r="O202" s="40"/>
      <c r="P202" s="40"/>
      <c r="Q202" s="40"/>
      <c r="R202" s="55"/>
      <c r="S202" s="41"/>
      <c r="T202" s="40"/>
    </row>
    <row r="203" spans="1:20" ht="24">
      <c r="A203" s="40" t="s">
        <v>655</v>
      </c>
      <c r="B203" s="40"/>
      <c r="C203" s="41"/>
      <c r="D203" s="40"/>
      <c r="E203" s="40" t="s">
        <v>3012</v>
      </c>
      <c r="F203" s="47">
        <f>LEN(G203)</f>
        <v>0</v>
      </c>
      <c r="G203" s="40"/>
      <c r="H203" s="40"/>
      <c r="I203" s="40"/>
      <c r="J203" s="40"/>
      <c r="K203" s="40"/>
      <c r="L203" s="40"/>
      <c r="M203" s="40"/>
      <c r="N203" s="47"/>
      <c r="O203" s="40"/>
      <c r="P203" s="40"/>
      <c r="Q203" s="40"/>
      <c r="R203" s="55"/>
      <c r="S203" s="41"/>
      <c r="T203" s="40"/>
    </row>
    <row r="204" spans="1:20" ht="24">
      <c r="A204" s="40" t="s">
        <v>655</v>
      </c>
      <c r="B204" s="40"/>
      <c r="C204" s="41"/>
      <c r="D204" s="40"/>
      <c r="E204" s="40" t="s">
        <v>3012</v>
      </c>
      <c r="F204" s="47">
        <f>LEN(G204)</f>
        <v>0</v>
      </c>
      <c r="G204" s="40"/>
      <c r="H204" s="40"/>
      <c r="I204" s="40"/>
      <c r="J204" s="40"/>
      <c r="K204" s="40"/>
      <c r="L204" s="40"/>
      <c r="M204" s="40"/>
      <c r="N204" s="47"/>
      <c r="O204" s="40"/>
      <c r="P204" s="40"/>
      <c r="Q204" s="40"/>
      <c r="R204" s="55"/>
      <c r="S204" s="41"/>
      <c r="T204" s="40"/>
    </row>
    <row r="205" spans="1:20" ht="24">
      <c r="A205" s="40" t="s">
        <v>655</v>
      </c>
      <c r="B205" s="40"/>
      <c r="C205" s="41"/>
      <c r="D205" s="40"/>
      <c r="E205" s="40" t="s">
        <v>3012</v>
      </c>
      <c r="F205" s="47">
        <f>LEN(G205)</f>
        <v>0</v>
      </c>
      <c r="G205" s="40"/>
      <c r="H205" s="40"/>
      <c r="I205" s="40"/>
      <c r="J205" s="40"/>
      <c r="K205" s="40"/>
      <c r="L205" s="40"/>
      <c r="M205" s="40"/>
      <c r="N205" s="47"/>
      <c r="O205" s="40"/>
      <c r="P205" s="40"/>
      <c r="Q205" s="40"/>
      <c r="R205" s="55"/>
      <c r="S205" s="41"/>
      <c r="T205" s="40"/>
    </row>
    <row r="206" spans="1:20" ht="24">
      <c r="A206" s="40" t="s">
        <v>655</v>
      </c>
      <c r="B206" s="40"/>
      <c r="C206" s="41"/>
      <c r="D206" s="40"/>
      <c r="E206" s="40" t="s">
        <v>3012</v>
      </c>
      <c r="F206" s="47">
        <f>LEN(G206)</f>
        <v>0</v>
      </c>
      <c r="G206" s="40"/>
      <c r="H206" s="40"/>
      <c r="I206" s="40"/>
      <c r="J206" s="40"/>
      <c r="K206" s="40"/>
      <c r="L206" s="40"/>
      <c r="M206" s="40"/>
      <c r="N206" s="47"/>
      <c r="O206" s="40"/>
      <c r="P206" s="40"/>
      <c r="Q206" s="40"/>
      <c r="R206" s="55"/>
      <c r="S206" s="41"/>
      <c r="T206" s="40"/>
    </row>
    <row r="207" spans="1:20" ht="24">
      <c r="A207" s="40" t="s">
        <v>655</v>
      </c>
      <c r="B207" s="40"/>
      <c r="C207" s="41"/>
      <c r="D207" s="40"/>
      <c r="E207" s="40" t="s">
        <v>3012</v>
      </c>
      <c r="F207" s="47">
        <f>LEN(G207)</f>
        <v>0</v>
      </c>
      <c r="G207" s="40"/>
      <c r="H207" s="40"/>
      <c r="I207" s="40"/>
      <c r="J207" s="40"/>
      <c r="K207" s="40"/>
      <c r="L207" s="40"/>
      <c r="M207" s="40"/>
      <c r="N207" s="47"/>
      <c r="O207" s="40"/>
      <c r="P207" s="40"/>
      <c r="Q207" s="40"/>
      <c r="R207" s="55"/>
      <c r="S207" s="41"/>
      <c r="T207" s="40"/>
    </row>
    <row r="208" spans="1:20" ht="24">
      <c r="A208" s="40" t="s">
        <v>655</v>
      </c>
      <c r="B208" s="40"/>
      <c r="C208" s="41"/>
      <c r="D208" s="40"/>
      <c r="E208" s="40" t="s">
        <v>3012</v>
      </c>
      <c r="F208" s="47">
        <f>LEN(G208)</f>
        <v>0</v>
      </c>
      <c r="G208" s="40"/>
      <c r="H208" s="40"/>
      <c r="I208" s="40"/>
      <c r="J208" s="40"/>
      <c r="K208" s="40"/>
      <c r="L208" s="40"/>
      <c r="M208" s="40"/>
      <c r="N208" s="47"/>
      <c r="O208" s="40"/>
      <c r="P208" s="40"/>
      <c r="Q208" s="40"/>
      <c r="R208" s="55"/>
      <c r="S208" s="41"/>
      <c r="T208" s="40"/>
    </row>
    <row r="209" spans="1:20" ht="24">
      <c r="A209" s="40" t="s">
        <v>655</v>
      </c>
      <c r="B209" s="40"/>
      <c r="C209" s="41"/>
      <c r="D209" s="40"/>
      <c r="E209" s="40" t="s">
        <v>3012</v>
      </c>
      <c r="F209" s="47">
        <f>LEN(G209)</f>
        <v>0</v>
      </c>
      <c r="G209" s="40"/>
      <c r="H209" s="40"/>
      <c r="I209" s="40"/>
      <c r="J209" s="40"/>
      <c r="K209" s="40"/>
      <c r="L209" s="40"/>
      <c r="M209" s="40"/>
      <c r="N209" s="47"/>
      <c r="O209" s="40"/>
      <c r="P209" s="40"/>
      <c r="Q209" s="40"/>
      <c r="R209" s="55"/>
      <c r="S209" s="41"/>
      <c r="T209" s="40"/>
    </row>
    <row r="210" spans="1:20" ht="24">
      <c r="A210" s="40" t="s">
        <v>655</v>
      </c>
      <c r="B210" s="40"/>
      <c r="C210" s="41"/>
      <c r="D210" s="40"/>
      <c r="E210" s="40" t="s">
        <v>3012</v>
      </c>
      <c r="F210" s="47">
        <f>LEN(G210)</f>
        <v>0</v>
      </c>
      <c r="G210" s="40"/>
      <c r="H210" s="40"/>
      <c r="I210" s="40"/>
      <c r="J210" s="40"/>
      <c r="K210" s="40"/>
      <c r="L210" s="40"/>
      <c r="M210" s="40"/>
      <c r="N210" s="47"/>
      <c r="O210" s="40"/>
      <c r="P210" s="40"/>
      <c r="Q210" s="40"/>
      <c r="R210" s="55"/>
      <c r="S210" s="41"/>
      <c r="T210" s="40"/>
    </row>
    <row r="211" spans="1:20" ht="24">
      <c r="A211" s="40" t="s">
        <v>655</v>
      </c>
      <c r="B211" s="40"/>
      <c r="C211" s="41"/>
      <c r="D211" s="40"/>
      <c r="E211" s="40" t="s">
        <v>3012</v>
      </c>
      <c r="F211" s="47">
        <f>LEN(G211)</f>
        <v>0</v>
      </c>
      <c r="G211" s="40"/>
      <c r="H211" s="40"/>
      <c r="I211" s="40"/>
      <c r="J211" s="40"/>
      <c r="K211" s="40"/>
      <c r="L211" s="40"/>
      <c r="M211" s="40"/>
      <c r="N211" s="47"/>
      <c r="O211" s="40"/>
      <c r="P211" s="40"/>
      <c r="Q211" s="40"/>
      <c r="R211" s="55"/>
      <c r="S211" s="41"/>
      <c r="T211" s="40"/>
    </row>
    <row r="212" spans="1:20" ht="24">
      <c r="A212" s="40" t="s">
        <v>655</v>
      </c>
      <c r="B212" s="40"/>
      <c r="C212" s="41"/>
      <c r="D212" s="40"/>
      <c r="E212" s="40" t="s">
        <v>3012</v>
      </c>
      <c r="F212" s="47">
        <f>LEN(G212)</f>
        <v>0</v>
      </c>
      <c r="G212" s="40"/>
      <c r="H212" s="40"/>
      <c r="I212" s="40"/>
      <c r="J212" s="40"/>
      <c r="K212" s="40"/>
      <c r="L212" s="40"/>
      <c r="M212" s="40"/>
      <c r="N212" s="47"/>
      <c r="O212" s="40"/>
      <c r="P212" s="40"/>
      <c r="Q212" s="40"/>
      <c r="R212" s="55"/>
      <c r="S212" s="41"/>
      <c r="T212" s="40"/>
    </row>
    <row r="213" spans="1:20" ht="24">
      <c r="A213" s="40" t="s">
        <v>655</v>
      </c>
      <c r="B213" s="40"/>
      <c r="C213" s="41"/>
      <c r="D213" s="40"/>
      <c r="E213" s="40" t="s">
        <v>3012</v>
      </c>
      <c r="F213" s="47">
        <f>LEN(G213)</f>
        <v>0</v>
      </c>
      <c r="G213" s="40"/>
      <c r="H213" s="40"/>
      <c r="I213" s="40"/>
      <c r="J213" s="40"/>
      <c r="K213" s="40"/>
      <c r="L213" s="40"/>
      <c r="M213" s="40"/>
      <c r="N213" s="47"/>
      <c r="O213" s="40"/>
      <c r="P213" s="40"/>
      <c r="Q213" s="40"/>
      <c r="R213" s="55"/>
      <c r="S213" s="41"/>
      <c r="T213" s="40"/>
    </row>
    <row r="214" spans="1:20" ht="24">
      <c r="A214" s="40" t="s">
        <v>655</v>
      </c>
      <c r="B214" s="40"/>
      <c r="C214" s="41"/>
      <c r="D214" s="40"/>
      <c r="E214" s="40" t="s">
        <v>3012</v>
      </c>
      <c r="F214" s="47">
        <f>LEN(G214)</f>
        <v>0</v>
      </c>
      <c r="G214" s="40"/>
      <c r="H214" s="40"/>
      <c r="I214" s="40"/>
      <c r="J214" s="40"/>
      <c r="K214" s="40"/>
      <c r="L214" s="40"/>
      <c r="M214" s="40"/>
      <c r="N214" s="47"/>
      <c r="O214" s="40"/>
      <c r="P214" s="40"/>
      <c r="Q214" s="40"/>
      <c r="R214" s="55"/>
      <c r="S214" s="41"/>
      <c r="T214" s="40"/>
    </row>
    <row r="215" spans="1:20" ht="24">
      <c r="A215" s="40" t="s">
        <v>655</v>
      </c>
      <c r="B215" s="40"/>
      <c r="C215" s="41"/>
      <c r="D215" s="40"/>
      <c r="E215" s="40" t="s">
        <v>3012</v>
      </c>
      <c r="F215" s="47">
        <f>LEN(G215)</f>
        <v>0</v>
      </c>
      <c r="G215" s="40"/>
      <c r="H215" s="40"/>
      <c r="I215" s="40"/>
      <c r="J215" s="40"/>
      <c r="K215" s="40"/>
      <c r="L215" s="40"/>
      <c r="M215" s="40"/>
      <c r="N215" s="47"/>
      <c r="O215" s="40"/>
      <c r="P215" s="40"/>
      <c r="Q215" s="40"/>
      <c r="R215" s="55"/>
      <c r="S215" s="41"/>
      <c r="T215" s="40"/>
    </row>
    <row r="216" spans="1:20" ht="24">
      <c r="A216" s="40" t="s">
        <v>655</v>
      </c>
      <c r="B216" s="40"/>
      <c r="C216" s="41"/>
      <c r="D216" s="40"/>
      <c r="E216" s="40" t="s">
        <v>3012</v>
      </c>
      <c r="F216" s="47">
        <f>LEN(G216)</f>
        <v>0</v>
      </c>
      <c r="G216" s="40"/>
      <c r="H216" s="40"/>
      <c r="I216" s="40"/>
      <c r="J216" s="40"/>
      <c r="K216" s="40"/>
      <c r="L216" s="40"/>
      <c r="M216" s="40"/>
      <c r="N216" s="47"/>
      <c r="O216" s="40"/>
      <c r="P216" s="40"/>
      <c r="Q216" s="40"/>
      <c r="R216" s="55"/>
      <c r="S216" s="41"/>
      <c r="T216" s="40"/>
    </row>
    <row r="217" spans="1:20" ht="24">
      <c r="A217" s="40" t="s">
        <v>655</v>
      </c>
      <c r="B217" s="40"/>
      <c r="C217" s="41"/>
      <c r="D217" s="40"/>
      <c r="E217" s="40" t="s">
        <v>3012</v>
      </c>
      <c r="F217" s="47">
        <f>LEN(G217)</f>
        <v>0</v>
      </c>
      <c r="G217" s="40"/>
      <c r="H217" s="40"/>
      <c r="I217" s="40"/>
      <c r="J217" s="40"/>
      <c r="K217" s="40"/>
      <c r="L217" s="40"/>
      <c r="M217" s="40"/>
      <c r="N217" s="47"/>
      <c r="O217" s="40"/>
      <c r="P217" s="40"/>
      <c r="Q217" s="40"/>
      <c r="R217" s="55"/>
      <c r="S217" s="41"/>
      <c r="T217" s="40"/>
    </row>
    <row r="218" spans="1:20" ht="24">
      <c r="A218" s="40" t="s">
        <v>655</v>
      </c>
      <c r="B218" s="40"/>
      <c r="C218" s="41"/>
      <c r="D218" s="40"/>
      <c r="E218" s="40" t="s">
        <v>3012</v>
      </c>
      <c r="F218" s="47">
        <f>LEN(G218)</f>
        <v>0</v>
      </c>
      <c r="G218" s="40"/>
      <c r="H218" s="40"/>
      <c r="I218" s="40"/>
      <c r="J218" s="40"/>
      <c r="K218" s="40"/>
      <c r="L218" s="40"/>
      <c r="M218" s="40"/>
      <c r="N218" s="47"/>
      <c r="O218" s="40"/>
      <c r="P218" s="40"/>
      <c r="Q218" s="40"/>
      <c r="R218" s="55"/>
      <c r="S218" s="41"/>
      <c r="T218" s="40"/>
    </row>
    <row r="219" spans="1:20" ht="24">
      <c r="A219" s="40" t="s">
        <v>655</v>
      </c>
      <c r="B219" s="40"/>
      <c r="C219" s="41"/>
      <c r="D219" s="40"/>
      <c r="E219" s="40" t="s">
        <v>3012</v>
      </c>
      <c r="F219" s="47">
        <f>LEN(G219)</f>
        <v>0</v>
      </c>
      <c r="G219" s="40"/>
      <c r="H219" s="40"/>
      <c r="I219" s="40"/>
      <c r="J219" s="40"/>
      <c r="K219" s="40"/>
      <c r="L219" s="40"/>
      <c r="M219" s="40"/>
      <c r="N219" s="47"/>
      <c r="O219" s="40"/>
      <c r="P219" s="40"/>
      <c r="Q219" s="40"/>
      <c r="R219" s="55"/>
      <c r="S219" s="41"/>
      <c r="T219" s="40"/>
    </row>
    <row r="220" spans="1:20" ht="24">
      <c r="A220" s="40" t="s">
        <v>655</v>
      </c>
      <c r="B220" s="40"/>
      <c r="C220" s="41"/>
      <c r="D220" s="40"/>
      <c r="E220" s="40" t="s">
        <v>3012</v>
      </c>
      <c r="F220" s="47">
        <f>LEN(G220)</f>
        <v>0</v>
      </c>
      <c r="G220" s="40"/>
      <c r="H220" s="40"/>
      <c r="I220" s="40"/>
      <c r="J220" s="40"/>
      <c r="K220" s="40"/>
      <c r="L220" s="40"/>
      <c r="M220" s="40"/>
      <c r="N220" s="47"/>
      <c r="O220" s="40"/>
      <c r="P220" s="40"/>
      <c r="Q220" s="40"/>
      <c r="R220" s="55"/>
      <c r="S220" s="41"/>
      <c r="T220" s="40"/>
    </row>
    <row r="221" spans="1:20" ht="24">
      <c r="A221" s="40" t="s">
        <v>655</v>
      </c>
      <c r="B221" s="40"/>
      <c r="C221" s="41"/>
      <c r="D221" s="40"/>
      <c r="E221" s="40" t="s">
        <v>3012</v>
      </c>
      <c r="F221" s="47">
        <f>LEN(G221)</f>
        <v>0</v>
      </c>
      <c r="G221" s="40"/>
      <c r="H221" s="40"/>
      <c r="I221" s="40"/>
      <c r="J221" s="40"/>
      <c r="K221" s="40"/>
      <c r="L221" s="40"/>
      <c r="M221" s="40"/>
      <c r="N221" s="47"/>
      <c r="O221" s="40"/>
      <c r="P221" s="40"/>
      <c r="Q221" s="40"/>
      <c r="R221" s="55"/>
      <c r="S221" s="41"/>
      <c r="T221" s="40"/>
    </row>
    <row r="222" spans="1:20" ht="24">
      <c r="A222" s="40" t="s">
        <v>655</v>
      </c>
      <c r="B222" s="40"/>
      <c r="C222" s="41"/>
      <c r="D222" s="40"/>
      <c r="E222" s="40" t="s">
        <v>3012</v>
      </c>
      <c r="F222" s="47">
        <f>LEN(G222)</f>
        <v>0</v>
      </c>
      <c r="G222" s="40"/>
      <c r="H222" s="40"/>
      <c r="I222" s="40"/>
      <c r="J222" s="40"/>
      <c r="K222" s="40"/>
      <c r="L222" s="40"/>
      <c r="M222" s="40"/>
      <c r="N222" s="47"/>
      <c r="O222" s="40"/>
      <c r="P222" s="40"/>
      <c r="Q222" s="40"/>
      <c r="R222" s="55"/>
      <c r="S222" s="41"/>
      <c r="T222" s="40"/>
    </row>
    <row r="223" spans="1:20" ht="24">
      <c r="A223" s="40" t="s">
        <v>655</v>
      </c>
      <c r="B223" s="40"/>
      <c r="C223" s="41"/>
      <c r="D223" s="40"/>
      <c r="E223" s="40" t="s">
        <v>3012</v>
      </c>
      <c r="F223" s="47">
        <f>LEN(G223)</f>
        <v>0</v>
      </c>
      <c r="G223" s="40"/>
      <c r="H223" s="40"/>
      <c r="I223" s="40"/>
      <c r="J223" s="40"/>
      <c r="K223" s="40"/>
      <c r="L223" s="40"/>
      <c r="M223" s="40"/>
      <c r="N223" s="47"/>
      <c r="O223" s="40"/>
      <c r="P223" s="40"/>
      <c r="Q223" s="40"/>
      <c r="R223" s="55"/>
      <c r="S223" s="41"/>
      <c r="T223" s="40"/>
    </row>
    <row r="224" spans="1:20" ht="24">
      <c r="A224" s="40" t="s">
        <v>655</v>
      </c>
      <c r="B224" s="40"/>
      <c r="C224" s="41"/>
      <c r="D224" s="40"/>
      <c r="E224" s="40" t="s">
        <v>3012</v>
      </c>
      <c r="F224" s="47">
        <f>LEN(G224)</f>
        <v>0</v>
      </c>
      <c r="G224" s="40"/>
      <c r="H224" s="40"/>
      <c r="I224" s="40"/>
      <c r="J224" s="40"/>
      <c r="K224" s="40"/>
      <c r="L224" s="40"/>
      <c r="M224" s="40"/>
      <c r="N224" s="47"/>
      <c r="O224" s="40"/>
      <c r="P224" s="40"/>
      <c r="Q224" s="40"/>
      <c r="R224" s="55"/>
      <c r="S224" s="41"/>
      <c r="T224" s="40"/>
    </row>
    <row r="225" spans="1:20" ht="24">
      <c r="A225" s="40" t="s">
        <v>655</v>
      </c>
      <c r="B225" s="40"/>
      <c r="C225" s="41"/>
      <c r="D225" s="40"/>
      <c r="E225" s="40" t="s">
        <v>3012</v>
      </c>
      <c r="F225" s="47">
        <f>LEN(G225)</f>
        <v>0</v>
      </c>
      <c r="G225" s="40"/>
      <c r="H225" s="40"/>
      <c r="I225" s="40"/>
      <c r="J225" s="40"/>
      <c r="K225" s="40"/>
      <c r="L225" s="40"/>
      <c r="M225" s="40"/>
      <c r="N225" s="47"/>
      <c r="O225" s="40"/>
      <c r="P225" s="40"/>
      <c r="Q225" s="40"/>
      <c r="R225" s="55"/>
      <c r="S225" s="41"/>
      <c r="T225" s="40"/>
    </row>
    <row r="226" spans="1:20" ht="24">
      <c r="A226" s="40" t="s">
        <v>655</v>
      </c>
      <c r="B226" s="40"/>
      <c r="C226" s="41"/>
      <c r="D226" s="40"/>
      <c r="E226" s="40" t="s">
        <v>3012</v>
      </c>
      <c r="F226" s="47">
        <f>LEN(G226)</f>
        <v>0</v>
      </c>
      <c r="G226" s="40"/>
      <c r="H226" s="40"/>
      <c r="I226" s="40"/>
      <c r="J226" s="40"/>
      <c r="K226" s="40"/>
      <c r="L226" s="40"/>
      <c r="M226" s="40"/>
      <c r="N226" s="47"/>
      <c r="O226" s="40"/>
      <c r="P226" s="40"/>
      <c r="Q226" s="40"/>
      <c r="R226" s="55"/>
      <c r="S226" s="41"/>
      <c r="T226" s="40"/>
    </row>
    <row r="227" spans="1:20" ht="24">
      <c r="A227" s="40" t="s">
        <v>655</v>
      </c>
      <c r="B227" s="40"/>
      <c r="C227" s="41"/>
      <c r="D227" s="40"/>
      <c r="E227" s="40" t="s">
        <v>3012</v>
      </c>
      <c r="F227" s="47">
        <f>LEN(G227)</f>
        <v>0</v>
      </c>
      <c r="G227" s="40"/>
      <c r="H227" s="40"/>
      <c r="I227" s="40"/>
      <c r="J227" s="40"/>
      <c r="K227" s="40"/>
      <c r="L227" s="40"/>
      <c r="M227" s="40"/>
      <c r="N227" s="47"/>
      <c r="O227" s="40"/>
      <c r="P227" s="40"/>
      <c r="Q227" s="40"/>
      <c r="R227" s="55"/>
      <c r="S227" s="41"/>
      <c r="T227" s="40"/>
    </row>
    <row r="228" spans="1:20" ht="24">
      <c r="A228" s="40" t="s">
        <v>655</v>
      </c>
      <c r="B228" s="40"/>
      <c r="C228" s="41"/>
      <c r="D228" s="40"/>
      <c r="E228" s="40" t="s">
        <v>3012</v>
      </c>
      <c r="F228" s="47">
        <f>LEN(G228)</f>
        <v>0</v>
      </c>
      <c r="G228" s="40"/>
      <c r="H228" s="40"/>
      <c r="I228" s="40"/>
      <c r="J228" s="40"/>
      <c r="K228" s="40"/>
      <c r="L228" s="40"/>
      <c r="M228" s="40"/>
      <c r="N228" s="47"/>
      <c r="O228" s="40"/>
      <c r="P228" s="40"/>
      <c r="Q228" s="40"/>
      <c r="R228" s="55"/>
      <c r="S228" s="41"/>
      <c r="T228" s="40"/>
    </row>
    <row r="229" spans="1:20" ht="24">
      <c r="A229" s="40" t="s">
        <v>655</v>
      </c>
      <c r="B229" s="40"/>
      <c r="C229" s="41"/>
      <c r="D229" s="40"/>
      <c r="E229" s="40" t="s">
        <v>3012</v>
      </c>
      <c r="F229" s="47">
        <f>LEN(G229)</f>
        <v>0</v>
      </c>
      <c r="G229" s="40"/>
      <c r="H229" s="40"/>
      <c r="I229" s="40"/>
      <c r="J229" s="40"/>
      <c r="K229" s="40"/>
      <c r="L229" s="40"/>
      <c r="M229" s="40"/>
      <c r="N229" s="47"/>
      <c r="O229" s="40"/>
      <c r="P229" s="40"/>
      <c r="Q229" s="40"/>
      <c r="R229" s="55"/>
      <c r="S229" s="41"/>
      <c r="T229" s="40"/>
    </row>
    <row r="230" spans="1:20" ht="24">
      <c r="A230" s="40" t="s">
        <v>655</v>
      </c>
      <c r="B230" s="40"/>
      <c r="C230" s="41"/>
      <c r="D230" s="40"/>
      <c r="E230" s="40" t="s">
        <v>3012</v>
      </c>
      <c r="F230" s="47">
        <f>LEN(G230)</f>
        <v>0</v>
      </c>
      <c r="G230" s="40"/>
      <c r="H230" s="40"/>
      <c r="I230" s="40"/>
      <c r="J230" s="40"/>
      <c r="K230" s="40"/>
      <c r="L230" s="40"/>
      <c r="M230" s="40"/>
      <c r="N230" s="47"/>
      <c r="O230" s="40"/>
      <c r="P230" s="40"/>
      <c r="Q230" s="40"/>
      <c r="R230" s="55"/>
      <c r="S230" s="41"/>
      <c r="T230" s="40"/>
    </row>
    <row r="231" spans="1:20" ht="24">
      <c r="A231" s="40" t="s">
        <v>655</v>
      </c>
      <c r="B231" s="40"/>
      <c r="C231" s="41"/>
      <c r="D231" s="40"/>
      <c r="E231" s="40" t="s">
        <v>3012</v>
      </c>
      <c r="F231" s="47">
        <f>LEN(G231)</f>
        <v>0</v>
      </c>
      <c r="G231" s="40"/>
      <c r="H231" s="40"/>
      <c r="I231" s="40"/>
      <c r="J231" s="40"/>
      <c r="K231" s="40"/>
      <c r="L231" s="40"/>
      <c r="M231" s="40"/>
      <c r="N231" s="47"/>
      <c r="O231" s="40"/>
      <c r="P231" s="40"/>
      <c r="Q231" s="40"/>
      <c r="R231" s="55"/>
      <c r="S231" s="41"/>
      <c r="T231" s="40"/>
    </row>
    <row r="232" spans="1:20" ht="24">
      <c r="A232" s="40" t="s">
        <v>655</v>
      </c>
      <c r="B232" s="40"/>
      <c r="C232" s="41"/>
      <c r="D232" s="40"/>
      <c r="E232" s="40" t="s">
        <v>3012</v>
      </c>
      <c r="F232" s="47">
        <f>LEN(G232)</f>
        <v>0</v>
      </c>
      <c r="G232" s="40"/>
      <c r="H232" s="40"/>
      <c r="I232" s="40"/>
      <c r="J232" s="40"/>
      <c r="K232" s="40"/>
      <c r="L232" s="40"/>
      <c r="M232" s="40"/>
      <c r="N232" s="47"/>
      <c r="O232" s="40"/>
      <c r="P232" s="40"/>
      <c r="Q232" s="40"/>
      <c r="R232" s="55"/>
      <c r="S232" s="41"/>
      <c r="T232" s="40"/>
    </row>
    <row r="233" spans="1:20" ht="24">
      <c r="A233" s="40" t="s">
        <v>655</v>
      </c>
      <c r="B233" s="40"/>
      <c r="C233" s="41"/>
      <c r="D233" s="40"/>
      <c r="E233" s="40" t="s">
        <v>3012</v>
      </c>
      <c r="F233" s="47">
        <f>LEN(G233)</f>
        <v>0</v>
      </c>
      <c r="G233" s="40"/>
      <c r="H233" s="40"/>
      <c r="I233" s="40"/>
      <c r="J233" s="40"/>
      <c r="K233" s="40"/>
      <c r="L233" s="40"/>
      <c r="M233" s="40"/>
      <c r="N233" s="47"/>
      <c r="O233" s="40"/>
      <c r="P233" s="40"/>
      <c r="Q233" s="40"/>
      <c r="R233" s="55"/>
      <c r="S233" s="41"/>
      <c r="T233" s="40"/>
    </row>
    <row r="234" spans="1:20" ht="24">
      <c r="A234" s="40" t="s">
        <v>655</v>
      </c>
      <c r="B234" s="40"/>
      <c r="C234" s="41"/>
      <c r="D234" s="40"/>
      <c r="E234" s="40" t="s">
        <v>3012</v>
      </c>
      <c r="F234" s="47">
        <f>LEN(G234)</f>
        <v>0</v>
      </c>
      <c r="G234" s="40"/>
      <c r="H234" s="40"/>
      <c r="I234" s="40"/>
      <c r="J234" s="40"/>
      <c r="K234" s="40"/>
      <c r="L234" s="40"/>
      <c r="M234" s="40"/>
      <c r="N234" s="47"/>
      <c r="O234" s="40"/>
      <c r="P234" s="40"/>
      <c r="Q234" s="40"/>
      <c r="R234" s="55"/>
      <c r="S234" s="41"/>
      <c r="T234" s="40"/>
    </row>
    <row r="235" spans="1:20" ht="24">
      <c r="A235" s="40" t="s">
        <v>655</v>
      </c>
      <c r="B235" s="40"/>
      <c r="C235" s="41"/>
      <c r="D235" s="40"/>
      <c r="E235" s="40" t="s">
        <v>3012</v>
      </c>
      <c r="F235" s="47">
        <f>LEN(G235)</f>
        <v>0</v>
      </c>
      <c r="G235" s="40"/>
      <c r="H235" s="40"/>
      <c r="I235" s="40"/>
      <c r="J235" s="40"/>
      <c r="K235" s="40"/>
      <c r="L235" s="40"/>
      <c r="M235" s="40"/>
      <c r="N235" s="47"/>
      <c r="O235" s="40"/>
      <c r="P235" s="40"/>
      <c r="Q235" s="40"/>
      <c r="R235" s="55"/>
      <c r="S235" s="41"/>
      <c r="T235" s="40"/>
    </row>
    <row r="236" spans="1:20" ht="24">
      <c r="A236" s="40" t="s">
        <v>655</v>
      </c>
      <c r="B236" s="40"/>
      <c r="C236" s="41"/>
      <c r="D236" s="40"/>
      <c r="E236" s="40" t="s">
        <v>3012</v>
      </c>
      <c r="F236" s="47">
        <f>LEN(G236)</f>
        <v>0</v>
      </c>
      <c r="G236" s="40"/>
      <c r="H236" s="40"/>
      <c r="I236" s="40"/>
      <c r="J236" s="40"/>
      <c r="K236" s="40"/>
      <c r="L236" s="40"/>
      <c r="M236" s="40"/>
      <c r="N236" s="47"/>
      <c r="O236" s="40"/>
      <c r="P236" s="40"/>
      <c r="Q236" s="40"/>
      <c r="R236" s="55"/>
      <c r="S236" s="41"/>
      <c r="T236" s="40"/>
    </row>
    <row r="237" spans="1:20" ht="24">
      <c r="A237" s="40" t="s">
        <v>655</v>
      </c>
      <c r="B237" s="40"/>
      <c r="C237" s="41"/>
      <c r="D237" s="40"/>
      <c r="E237" s="40" t="s">
        <v>3012</v>
      </c>
      <c r="F237" s="47">
        <f>LEN(G237)</f>
        <v>0</v>
      </c>
      <c r="G237" s="40"/>
      <c r="H237" s="40"/>
      <c r="I237" s="40"/>
      <c r="J237" s="40"/>
      <c r="K237" s="40"/>
      <c r="L237" s="40"/>
      <c r="M237" s="40"/>
      <c r="N237" s="47"/>
      <c r="O237" s="40"/>
      <c r="P237" s="40"/>
      <c r="Q237" s="40"/>
      <c r="R237" s="55"/>
      <c r="S237" s="41"/>
      <c r="T237" s="40"/>
    </row>
    <row r="238" spans="1:20" ht="24">
      <c r="A238" s="40" t="s">
        <v>655</v>
      </c>
      <c r="B238" s="40"/>
      <c r="C238" s="41"/>
      <c r="D238" s="40"/>
      <c r="E238" s="40" t="s">
        <v>3012</v>
      </c>
      <c r="F238" s="47">
        <f>LEN(G238)</f>
        <v>0</v>
      </c>
      <c r="G238" s="40"/>
      <c r="H238" s="40"/>
      <c r="I238" s="40"/>
      <c r="J238" s="40"/>
      <c r="K238" s="40"/>
      <c r="L238" s="40"/>
      <c r="M238" s="40"/>
      <c r="N238" s="47"/>
      <c r="O238" s="40"/>
      <c r="P238" s="40"/>
      <c r="Q238" s="40"/>
      <c r="R238" s="55"/>
      <c r="S238" s="41"/>
      <c r="T238" s="40"/>
    </row>
    <row r="239" spans="1:20" ht="24">
      <c r="A239" s="40" t="s">
        <v>655</v>
      </c>
      <c r="B239" s="40"/>
      <c r="C239" s="41"/>
      <c r="D239" s="40"/>
      <c r="E239" s="40" t="s">
        <v>3012</v>
      </c>
      <c r="F239" s="47">
        <f>LEN(G239)</f>
        <v>0</v>
      </c>
      <c r="G239" s="40"/>
      <c r="H239" s="40"/>
      <c r="I239" s="40"/>
      <c r="J239" s="40"/>
      <c r="K239" s="40"/>
      <c r="L239" s="40"/>
      <c r="M239" s="40"/>
      <c r="N239" s="47"/>
      <c r="O239" s="40"/>
      <c r="P239" s="40"/>
      <c r="Q239" s="40"/>
      <c r="R239" s="55"/>
      <c r="S239" s="41"/>
      <c r="T239" s="40"/>
    </row>
    <row r="240" spans="1:20" ht="24">
      <c r="A240" s="40" t="s">
        <v>655</v>
      </c>
      <c r="B240" s="40"/>
      <c r="C240" s="41"/>
      <c r="D240" s="40"/>
      <c r="E240" s="40" t="s">
        <v>3012</v>
      </c>
      <c r="F240" s="47">
        <f>LEN(G240)</f>
        <v>0</v>
      </c>
      <c r="G240" s="40"/>
      <c r="H240" s="40"/>
      <c r="I240" s="40"/>
      <c r="J240" s="40"/>
      <c r="K240" s="40"/>
      <c r="L240" s="40"/>
      <c r="M240" s="40"/>
      <c r="N240" s="47"/>
      <c r="O240" s="40"/>
      <c r="P240" s="40"/>
      <c r="Q240" s="40"/>
      <c r="R240" s="55"/>
      <c r="S240" s="41"/>
      <c r="T240" s="40"/>
    </row>
    <row r="241" spans="1:20" ht="24">
      <c r="A241" s="40" t="s">
        <v>655</v>
      </c>
      <c r="B241" s="40"/>
      <c r="C241" s="41"/>
      <c r="D241" s="40"/>
      <c r="E241" s="40" t="s">
        <v>3012</v>
      </c>
      <c r="F241" s="47">
        <f>LEN(G241)</f>
        <v>0</v>
      </c>
      <c r="G241" s="40"/>
      <c r="H241" s="40"/>
      <c r="I241" s="40"/>
      <c r="J241" s="40"/>
      <c r="K241" s="40"/>
      <c r="L241" s="40"/>
      <c r="M241" s="40"/>
      <c r="N241" s="47"/>
      <c r="O241" s="40"/>
      <c r="P241" s="40"/>
      <c r="Q241" s="40"/>
      <c r="R241" s="55"/>
      <c r="S241" s="41"/>
      <c r="T241" s="40"/>
    </row>
    <row r="242" spans="1:20" ht="24">
      <c r="A242" s="40" t="s">
        <v>655</v>
      </c>
      <c r="B242" s="40"/>
      <c r="C242" s="41"/>
      <c r="D242" s="40"/>
      <c r="E242" s="40" t="s">
        <v>3012</v>
      </c>
      <c r="F242" s="47">
        <f>LEN(G242)</f>
        <v>0</v>
      </c>
      <c r="G242" s="40"/>
      <c r="H242" s="40"/>
      <c r="I242" s="40"/>
      <c r="J242" s="40"/>
      <c r="K242" s="40"/>
      <c r="L242" s="40"/>
      <c r="M242" s="40"/>
      <c r="N242" s="47"/>
      <c r="O242" s="40"/>
      <c r="P242" s="40"/>
      <c r="Q242" s="40"/>
      <c r="R242" s="55"/>
      <c r="S242" s="41"/>
      <c r="T242" s="40"/>
    </row>
    <row r="243" spans="1:20" ht="24">
      <c r="A243" s="40" t="s">
        <v>655</v>
      </c>
      <c r="B243" s="40"/>
      <c r="C243" s="41"/>
      <c r="D243" s="40"/>
      <c r="E243" s="40" t="s">
        <v>3012</v>
      </c>
      <c r="F243" s="47">
        <f>LEN(G243)</f>
        <v>0</v>
      </c>
      <c r="G243" s="40"/>
      <c r="H243" s="40"/>
      <c r="I243" s="40"/>
      <c r="J243" s="40"/>
      <c r="K243" s="40"/>
      <c r="L243" s="40"/>
      <c r="M243" s="40"/>
      <c r="N243" s="47"/>
      <c r="O243" s="40"/>
      <c r="P243" s="40"/>
      <c r="Q243" s="40"/>
      <c r="R243" s="55"/>
      <c r="S243" s="41"/>
      <c r="T243" s="40"/>
    </row>
    <row r="244" spans="1:20" ht="24">
      <c r="A244" s="40" t="s">
        <v>655</v>
      </c>
      <c r="B244" s="40"/>
      <c r="C244" s="41"/>
      <c r="D244" s="40"/>
      <c r="E244" s="40" t="s">
        <v>3012</v>
      </c>
      <c r="F244" s="47">
        <f>LEN(G244)</f>
        <v>0</v>
      </c>
      <c r="G244" s="40"/>
      <c r="H244" s="40"/>
      <c r="I244" s="40"/>
      <c r="J244" s="40"/>
      <c r="K244" s="40"/>
      <c r="L244" s="40"/>
      <c r="M244" s="40"/>
      <c r="N244" s="47"/>
      <c r="O244" s="40"/>
      <c r="P244" s="40"/>
      <c r="Q244" s="40"/>
      <c r="R244" s="55"/>
      <c r="S244" s="41"/>
      <c r="T244" s="40"/>
    </row>
    <row r="245" spans="1:20" ht="24">
      <c r="A245" s="40" t="s">
        <v>655</v>
      </c>
      <c r="B245" s="40"/>
      <c r="C245" s="41"/>
      <c r="D245" s="40"/>
      <c r="E245" s="40" t="s">
        <v>3012</v>
      </c>
      <c r="F245" s="47">
        <f>LEN(G245)</f>
        <v>0</v>
      </c>
      <c r="G245" s="40"/>
      <c r="H245" s="40"/>
      <c r="I245" s="40"/>
      <c r="J245" s="40"/>
      <c r="K245" s="40"/>
      <c r="L245" s="40"/>
      <c r="M245" s="40"/>
      <c r="N245" s="47"/>
      <c r="O245" s="40"/>
      <c r="P245" s="40"/>
      <c r="Q245" s="40"/>
      <c r="R245" s="55"/>
      <c r="S245" s="41"/>
      <c r="T245" s="40"/>
    </row>
    <row r="246" spans="1:20" ht="24">
      <c r="A246" s="40" t="s">
        <v>655</v>
      </c>
      <c r="B246" s="40"/>
      <c r="C246" s="41"/>
      <c r="D246" s="40"/>
      <c r="E246" s="40" t="s">
        <v>3012</v>
      </c>
      <c r="F246" s="47">
        <f>LEN(G246)</f>
        <v>0</v>
      </c>
      <c r="G246" s="40"/>
      <c r="H246" s="40"/>
      <c r="I246" s="40"/>
      <c r="J246" s="40"/>
      <c r="K246" s="40"/>
      <c r="L246" s="40"/>
      <c r="M246" s="40"/>
      <c r="N246" s="47"/>
      <c r="O246" s="40"/>
      <c r="P246" s="40"/>
      <c r="Q246" s="40"/>
      <c r="R246" s="55"/>
      <c r="S246" s="41"/>
      <c r="T246" s="40"/>
    </row>
    <row r="247" spans="1:20" ht="24">
      <c r="A247" s="40" t="s">
        <v>655</v>
      </c>
      <c r="B247" s="40"/>
      <c r="C247" s="41"/>
      <c r="D247" s="40"/>
      <c r="E247" s="40" t="s">
        <v>3012</v>
      </c>
      <c r="F247" s="47">
        <f>LEN(G247)</f>
        <v>0</v>
      </c>
      <c r="G247" s="40"/>
      <c r="H247" s="40"/>
      <c r="I247" s="40"/>
      <c r="J247" s="40"/>
      <c r="K247" s="40"/>
      <c r="L247" s="40"/>
      <c r="M247" s="40"/>
      <c r="N247" s="47"/>
      <c r="O247" s="40"/>
      <c r="P247" s="40"/>
      <c r="Q247" s="40"/>
      <c r="R247" s="55"/>
      <c r="S247" s="41"/>
      <c r="T247" s="40"/>
    </row>
    <row r="248" spans="1:20" ht="24">
      <c r="A248" s="40" t="s">
        <v>655</v>
      </c>
      <c r="B248" s="40"/>
      <c r="C248" s="41"/>
      <c r="D248" s="40"/>
      <c r="E248" s="40" t="s">
        <v>3012</v>
      </c>
      <c r="F248" s="47">
        <f>LEN(G248)</f>
        <v>0</v>
      </c>
      <c r="G248" s="40"/>
      <c r="H248" s="40"/>
      <c r="I248" s="40"/>
      <c r="J248" s="40"/>
      <c r="K248" s="40"/>
      <c r="L248" s="40"/>
      <c r="M248" s="40"/>
      <c r="N248" s="47"/>
      <c r="O248" s="40"/>
      <c r="P248" s="40"/>
      <c r="Q248" s="40"/>
      <c r="R248" s="55"/>
      <c r="S248" s="41"/>
      <c r="T248" s="40"/>
    </row>
    <row r="249" spans="1:20" ht="24">
      <c r="A249" s="40" t="s">
        <v>655</v>
      </c>
      <c r="B249" s="40"/>
      <c r="C249" s="41"/>
      <c r="D249" s="40"/>
      <c r="E249" s="40" t="s">
        <v>3012</v>
      </c>
      <c r="F249" s="47">
        <f>LEN(G249)</f>
        <v>0</v>
      </c>
      <c r="G249" s="40"/>
      <c r="H249" s="40"/>
      <c r="I249" s="40"/>
      <c r="J249" s="40"/>
      <c r="K249" s="40"/>
      <c r="L249" s="40"/>
      <c r="M249" s="40"/>
      <c r="N249" s="47"/>
      <c r="O249" s="40"/>
      <c r="P249" s="40"/>
      <c r="Q249" s="40"/>
      <c r="R249" s="55"/>
      <c r="S249" s="41"/>
      <c r="T249" s="40"/>
    </row>
    <row r="250" spans="1:20" ht="24">
      <c r="A250" s="40" t="s">
        <v>655</v>
      </c>
      <c r="B250" s="40"/>
      <c r="C250" s="41"/>
      <c r="D250" s="40"/>
      <c r="E250" s="40" t="s">
        <v>3012</v>
      </c>
      <c r="F250" s="47">
        <f>LEN(G250)</f>
        <v>0</v>
      </c>
      <c r="G250" s="40"/>
      <c r="H250" s="40"/>
      <c r="I250" s="40"/>
      <c r="J250" s="40"/>
      <c r="K250" s="40"/>
      <c r="L250" s="40"/>
      <c r="M250" s="40"/>
      <c r="N250" s="47"/>
      <c r="O250" s="40"/>
      <c r="P250" s="40"/>
      <c r="Q250" s="40"/>
      <c r="R250" s="55"/>
      <c r="S250" s="41"/>
      <c r="T250" s="40"/>
    </row>
    <row r="251" spans="1:20" ht="24">
      <c r="A251" s="40" t="s">
        <v>655</v>
      </c>
      <c r="B251" s="40"/>
      <c r="C251" s="41"/>
      <c r="D251" s="40"/>
      <c r="E251" s="40" t="s">
        <v>3012</v>
      </c>
      <c r="F251" s="47">
        <f>LEN(G251)</f>
        <v>0</v>
      </c>
      <c r="G251" s="40"/>
      <c r="H251" s="40"/>
      <c r="I251" s="40"/>
      <c r="J251" s="40"/>
      <c r="K251" s="40"/>
      <c r="L251" s="40"/>
      <c r="M251" s="40"/>
      <c r="N251" s="47"/>
      <c r="O251" s="40"/>
      <c r="P251" s="40"/>
      <c r="Q251" s="40"/>
      <c r="R251" s="55"/>
      <c r="S251" s="41"/>
      <c r="T251" s="40"/>
    </row>
    <row r="252" spans="1:20" ht="24">
      <c r="A252" s="40" t="s">
        <v>655</v>
      </c>
      <c r="B252" s="40"/>
      <c r="C252" s="41"/>
      <c r="D252" s="40"/>
      <c r="E252" s="40" t="s">
        <v>3012</v>
      </c>
      <c r="F252" s="47">
        <f>LEN(G252)</f>
        <v>0</v>
      </c>
      <c r="G252" s="40"/>
      <c r="H252" s="40"/>
      <c r="I252" s="40"/>
      <c r="J252" s="40"/>
      <c r="K252" s="40"/>
      <c r="L252" s="40"/>
      <c r="M252" s="40"/>
      <c r="N252" s="47"/>
      <c r="O252" s="40"/>
      <c r="P252" s="40"/>
      <c r="Q252" s="40"/>
      <c r="R252" s="55"/>
      <c r="S252" s="41"/>
      <c r="T252" s="40"/>
    </row>
    <row r="253" spans="1:20" ht="24">
      <c r="A253" s="40" t="s">
        <v>655</v>
      </c>
      <c r="B253" s="40"/>
      <c r="C253" s="41"/>
      <c r="D253" s="40"/>
      <c r="E253" s="40" t="s">
        <v>3012</v>
      </c>
      <c r="F253" s="47">
        <f>LEN(G253)</f>
        <v>0</v>
      </c>
      <c r="G253" s="40"/>
      <c r="H253" s="40"/>
      <c r="I253" s="40"/>
      <c r="J253" s="40"/>
      <c r="K253" s="40"/>
      <c r="L253" s="40"/>
      <c r="M253" s="40"/>
      <c r="N253" s="47"/>
      <c r="O253" s="40"/>
      <c r="P253" s="40"/>
      <c r="Q253" s="40"/>
      <c r="R253" s="55"/>
      <c r="S253" s="41"/>
      <c r="T253" s="40"/>
    </row>
    <row r="254" spans="1:20" ht="24">
      <c r="A254" s="40" t="s">
        <v>655</v>
      </c>
      <c r="B254" s="40"/>
      <c r="C254" s="41"/>
      <c r="D254" s="40"/>
      <c r="E254" s="40" t="s">
        <v>3012</v>
      </c>
      <c r="F254" s="47">
        <f>LEN(G254)</f>
        <v>0</v>
      </c>
      <c r="G254" s="40"/>
      <c r="H254" s="40"/>
      <c r="I254" s="40"/>
      <c r="J254" s="40"/>
      <c r="K254" s="40"/>
      <c r="L254" s="40"/>
      <c r="M254" s="40"/>
      <c r="N254" s="47"/>
      <c r="O254" s="40"/>
      <c r="P254" s="40"/>
      <c r="Q254" s="40"/>
      <c r="R254" s="55"/>
      <c r="S254" s="41"/>
      <c r="T254" s="40"/>
    </row>
    <row r="255" spans="1:20" ht="24">
      <c r="A255" s="40" t="s">
        <v>655</v>
      </c>
      <c r="B255" s="40"/>
      <c r="C255" s="41"/>
      <c r="D255" s="40"/>
      <c r="E255" s="40" t="s">
        <v>3012</v>
      </c>
      <c r="F255" s="47">
        <f>LEN(G255)</f>
        <v>0</v>
      </c>
      <c r="G255" s="40"/>
      <c r="H255" s="40"/>
      <c r="I255" s="40"/>
      <c r="J255" s="40"/>
      <c r="K255" s="40"/>
      <c r="L255" s="40"/>
      <c r="M255" s="40"/>
      <c r="N255" s="47"/>
      <c r="O255" s="40"/>
      <c r="P255" s="40"/>
      <c r="Q255" s="40"/>
      <c r="R255" s="55"/>
      <c r="S255" s="41"/>
      <c r="T255" s="40"/>
    </row>
    <row r="256" spans="1:20" ht="24">
      <c r="A256" s="40" t="s">
        <v>655</v>
      </c>
      <c r="B256" s="40"/>
      <c r="C256" s="41"/>
      <c r="D256" s="40"/>
      <c r="E256" s="40" t="s">
        <v>3012</v>
      </c>
      <c r="F256" s="47">
        <f>LEN(G256)</f>
        <v>0</v>
      </c>
      <c r="G256" s="40"/>
      <c r="H256" s="40"/>
      <c r="I256" s="40"/>
      <c r="J256" s="40"/>
      <c r="K256" s="40"/>
      <c r="L256" s="40"/>
      <c r="M256" s="40"/>
      <c r="N256" s="47"/>
      <c r="O256" s="40"/>
      <c r="P256" s="40"/>
      <c r="Q256" s="40"/>
      <c r="R256" s="55"/>
      <c r="S256" s="41"/>
      <c r="T256" s="40"/>
    </row>
    <row r="257" spans="1:20" ht="24">
      <c r="A257" s="40" t="s">
        <v>655</v>
      </c>
      <c r="B257" s="40"/>
      <c r="C257" s="41"/>
      <c r="D257" s="40"/>
      <c r="E257" s="40" t="s">
        <v>3012</v>
      </c>
      <c r="F257" s="47">
        <f>LEN(G257)</f>
        <v>0</v>
      </c>
      <c r="G257" s="40"/>
      <c r="H257" s="40"/>
      <c r="I257" s="40"/>
      <c r="J257" s="40"/>
      <c r="K257" s="40"/>
      <c r="L257" s="40"/>
      <c r="M257" s="40"/>
      <c r="N257" s="47"/>
      <c r="O257" s="40"/>
      <c r="P257" s="40"/>
      <c r="Q257" s="40"/>
      <c r="R257" s="55"/>
      <c r="S257" s="41"/>
      <c r="T257" s="40"/>
    </row>
    <row r="258" spans="1:20" ht="24">
      <c r="A258" s="40" t="s">
        <v>655</v>
      </c>
      <c r="B258" s="40"/>
      <c r="C258" s="41"/>
      <c r="D258" s="40"/>
      <c r="E258" s="40" t="s">
        <v>3012</v>
      </c>
      <c r="F258" s="47">
        <f>LEN(G258)</f>
        <v>0</v>
      </c>
      <c r="G258" s="40"/>
      <c r="H258" s="40"/>
      <c r="I258" s="40"/>
      <c r="J258" s="40"/>
      <c r="K258" s="40"/>
      <c r="L258" s="40"/>
      <c r="M258" s="40"/>
      <c r="N258" s="47"/>
      <c r="O258" s="40"/>
      <c r="P258" s="40"/>
      <c r="Q258" s="40"/>
      <c r="R258" s="55"/>
      <c r="S258" s="41"/>
      <c r="T258" s="40"/>
    </row>
    <row r="259" spans="1:20" ht="24">
      <c r="A259" s="40" t="s">
        <v>655</v>
      </c>
      <c r="B259" s="40"/>
      <c r="C259" s="41"/>
      <c r="D259" s="40"/>
      <c r="E259" s="40" t="s">
        <v>3012</v>
      </c>
      <c r="F259" s="47">
        <f>LEN(G259)</f>
        <v>0</v>
      </c>
      <c r="G259" s="40"/>
      <c r="H259" s="40"/>
      <c r="I259" s="40"/>
      <c r="J259" s="40"/>
      <c r="K259" s="40"/>
      <c r="L259" s="40"/>
      <c r="M259" s="40"/>
      <c r="N259" s="47"/>
      <c r="O259" s="40"/>
      <c r="P259" s="40"/>
      <c r="Q259" s="40"/>
      <c r="R259" s="55"/>
      <c r="S259" s="41"/>
      <c r="T259" s="40"/>
    </row>
    <row r="260" spans="1:20" ht="24">
      <c r="A260" s="40" t="s">
        <v>655</v>
      </c>
      <c r="B260" s="40"/>
      <c r="C260" s="41"/>
      <c r="D260" s="40"/>
      <c r="E260" s="40" t="s">
        <v>3012</v>
      </c>
      <c r="F260" s="47">
        <f>LEN(G260)</f>
        <v>0</v>
      </c>
      <c r="G260" s="40"/>
      <c r="H260" s="40"/>
      <c r="I260" s="40"/>
      <c r="J260" s="40"/>
      <c r="K260" s="40"/>
      <c r="L260" s="40"/>
      <c r="M260" s="40"/>
      <c r="N260" s="47"/>
      <c r="O260" s="40"/>
      <c r="P260" s="40"/>
      <c r="Q260" s="40"/>
      <c r="R260" s="55"/>
      <c r="S260" s="41"/>
      <c r="T260" s="40"/>
    </row>
    <row r="261" spans="1:20" ht="24">
      <c r="A261" s="40" t="s">
        <v>655</v>
      </c>
      <c r="B261" s="40"/>
      <c r="C261" s="41"/>
      <c r="D261" s="40"/>
      <c r="E261" s="40" t="s">
        <v>3012</v>
      </c>
      <c r="F261" s="47">
        <f>LEN(G261)</f>
        <v>0</v>
      </c>
      <c r="G261" s="40"/>
      <c r="H261" s="40"/>
      <c r="I261" s="40"/>
      <c r="J261" s="40"/>
      <c r="K261" s="40"/>
      <c r="L261" s="40"/>
      <c r="M261" s="40"/>
      <c r="N261" s="47"/>
      <c r="O261" s="40"/>
      <c r="P261" s="40"/>
      <c r="Q261" s="40"/>
      <c r="R261" s="55"/>
      <c r="S261" s="41"/>
      <c r="T261" s="40"/>
    </row>
    <row r="262" spans="1:20" ht="24">
      <c r="A262" s="40" t="s">
        <v>655</v>
      </c>
      <c r="B262" s="40"/>
      <c r="C262" s="41"/>
      <c r="D262" s="40"/>
      <c r="E262" s="40" t="s">
        <v>3012</v>
      </c>
      <c r="F262" s="47">
        <f>LEN(G262)</f>
        <v>0</v>
      </c>
      <c r="G262" s="40"/>
      <c r="H262" s="40"/>
      <c r="I262" s="40"/>
      <c r="J262" s="40"/>
      <c r="K262" s="40"/>
      <c r="L262" s="40"/>
      <c r="M262" s="40"/>
      <c r="N262" s="47"/>
      <c r="O262" s="40"/>
      <c r="P262" s="40"/>
      <c r="Q262" s="40"/>
      <c r="R262" s="55"/>
      <c r="S262" s="41"/>
      <c r="T262" s="40"/>
    </row>
    <row r="263" spans="1:20" ht="24">
      <c r="A263" s="40" t="s">
        <v>655</v>
      </c>
      <c r="B263" s="40"/>
      <c r="C263" s="41"/>
      <c r="D263" s="40"/>
      <c r="E263" s="40" t="s">
        <v>3012</v>
      </c>
      <c r="F263" s="47">
        <f>LEN(G263)</f>
        <v>0</v>
      </c>
      <c r="G263" s="40"/>
      <c r="H263" s="40"/>
      <c r="I263" s="40"/>
      <c r="J263" s="40"/>
      <c r="K263" s="40"/>
      <c r="L263" s="40"/>
      <c r="M263" s="40"/>
      <c r="N263" s="47"/>
      <c r="O263" s="40"/>
      <c r="P263" s="40"/>
      <c r="Q263" s="40"/>
      <c r="R263" s="55"/>
      <c r="S263" s="41"/>
      <c r="T263" s="40"/>
    </row>
    <row r="264" spans="1:20" ht="24">
      <c r="A264" s="40" t="s">
        <v>655</v>
      </c>
      <c r="B264" s="40"/>
      <c r="C264" s="41"/>
      <c r="D264" s="40"/>
      <c r="E264" s="40" t="s">
        <v>3012</v>
      </c>
      <c r="F264" s="47">
        <f>LEN(G264)</f>
        <v>0</v>
      </c>
      <c r="G264" s="40"/>
      <c r="H264" s="40"/>
      <c r="I264" s="40"/>
      <c r="J264" s="40"/>
      <c r="K264" s="40"/>
      <c r="L264" s="40"/>
      <c r="M264" s="40"/>
      <c r="N264" s="47"/>
      <c r="O264" s="40"/>
      <c r="P264" s="40"/>
      <c r="Q264" s="40"/>
      <c r="R264" s="55"/>
      <c r="S264" s="41"/>
      <c r="T264" s="40"/>
    </row>
    <row r="265" spans="1:20" ht="24">
      <c r="A265" s="40" t="s">
        <v>655</v>
      </c>
      <c r="B265" s="40"/>
      <c r="C265" s="41"/>
      <c r="D265" s="40"/>
      <c r="E265" s="40" t="s">
        <v>3012</v>
      </c>
      <c r="F265" s="47">
        <f>LEN(G265)</f>
        <v>0</v>
      </c>
      <c r="G265" s="40"/>
      <c r="H265" s="40"/>
      <c r="I265" s="40"/>
      <c r="J265" s="40"/>
      <c r="K265" s="40"/>
      <c r="L265" s="40"/>
      <c r="M265" s="40"/>
      <c r="N265" s="47"/>
      <c r="O265" s="40"/>
      <c r="P265" s="40"/>
      <c r="Q265" s="40"/>
      <c r="R265" s="55"/>
      <c r="S265" s="41"/>
      <c r="T265" s="40"/>
    </row>
    <row r="266" spans="1:20" ht="24">
      <c r="A266" s="40" t="s">
        <v>655</v>
      </c>
      <c r="B266" s="40"/>
      <c r="C266" s="41"/>
      <c r="D266" s="40"/>
      <c r="E266" s="40" t="s">
        <v>3012</v>
      </c>
      <c r="F266" s="47">
        <f>LEN(G266)</f>
        <v>0</v>
      </c>
      <c r="G266" s="40"/>
      <c r="H266" s="40"/>
      <c r="I266" s="40"/>
      <c r="J266" s="40"/>
      <c r="K266" s="40"/>
      <c r="L266" s="40"/>
      <c r="M266" s="40"/>
      <c r="N266" s="47"/>
      <c r="O266" s="40"/>
      <c r="P266" s="40"/>
      <c r="Q266" s="40"/>
      <c r="R266" s="55"/>
      <c r="S266" s="41"/>
      <c r="T266" s="40"/>
    </row>
    <row r="267" spans="1:20" ht="24">
      <c r="A267" s="40" t="s">
        <v>655</v>
      </c>
      <c r="B267" s="40"/>
      <c r="C267" s="41"/>
      <c r="D267" s="40"/>
      <c r="E267" s="40" t="s">
        <v>3012</v>
      </c>
      <c r="F267" s="47">
        <f>LEN(G267)</f>
        <v>0</v>
      </c>
      <c r="G267" s="40"/>
      <c r="H267" s="40"/>
      <c r="I267" s="40"/>
      <c r="J267" s="40"/>
      <c r="K267" s="40"/>
      <c r="L267" s="40"/>
      <c r="M267" s="40"/>
      <c r="N267" s="47"/>
      <c r="O267" s="40"/>
      <c r="P267" s="40"/>
      <c r="Q267" s="40"/>
      <c r="R267" s="55"/>
      <c r="S267" s="41"/>
      <c r="T267" s="40"/>
    </row>
    <row r="268" spans="1:20" ht="24">
      <c r="A268" s="40" t="s">
        <v>655</v>
      </c>
      <c r="B268" s="40"/>
      <c r="C268" s="41"/>
      <c r="D268" s="40"/>
      <c r="E268" s="40" t="s">
        <v>3012</v>
      </c>
      <c r="F268" s="47">
        <f>LEN(G268)</f>
        <v>0</v>
      </c>
      <c r="G268" s="40"/>
      <c r="H268" s="40"/>
      <c r="I268" s="40"/>
      <c r="J268" s="40"/>
      <c r="K268" s="40"/>
      <c r="L268" s="40"/>
      <c r="M268" s="40"/>
      <c r="N268" s="47"/>
      <c r="O268" s="40"/>
      <c r="P268" s="40"/>
      <c r="Q268" s="40"/>
      <c r="R268" s="55"/>
      <c r="S268" s="41"/>
      <c r="T268" s="40"/>
    </row>
    <row r="269" spans="1:20" ht="24">
      <c r="A269" s="40" t="s">
        <v>655</v>
      </c>
      <c r="B269" s="40"/>
      <c r="C269" s="41"/>
      <c r="D269" s="40"/>
      <c r="E269" s="40" t="s">
        <v>3012</v>
      </c>
      <c r="F269" s="47">
        <f>LEN(G269)</f>
        <v>0</v>
      </c>
      <c r="G269" s="40"/>
      <c r="H269" s="40"/>
      <c r="I269" s="40"/>
      <c r="J269" s="40"/>
      <c r="K269" s="40"/>
      <c r="L269" s="40"/>
      <c r="M269" s="40"/>
      <c r="N269" s="47"/>
      <c r="O269" s="40"/>
      <c r="P269" s="40"/>
      <c r="Q269" s="40"/>
      <c r="R269" s="55"/>
      <c r="S269" s="41"/>
      <c r="T269" s="40"/>
    </row>
    <row r="270" spans="1:20" ht="24">
      <c r="A270" s="40" t="s">
        <v>655</v>
      </c>
      <c r="B270" s="40"/>
      <c r="C270" s="41"/>
      <c r="D270" s="40"/>
      <c r="E270" s="40" t="s">
        <v>3012</v>
      </c>
      <c r="F270" s="47">
        <f>LEN(G270)</f>
        <v>0</v>
      </c>
      <c r="G270" s="40"/>
      <c r="H270" s="40"/>
      <c r="I270" s="40"/>
      <c r="J270" s="40"/>
      <c r="K270" s="40"/>
      <c r="L270" s="40"/>
      <c r="M270" s="40"/>
      <c r="N270" s="47"/>
      <c r="O270" s="40"/>
      <c r="P270" s="40"/>
      <c r="Q270" s="40"/>
      <c r="R270" s="55"/>
      <c r="S270" s="41"/>
      <c r="T270" s="40"/>
    </row>
    <row r="271" spans="1:20" ht="24">
      <c r="A271" s="40" t="s">
        <v>655</v>
      </c>
      <c r="B271" s="40"/>
      <c r="C271" s="41"/>
      <c r="D271" s="40"/>
      <c r="E271" s="40" t="s">
        <v>3012</v>
      </c>
      <c r="F271" s="47">
        <f>LEN(G271)</f>
        <v>0</v>
      </c>
      <c r="G271" s="40"/>
      <c r="H271" s="40"/>
      <c r="I271" s="40"/>
      <c r="J271" s="40"/>
      <c r="K271" s="40"/>
      <c r="L271" s="40"/>
      <c r="M271" s="40"/>
      <c r="N271" s="47"/>
      <c r="O271" s="40"/>
      <c r="P271" s="40"/>
      <c r="Q271" s="40"/>
      <c r="R271" s="55"/>
      <c r="S271" s="41"/>
      <c r="T271" s="40"/>
    </row>
    <row r="272" spans="1:20" ht="24">
      <c r="A272" s="40" t="s">
        <v>655</v>
      </c>
      <c r="B272" s="40"/>
      <c r="C272" s="41"/>
      <c r="D272" s="40"/>
      <c r="E272" s="40" t="s">
        <v>3012</v>
      </c>
      <c r="F272" s="47">
        <f>LEN(G272)</f>
        <v>0</v>
      </c>
      <c r="G272" s="40"/>
      <c r="H272" s="40"/>
      <c r="I272" s="40"/>
      <c r="J272" s="40"/>
      <c r="K272" s="40"/>
      <c r="L272" s="40"/>
      <c r="M272" s="40"/>
      <c r="N272" s="47"/>
      <c r="O272" s="40"/>
      <c r="P272" s="40"/>
      <c r="Q272" s="40"/>
      <c r="R272" s="55"/>
      <c r="S272" s="41"/>
      <c r="T272" s="40"/>
    </row>
    <row r="273" spans="1:20" ht="24">
      <c r="A273" s="40" t="s">
        <v>655</v>
      </c>
      <c r="B273" s="40"/>
      <c r="C273" s="41"/>
      <c r="D273" s="40"/>
      <c r="E273" s="40" t="s">
        <v>3012</v>
      </c>
      <c r="F273" s="47">
        <f>LEN(G273)</f>
        <v>0</v>
      </c>
      <c r="G273" s="40"/>
      <c r="H273" s="40"/>
      <c r="I273" s="40"/>
      <c r="J273" s="40"/>
      <c r="K273" s="40"/>
      <c r="L273" s="40"/>
      <c r="M273" s="40"/>
      <c r="N273" s="47"/>
      <c r="O273" s="40"/>
      <c r="P273" s="40"/>
      <c r="Q273" s="40"/>
      <c r="R273" s="55"/>
      <c r="S273" s="41"/>
      <c r="T273" s="40"/>
    </row>
    <row r="274" spans="1:20" ht="24">
      <c r="A274" s="40" t="s">
        <v>655</v>
      </c>
      <c r="B274" s="40"/>
      <c r="C274" s="41"/>
      <c r="D274" s="40"/>
      <c r="E274" s="40" t="s">
        <v>3012</v>
      </c>
      <c r="F274" s="47">
        <f>LEN(G274)</f>
        <v>0</v>
      </c>
      <c r="G274" s="40"/>
      <c r="H274" s="40"/>
      <c r="I274" s="40"/>
      <c r="J274" s="40"/>
      <c r="K274" s="40"/>
      <c r="L274" s="40"/>
      <c r="M274" s="40"/>
      <c r="N274" s="47"/>
      <c r="O274" s="40"/>
      <c r="P274" s="40"/>
      <c r="Q274" s="40"/>
      <c r="R274" s="55"/>
      <c r="S274" s="41"/>
      <c r="T274" s="40"/>
    </row>
    <row r="275" spans="1:20" ht="24">
      <c r="A275" s="40" t="s">
        <v>655</v>
      </c>
      <c r="B275" s="40"/>
      <c r="C275" s="41"/>
      <c r="D275" s="40"/>
      <c r="E275" s="40" t="s">
        <v>3012</v>
      </c>
      <c r="F275" s="47">
        <f>LEN(G275)</f>
        <v>0</v>
      </c>
      <c r="G275" s="40"/>
      <c r="H275" s="40"/>
      <c r="I275" s="40"/>
      <c r="J275" s="40"/>
      <c r="K275" s="40"/>
      <c r="L275" s="40"/>
      <c r="M275" s="40"/>
      <c r="N275" s="47"/>
      <c r="O275" s="40"/>
      <c r="P275" s="40"/>
      <c r="Q275" s="40"/>
      <c r="R275" s="55"/>
      <c r="S275" s="41"/>
      <c r="T275" s="40"/>
    </row>
    <row r="276" spans="1:20" ht="24">
      <c r="A276" s="40" t="s">
        <v>655</v>
      </c>
      <c r="B276" s="40"/>
      <c r="C276" s="41"/>
      <c r="D276" s="40"/>
      <c r="E276" s="40" t="s">
        <v>3012</v>
      </c>
      <c r="F276" s="47">
        <f>LEN(G276)</f>
        <v>0</v>
      </c>
      <c r="G276" s="40"/>
      <c r="H276" s="40"/>
      <c r="I276" s="40"/>
      <c r="J276" s="40"/>
      <c r="K276" s="40"/>
      <c r="L276" s="40"/>
      <c r="M276" s="40"/>
      <c r="N276" s="47"/>
      <c r="O276" s="40"/>
      <c r="P276" s="40"/>
      <c r="Q276" s="40"/>
      <c r="R276" s="55"/>
      <c r="S276" s="41"/>
      <c r="T276" s="40"/>
    </row>
    <row r="277" spans="1:20" ht="24">
      <c r="A277" s="40" t="s">
        <v>655</v>
      </c>
      <c r="B277" s="40"/>
      <c r="C277" s="41"/>
      <c r="D277" s="40"/>
      <c r="E277" s="40" t="s">
        <v>3012</v>
      </c>
      <c r="F277" s="47">
        <f>LEN(G277)</f>
        <v>0</v>
      </c>
      <c r="G277" s="40"/>
      <c r="H277" s="40"/>
      <c r="I277" s="40"/>
      <c r="J277" s="40"/>
      <c r="K277" s="40"/>
      <c r="L277" s="40"/>
      <c r="M277" s="40"/>
      <c r="N277" s="47"/>
      <c r="O277" s="40"/>
      <c r="P277" s="40"/>
      <c r="Q277" s="40"/>
      <c r="R277" s="55"/>
      <c r="S277" s="41"/>
      <c r="T277" s="40"/>
    </row>
    <row r="278" spans="1:20" ht="24">
      <c r="A278" s="40" t="s">
        <v>655</v>
      </c>
      <c r="B278" s="40"/>
      <c r="C278" s="41"/>
      <c r="D278" s="40"/>
      <c r="E278" s="40" t="s">
        <v>3012</v>
      </c>
      <c r="F278" s="47">
        <f>LEN(G278)</f>
        <v>0</v>
      </c>
      <c r="G278" s="40"/>
      <c r="H278" s="40"/>
      <c r="I278" s="40"/>
      <c r="J278" s="40"/>
      <c r="K278" s="40"/>
      <c r="L278" s="40"/>
      <c r="M278" s="40"/>
      <c r="N278" s="47"/>
      <c r="O278" s="40"/>
      <c r="P278" s="40"/>
      <c r="Q278" s="40"/>
      <c r="R278" s="55"/>
      <c r="S278" s="41"/>
      <c r="T278" s="40"/>
    </row>
    <row r="279" spans="1:20" ht="24">
      <c r="A279" s="40" t="s">
        <v>655</v>
      </c>
      <c r="B279" s="40"/>
      <c r="C279" s="41"/>
      <c r="D279" s="40"/>
      <c r="E279" s="40" t="s">
        <v>3012</v>
      </c>
      <c r="F279" s="47">
        <f>LEN(G279)</f>
        <v>0</v>
      </c>
      <c r="G279" s="40"/>
      <c r="H279" s="40"/>
      <c r="I279" s="40"/>
      <c r="J279" s="40"/>
      <c r="K279" s="40"/>
      <c r="L279" s="40"/>
      <c r="M279" s="40"/>
      <c r="N279" s="47"/>
      <c r="O279" s="40"/>
      <c r="P279" s="40"/>
      <c r="Q279" s="40"/>
      <c r="R279" s="55"/>
      <c r="S279" s="41"/>
      <c r="T279" s="40"/>
    </row>
    <row r="280" spans="1:20" ht="24">
      <c r="A280" s="40" t="s">
        <v>655</v>
      </c>
      <c r="B280" s="40"/>
      <c r="C280" s="41"/>
      <c r="D280" s="40"/>
      <c r="E280" s="40" t="s">
        <v>3012</v>
      </c>
      <c r="F280" s="47">
        <f>LEN(G280)</f>
        <v>0</v>
      </c>
      <c r="G280" s="40"/>
      <c r="H280" s="40"/>
      <c r="I280" s="40"/>
      <c r="J280" s="40"/>
      <c r="K280" s="40"/>
      <c r="L280" s="40"/>
      <c r="M280" s="40"/>
      <c r="N280" s="47"/>
      <c r="O280" s="40"/>
      <c r="P280" s="40"/>
      <c r="Q280" s="40"/>
      <c r="R280" s="55"/>
      <c r="S280" s="41"/>
      <c r="T280" s="40"/>
    </row>
    <row r="281" spans="1:20" ht="24">
      <c r="A281" s="40" t="s">
        <v>655</v>
      </c>
      <c r="B281" s="40"/>
      <c r="C281" s="41"/>
      <c r="D281" s="40"/>
      <c r="E281" s="40" t="s">
        <v>3012</v>
      </c>
      <c r="F281" s="47">
        <f>LEN(G281)</f>
        <v>0</v>
      </c>
      <c r="G281" s="40"/>
      <c r="H281" s="40"/>
      <c r="I281" s="40"/>
      <c r="J281" s="40"/>
      <c r="K281" s="40"/>
      <c r="L281" s="40"/>
      <c r="M281" s="40"/>
      <c r="N281" s="47"/>
      <c r="O281" s="40"/>
      <c r="P281" s="40"/>
      <c r="Q281" s="40"/>
      <c r="R281" s="55"/>
      <c r="S281" s="41"/>
      <c r="T281" s="40"/>
    </row>
    <row r="282" spans="1:20" ht="24">
      <c r="A282" s="40" t="s">
        <v>655</v>
      </c>
      <c r="B282" s="40"/>
      <c r="C282" s="41"/>
      <c r="D282" s="40"/>
      <c r="E282" s="40" t="s">
        <v>3012</v>
      </c>
      <c r="F282" s="47">
        <f>LEN(G282)</f>
        <v>0</v>
      </c>
      <c r="G282" s="40"/>
      <c r="H282" s="40"/>
      <c r="I282" s="40"/>
      <c r="J282" s="40"/>
      <c r="K282" s="40"/>
      <c r="L282" s="40"/>
      <c r="M282" s="40"/>
      <c r="N282" s="47"/>
      <c r="O282" s="40"/>
      <c r="P282" s="40"/>
      <c r="Q282" s="40"/>
      <c r="R282" s="55"/>
      <c r="S282" s="41"/>
      <c r="T282" s="40"/>
    </row>
    <row r="283" spans="1:20" ht="24">
      <c r="A283" s="40" t="s">
        <v>655</v>
      </c>
      <c r="B283" s="40"/>
      <c r="C283" s="41"/>
      <c r="D283" s="40"/>
      <c r="E283" s="40" t="s">
        <v>3012</v>
      </c>
      <c r="F283" s="47">
        <f>LEN(G283)</f>
        <v>0</v>
      </c>
      <c r="G283" s="40"/>
      <c r="H283" s="40"/>
      <c r="I283" s="40"/>
      <c r="J283" s="40"/>
      <c r="K283" s="40"/>
      <c r="L283" s="40"/>
      <c r="M283" s="40"/>
      <c r="N283" s="47"/>
      <c r="O283" s="40"/>
      <c r="P283" s="40"/>
      <c r="Q283" s="40"/>
      <c r="R283" s="55"/>
      <c r="S283" s="41"/>
      <c r="T283" s="40"/>
    </row>
    <row r="284" spans="1:20" ht="24">
      <c r="A284" s="40" t="s">
        <v>655</v>
      </c>
      <c r="B284" s="40"/>
      <c r="C284" s="41"/>
      <c r="D284" s="40"/>
      <c r="E284" s="40" t="s">
        <v>3012</v>
      </c>
      <c r="F284" s="47">
        <f>LEN(G284)</f>
        <v>0</v>
      </c>
      <c r="G284" s="40"/>
      <c r="H284" s="40"/>
      <c r="I284" s="40"/>
      <c r="J284" s="40"/>
      <c r="K284" s="40"/>
      <c r="L284" s="40"/>
      <c r="M284" s="40"/>
      <c r="N284" s="47"/>
      <c r="O284" s="40"/>
      <c r="P284" s="40"/>
      <c r="Q284" s="40"/>
      <c r="R284" s="55"/>
      <c r="S284" s="41"/>
      <c r="T284" s="40"/>
    </row>
    <row r="285" spans="1:20" ht="24">
      <c r="A285" s="40" t="s">
        <v>655</v>
      </c>
      <c r="B285" s="40"/>
      <c r="C285" s="41"/>
      <c r="D285" s="40"/>
      <c r="E285" s="40" t="s">
        <v>3012</v>
      </c>
      <c r="F285" s="47">
        <f>LEN(G285)</f>
        <v>0</v>
      </c>
      <c r="G285" s="40"/>
      <c r="H285" s="40"/>
      <c r="I285" s="40"/>
      <c r="J285" s="40"/>
      <c r="K285" s="40"/>
      <c r="L285" s="40"/>
      <c r="M285" s="40"/>
      <c r="N285" s="47"/>
      <c r="O285" s="40"/>
      <c r="P285" s="40"/>
      <c r="Q285" s="40"/>
      <c r="R285" s="55"/>
      <c r="S285" s="41"/>
      <c r="T285" s="40"/>
    </row>
    <row r="286" spans="1:20" ht="24">
      <c r="A286" s="40" t="s">
        <v>655</v>
      </c>
      <c r="B286" s="40"/>
      <c r="C286" s="41"/>
      <c r="D286" s="40"/>
      <c r="E286" s="40" t="s">
        <v>3012</v>
      </c>
      <c r="F286" s="47">
        <f>LEN(G286)</f>
        <v>0</v>
      </c>
      <c r="G286" s="40"/>
      <c r="H286" s="40"/>
      <c r="I286" s="40"/>
      <c r="J286" s="40"/>
      <c r="K286" s="40"/>
      <c r="L286" s="40"/>
      <c r="M286" s="40"/>
      <c r="N286" s="47"/>
      <c r="O286" s="40"/>
      <c r="P286" s="40"/>
      <c r="Q286" s="40"/>
      <c r="R286" s="55"/>
      <c r="S286" s="41"/>
      <c r="T286" s="40"/>
    </row>
    <row r="287" spans="1:20" ht="24">
      <c r="A287" s="40" t="s">
        <v>655</v>
      </c>
      <c r="B287" s="40"/>
      <c r="C287" s="41"/>
      <c r="D287" s="40"/>
      <c r="E287" s="40" t="s">
        <v>3012</v>
      </c>
      <c r="F287" s="47">
        <f>LEN(G287)</f>
        <v>0</v>
      </c>
      <c r="G287" s="40"/>
      <c r="H287" s="40"/>
      <c r="I287" s="40"/>
      <c r="J287" s="40"/>
      <c r="K287" s="40"/>
      <c r="L287" s="40"/>
      <c r="M287" s="40"/>
      <c r="N287" s="47"/>
      <c r="O287" s="40"/>
      <c r="P287" s="40"/>
      <c r="Q287" s="40"/>
      <c r="R287" s="55"/>
      <c r="S287" s="41"/>
      <c r="T287" s="40"/>
    </row>
    <row r="288" spans="1:20" ht="24">
      <c r="A288" s="40" t="s">
        <v>655</v>
      </c>
      <c r="B288" s="40"/>
      <c r="C288" s="41"/>
      <c r="D288" s="40"/>
      <c r="E288" s="40" t="s">
        <v>3012</v>
      </c>
      <c r="F288" s="47">
        <f>LEN(G288)</f>
        <v>0</v>
      </c>
      <c r="G288" s="40"/>
      <c r="H288" s="40"/>
      <c r="I288" s="40"/>
      <c r="J288" s="40"/>
      <c r="K288" s="40"/>
      <c r="L288" s="40"/>
      <c r="M288" s="40"/>
      <c r="N288" s="47"/>
      <c r="O288" s="40"/>
      <c r="P288" s="40"/>
      <c r="Q288" s="40"/>
      <c r="R288" s="55"/>
      <c r="S288" s="41"/>
      <c r="T288" s="40"/>
    </row>
    <row r="289" spans="1:20" ht="24">
      <c r="A289" s="40" t="s">
        <v>655</v>
      </c>
      <c r="B289" s="40"/>
      <c r="C289" s="41"/>
      <c r="D289" s="40"/>
      <c r="E289" s="40" t="s">
        <v>3012</v>
      </c>
      <c r="F289" s="47">
        <f>LEN(G289)</f>
        <v>0</v>
      </c>
      <c r="G289" s="40"/>
      <c r="H289" s="40"/>
      <c r="I289" s="40"/>
      <c r="J289" s="40"/>
      <c r="K289" s="40"/>
      <c r="L289" s="40"/>
      <c r="M289" s="40"/>
      <c r="N289" s="47"/>
      <c r="O289" s="40"/>
      <c r="P289" s="40"/>
      <c r="Q289" s="40"/>
      <c r="R289" s="55"/>
      <c r="S289" s="41"/>
      <c r="T289" s="40"/>
    </row>
    <row r="290" spans="1:20" ht="24">
      <c r="A290" s="40" t="s">
        <v>655</v>
      </c>
      <c r="B290" s="40"/>
      <c r="C290" s="41"/>
      <c r="D290" s="40"/>
      <c r="E290" s="40" t="s">
        <v>3012</v>
      </c>
      <c r="F290" s="47">
        <f>LEN(G290)</f>
        <v>0</v>
      </c>
      <c r="G290" s="40"/>
      <c r="H290" s="40"/>
      <c r="I290" s="40"/>
      <c r="J290" s="40"/>
      <c r="K290" s="40"/>
      <c r="L290" s="40"/>
      <c r="M290" s="40"/>
      <c r="N290" s="47"/>
      <c r="O290" s="40"/>
      <c r="P290" s="40"/>
      <c r="Q290" s="40"/>
      <c r="R290" s="55"/>
      <c r="S290" s="41"/>
      <c r="T290" s="40"/>
    </row>
    <row r="291" spans="1:20" ht="24">
      <c r="A291" s="40" t="s">
        <v>655</v>
      </c>
      <c r="B291" s="40"/>
      <c r="C291" s="41"/>
      <c r="D291" s="40"/>
      <c r="E291" s="40" t="s">
        <v>3012</v>
      </c>
      <c r="F291" s="47">
        <f>LEN(G291)</f>
        <v>0</v>
      </c>
      <c r="G291" s="40"/>
      <c r="H291" s="40"/>
      <c r="I291" s="40"/>
      <c r="J291" s="40"/>
      <c r="K291" s="40"/>
      <c r="L291" s="40"/>
      <c r="M291" s="40"/>
      <c r="N291" s="47"/>
      <c r="O291" s="40"/>
      <c r="P291" s="40"/>
      <c r="Q291" s="40"/>
      <c r="R291" s="55"/>
      <c r="S291" s="41"/>
      <c r="T291" s="40"/>
    </row>
    <row r="292" spans="1:20" ht="24">
      <c r="A292" s="40" t="s">
        <v>655</v>
      </c>
      <c r="B292" s="40"/>
      <c r="C292" s="41"/>
      <c r="D292" s="40"/>
      <c r="E292" s="40" t="s">
        <v>3012</v>
      </c>
      <c r="F292" s="47">
        <f>LEN(G292)</f>
        <v>0</v>
      </c>
      <c r="G292" s="40"/>
      <c r="H292" s="40"/>
      <c r="I292" s="40"/>
      <c r="J292" s="40"/>
      <c r="K292" s="40"/>
      <c r="L292" s="40"/>
      <c r="M292" s="40"/>
      <c r="N292" s="47"/>
      <c r="O292" s="40"/>
      <c r="P292" s="40"/>
      <c r="Q292" s="40"/>
      <c r="R292" s="55"/>
      <c r="S292" s="41"/>
      <c r="T292" s="40"/>
    </row>
    <row r="293" spans="1:20" ht="24">
      <c r="A293" s="40" t="s">
        <v>655</v>
      </c>
      <c r="B293" s="40"/>
      <c r="C293" s="41"/>
      <c r="D293" s="40"/>
      <c r="E293" s="40" t="s">
        <v>3012</v>
      </c>
      <c r="F293" s="47">
        <f>LEN(G293)</f>
        <v>0</v>
      </c>
      <c r="G293" s="40"/>
      <c r="H293" s="40"/>
      <c r="I293" s="40"/>
      <c r="J293" s="40"/>
      <c r="K293" s="40"/>
      <c r="L293" s="40"/>
      <c r="M293" s="40"/>
      <c r="N293" s="47"/>
      <c r="O293" s="40"/>
      <c r="P293" s="40"/>
      <c r="Q293" s="40"/>
      <c r="R293" s="55"/>
      <c r="S293" s="41"/>
      <c r="T293" s="40"/>
    </row>
    <row r="294" spans="1:20" ht="24">
      <c r="A294" s="40" t="s">
        <v>655</v>
      </c>
      <c r="B294" s="40"/>
      <c r="C294" s="41"/>
      <c r="D294" s="40"/>
      <c r="E294" s="40" t="s">
        <v>3012</v>
      </c>
      <c r="F294" s="47">
        <f>LEN(G294)</f>
        <v>0</v>
      </c>
      <c r="G294" s="40"/>
      <c r="H294" s="40"/>
      <c r="I294" s="40"/>
      <c r="J294" s="40"/>
      <c r="K294" s="40"/>
      <c r="L294" s="40"/>
      <c r="M294" s="40"/>
      <c r="N294" s="47"/>
      <c r="O294" s="40"/>
      <c r="P294" s="40"/>
      <c r="Q294" s="40"/>
      <c r="R294" s="55"/>
      <c r="S294" s="41"/>
      <c r="T294" s="40"/>
    </row>
    <row r="295" spans="1:20" ht="24">
      <c r="A295" s="40" t="s">
        <v>655</v>
      </c>
      <c r="B295" s="40"/>
      <c r="C295" s="41"/>
      <c r="D295" s="40"/>
      <c r="E295" s="40" t="s">
        <v>3012</v>
      </c>
      <c r="F295" s="47">
        <f>LEN(G295)</f>
        <v>0</v>
      </c>
      <c r="G295" s="40"/>
      <c r="H295" s="40"/>
      <c r="I295" s="40"/>
      <c r="J295" s="40"/>
      <c r="K295" s="40"/>
      <c r="L295" s="40"/>
      <c r="M295" s="40"/>
      <c r="N295" s="47"/>
      <c r="O295" s="40"/>
      <c r="P295" s="40"/>
      <c r="Q295" s="40"/>
      <c r="R295" s="55"/>
      <c r="S295" s="41"/>
      <c r="T295" s="40"/>
    </row>
    <row r="296" spans="1:20" ht="24">
      <c r="A296" s="40" t="s">
        <v>655</v>
      </c>
      <c r="B296" s="40"/>
      <c r="C296" s="41"/>
      <c r="D296" s="40"/>
      <c r="E296" s="40" t="s">
        <v>3012</v>
      </c>
      <c r="F296" s="47">
        <f>LEN(G296)</f>
        <v>0</v>
      </c>
      <c r="G296" s="40"/>
      <c r="H296" s="40"/>
      <c r="I296" s="40"/>
      <c r="J296" s="40"/>
      <c r="K296" s="40"/>
      <c r="L296" s="40"/>
      <c r="M296" s="40"/>
      <c r="N296" s="47"/>
      <c r="O296" s="40"/>
      <c r="P296" s="40"/>
      <c r="Q296" s="40"/>
      <c r="R296" s="55"/>
      <c r="S296" s="41"/>
      <c r="T296" s="40"/>
    </row>
    <row r="297" spans="1:20" ht="24">
      <c r="A297" s="40" t="s">
        <v>655</v>
      </c>
      <c r="B297" s="40"/>
      <c r="C297" s="41"/>
      <c r="D297" s="40"/>
      <c r="E297" s="40" t="s">
        <v>3012</v>
      </c>
      <c r="F297" s="47">
        <f>LEN(G297)</f>
        <v>0</v>
      </c>
      <c r="G297" s="40"/>
      <c r="H297" s="40"/>
      <c r="I297" s="40"/>
      <c r="J297" s="40"/>
      <c r="K297" s="40"/>
      <c r="L297" s="40"/>
      <c r="M297" s="40"/>
      <c r="N297" s="47"/>
      <c r="O297" s="40"/>
      <c r="P297" s="40"/>
      <c r="Q297" s="40"/>
      <c r="R297" s="55"/>
      <c r="S297" s="41"/>
      <c r="T297" s="40"/>
    </row>
    <row r="298" spans="1:20" ht="24">
      <c r="A298" s="40" t="s">
        <v>655</v>
      </c>
      <c r="B298" s="40"/>
      <c r="C298" s="41"/>
      <c r="D298" s="40"/>
      <c r="E298" s="40" t="s">
        <v>3012</v>
      </c>
      <c r="F298" s="47">
        <f>LEN(G298)</f>
        <v>0</v>
      </c>
      <c r="G298" s="40"/>
      <c r="H298" s="40"/>
      <c r="I298" s="40"/>
      <c r="J298" s="40"/>
      <c r="K298" s="40"/>
      <c r="L298" s="40"/>
      <c r="M298" s="40"/>
      <c r="N298" s="47"/>
      <c r="O298" s="40"/>
      <c r="P298" s="40"/>
      <c r="Q298" s="40"/>
      <c r="R298" s="55"/>
      <c r="S298" s="41"/>
      <c r="T298" s="40"/>
    </row>
    <row r="299" spans="1:20" ht="24">
      <c r="A299" s="40" t="s">
        <v>655</v>
      </c>
      <c r="B299" s="40"/>
      <c r="C299" s="41"/>
      <c r="D299" s="40"/>
      <c r="E299" s="40" t="s">
        <v>3012</v>
      </c>
      <c r="F299" s="47">
        <f>LEN(G299)</f>
        <v>0</v>
      </c>
      <c r="G299" s="40"/>
      <c r="H299" s="40"/>
      <c r="I299" s="40"/>
      <c r="J299" s="40"/>
      <c r="K299" s="40"/>
      <c r="L299" s="40"/>
      <c r="M299" s="40"/>
      <c r="N299" s="47"/>
      <c r="O299" s="40"/>
      <c r="P299" s="40"/>
      <c r="Q299" s="40"/>
      <c r="R299" s="55"/>
      <c r="S299" s="41"/>
      <c r="T299" s="40"/>
    </row>
    <row r="300" spans="1:20" ht="24">
      <c r="A300" s="40" t="s">
        <v>655</v>
      </c>
      <c r="B300" s="40"/>
      <c r="C300" s="41"/>
      <c r="D300" s="40"/>
      <c r="E300" s="40" t="s">
        <v>3012</v>
      </c>
      <c r="F300" s="47">
        <f>LEN(G300)</f>
        <v>0</v>
      </c>
      <c r="G300" s="40"/>
      <c r="H300" s="40"/>
      <c r="I300" s="40"/>
      <c r="J300" s="40"/>
      <c r="K300" s="40"/>
      <c r="L300" s="40"/>
      <c r="M300" s="40"/>
      <c r="N300" s="47"/>
      <c r="O300" s="40"/>
      <c r="P300" s="40"/>
      <c r="Q300" s="40"/>
      <c r="R300" s="55"/>
      <c r="S300" s="41"/>
      <c r="T300" s="40"/>
    </row>
    <row r="301" spans="1:20" ht="24">
      <c r="A301" s="40" t="s">
        <v>655</v>
      </c>
      <c r="B301" s="40"/>
      <c r="C301" s="41"/>
      <c r="D301" s="40"/>
      <c r="E301" s="40" t="s">
        <v>3012</v>
      </c>
      <c r="F301" s="47">
        <f>LEN(G301)</f>
        <v>0</v>
      </c>
      <c r="G301" s="40"/>
      <c r="H301" s="40"/>
      <c r="I301" s="40"/>
      <c r="J301" s="40"/>
      <c r="K301" s="40"/>
      <c r="L301" s="40"/>
      <c r="M301" s="40"/>
      <c r="N301" s="47"/>
      <c r="O301" s="40"/>
      <c r="P301" s="40"/>
      <c r="Q301" s="40"/>
      <c r="R301" s="55"/>
      <c r="S301" s="41"/>
      <c r="T301" s="40"/>
    </row>
    <row r="302" spans="1:20" ht="24">
      <c r="A302" s="40" t="s">
        <v>655</v>
      </c>
      <c r="B302" s="40"/>
      <c r="C302" s="41"/>
      <c r="D302" s="40"/>
      <c r="E302" s="40" t="s">
        <v>3012</v>
      </c>
      <c r="F302" s="47">
        <f>LEN(G302)</f>
        <v>0</v>
      </c>
      <c r="G302" s="40"/>
      <c r="H302" s="40"/>
      <c r="I302" s="40"/>
      <c r="J302" s="40"/>
      <c r="K302" s="40"/>
      <c r="L302" s="40"/>
      <c r="M302" s="40"/>
      <c r="N302" s="47"/>
      <c r="O302" s="40"/>
      <c r="P302" s="40"/>
      <c r="Q302" s="40"/>
      <c r="R302" s="55"/>
      <c r="S302" s="41"/>
      <c r="T302" s="40"/>
    </row>
    <row r="303" spans="1:20" ht="24">
      <c r="A303" s="40" t="s">
        <v>655</v>
      </c>
      <c r="B303" s="40"/>
      <c r="C303" s="41"/>
      <c r="D303" s="40"/>
      <c r="E303" s="40" t="s">
        <v>3012</v>
      </c>
      <c r="F303" s="47">
        <f>LEN(G303)</f>
        <v>0</v>
      </c>
      <c r="G303" s="40"/>
      <c r="H303" s="40"/>
      <c r="I303" s="40"/>
      <c r="J303" s="40"/>
      <c r="K303" s="40"/>
      <c r="L303" s="40"/>
      <c r="M303" s="40"/>
      <c r="N303" s="47"/>
      <c r="O303" s="40"/>
      <c r="P303" s="40"/>
      <c r="Q303" s="40"/>
      <c r="R303" s="55"/>
      <c r="S303" s="41"/>
      <c r="T303" s="40"/>
    </row>
    <row r="304" spans="1:20" ht="24">
      <c r="A304" s="40" t="s">
        <v>655</v>
      </c>
      <c r="B304" s="40"/>
      <c r="C304" s="41"/>
      <c r="D304" s="40"/>
      <c r="E304" s="40" t="s">
        <v>3012</v>
      </c>
      <c r="F304" s="47">
        <f>LEN(G304)</f>
        <v>0</v>
      </c>
      <c r="G304" s="40"/>
      <c r="H304" s="40"/>
      <c r="I304" s="40"/>
      <c r="J304" s="40"/>
      <c r="K304" s="40"/>
      <c r="L304" s="40"/>
      <c r="M304" s="40"/>
      <c r="N304" s="47"/>
      <c r="O304" s="40"/>
      <c r="P304" s="40"/>
      <c r="Q304" s="40"/>
      <c r="R304" s="55"/>
      <c r="S304" s="41"/>
      <c r="T304" s="40"/>
    </row>
    <row r="305" spans="1:20" ht="24">
      <c r="A305" s="40" t="s">
        <v>655</v>
      </c>
      <c r="B305" s="40"/>
      <c r="C305" s="41"/>
      <c r="D305" s="40"/>
      <c r="E305" s="40" t="s">
        <v>3012</v>
      </c>
      <c r="F305" s="47">
        <f>LEN(G305)</f>
        <v>0</v>
      </c>
      <c r="G305" s="40"/>
      <c r="H305" s="40"/>
      <c r="I305" s="40"/>
      <c r="J305" s="40"/>
      <c r="K305" s="40"/>
      <c r="L305" s="40"/>
      <c r="M305" s="40"/>
      <c r="N305" s="47"/>
      <c r="O305" s="40"/>
      <c r="P305" s="40"/>
      <c r="Q305" s="40"/>
      <c r="R305" s="55"/>
      <c r="S305" s="41"/>
      <c r="T305" s="40"/>
    </row>
    <row r="306" spans="1:20" ht="24">
      <c r="A306" s="40" t="s">
        <v>655</v>
      </c>
      <c r="B306" s="40"/>
      <c r="C306" s="41"/>
      <c r="D306" s="40"/>
      <c r="E306" s="40" t="s">
        <v>3012</v>
      </c>
      <c r="F306" s="47">
        <f>LEN(G306)</f>
        <v>0</v>
      </c>
      <c r="G306" s="40"/>
      <c r="H306" s="40"/>
      <c r="I306" s="40"/>
      <c r="J306" s="40"/>
      <c r="K306" s="40"/>
      <c r="L306" s="40"/>
      <c r="M306" s="40"/>
      <c r="N306" s="47"/>
      <c r="O306" s="40"/>
      <c r="P306" s="40"/>
      <c r="Q306" s="40"/>
      <c r="R306" s="55"/>
      <c r="S306" s="41"/>
      <c r="T306" s="40"/>
    </row>
    <row r="307" spans="1:20" ht="24">
      <c r="A307" s="40" t="s">
        <v>655</v>
      </c>
      <c r="B307" s="40"/>
      <c r="C307" s="41"/>
      <c r="D307" s="40"/>
      <c r="E307" s="40" t="s">
        <v>3012</v>
      </c>
      <c r="F307" s="47">
        <f>LEN(G307)</f>
        <v>0</v>
      </c>
      <c r="G307" s="40"/>
      <c r="H307" s="40"/>
      <c r="I307" s="40"/>
      <c r="J307" s="40"/>
      <c r="K307" s="40"/>
      <c r="L307" s="40"/>
      <c r="M307" s="40"/>
      <c r="N307" s="47"/>
      <c r="O307" s="40"/>
      <c r="P307" s="40"/>
      <c r="Q307" s="40"/>
      <c r="R307" s="55"/>
      <c r="S307" s="41"/>
      <c r="T307" s="40"/>
    </row>
    <row r="308" spans="1:20" ht="24">
      <c r="A308" s="40" t="s">
        <v>655</v>
      </c>
      <c r="B308" s="40"/>
      <c r="C308" s="41"/>
      <c r="D308" s="40"/>
      <c r="E308" s="40" t="s">
        <v>3012</v>
      </c>
      <c r="F308" s="47">
        <f>LEN(G308)</f>
        <v>0</v>
      </c>
      <c r="G308" s="40"/>
      <c r="H308" s="40"/>
      <c r="I308" s="40"/>
      <c r="J308" s="40"/>
      <c r="K308" s="40"/>
      <c r="L308" s="40"/>
      <c r="M308" s="40"/>
      <c r="N308" s="47"/>
      <c r="O308" s="40"/>
      <c r="P308" s="40"/>
      <c r="Q308" s="40"/>
      <c r="R308" s="55"/>
      <c r="S308" s="41"/>
      <c r="T308" s="40"/>
    </row>
    <row r="309" spans="1:20" ht="24">
      <c r="A309" s="40" t="s">
        <v>655</v>
      </c>
      <c r="B309" s="40"/>
      <c r="C309" s="41"/>
      <c r="D309" s="40"/>
      <c r="E309" s="40" t="s">
        <v>3012</v>
      </c>
      <c r="F309" s="47">
        <f>LEN(G309)</f>
        <v>0</v>
      </c>
      <c r="G309" s="40"/>
      <c r="H309" s="40"/>
      <c r="I309" s="40"/>
      <c r="J309" s="40"/>
      <c r="K309" s="40"/>
      <c r="L309" s="40"/>
      <c r="M309" s="40"/>
      <c r="N309" s="47"/>
      <c r="O309" s="40"/>
      <c r="P309" s="40"/>
      <c r="Q309" s="40"/>
      <c r="R309" s="55"/>
      <c r="S309" s="41"/>
      <c r="T309" s="40"/>
    </row>
    <row r="310" spans="1:20" ht="24">
      <c r="A310" s="40" t="s">
        <v>655</v>
      </c>
      <c r="B310" s="40"/>
      <c r="C310" s="41"/>
      <c r="D310" s="40"/>
      <c r="E310" s="40" t="s">
        <v>3012</v>
      </c>
      <c r="F310" s="47">
        <f>LEN(G310)</f>
        <v>0</v>
      </c>
      <c r="G310" s="40"/>
      <c r="H310" s="40"/>
      <c r="I310" s="40"/>
      <c r="J310" s="40"/>
      <c r="K310" s="40"/>
      <c r="L310" s="40"/>
      <c r="M310" s="40"/>
      <c r="N310" s="47"/>
      <c r="O310" s="40"/>
      <c r="P310" s="40"/>
      <c r="Q310" s="40"/>
      <c r="R310" s="55"/>
      <c r="S310" s="41"/>
      <c r="T310" s="40"/>
    </row>
    <row r="311" spans="1:20" ht="24">
      <c r="A311" s="40" t="s">
        <v>655</v>
      </c>
      <c r="B311" s="40"/>
      <c r="C311" s="41"/>
      <c r="D311" s="40"/>
      <c r="E311" s="40" t="s">
        <v>3012</v>
      </c>
      <c r="F311" s="47">
        <f>LEN(G311)</f>
        <v>0</v>
      </c>
      <c r="G311" s="40"/>
      <c r="H311" s="40"/>
      <c r="I311" s="40"/>
      <c r="J311" s="40"/>
      <c r="K311" s="40"/>
      <c r="L311" s="40"/>
      <c r="M311" s="40"/>
      <c r="N311" s="47"/>
      <c r="O311" s="40"/>
      <c r="P311" s="40"/>
      <c r="Q311" s="40"/>
      <c r="R311" s="55"/>
      <c r="S311" s="41"/>
      <c r="T311" s="40"/>
    </row>
    <row r="312" spans="1:20" ht="24">
      <c r="A312" s="40" t="s">
        <v>655</v>
      </c>
      <c r="B312" s="40"/>
      <c r="C312" s="41"/>
      <c r="D312" s="40"/>
      <c r="E312" s="40" t="s">
        <v>3012</v>
      </c>
      <c r="F312" s="47">
        <f>LEN(G312)</f>
        <v>0</v>
      </c>
      <c r="G312" s="40"/>
      <c r="H312" s="40"/>
      <c r="I312" s="40"/>
      <c r="J312" s="40"/>
      <c r="K312" s="40"/>
      <c r="L312" s="40"/>
      <c r="M312" s="40"/>
      <c r="N312" s="47"/>
      <c r="O312" s="40"/>
      <c r="P312" s="40"/>
      <c r="Q312" s="40"/>
      <c r="R312" s="55"/>
      <c r="S312" s="41"/>
      <c r="T312" s="40"/>
    </row>
    <row r="313" spans="1:20" ht="24">
      <c r="A313" s="40" t="s">
        <v>655</v>
      </c>
      <c r="B313" s="40"/>
      <c r="C313" s="41"/>
      <c r="D313" s="40"/>
      <c r="E313" s="40" t="s">
        <v>3012</v>
      </c>
      <c r="F313" s="47">
        <f>LEN(G313)</f>
        <v>0</v>
      </c>
      <c r="G313" s="40"/>
      <c r="H313" s="40"/>
      <c r="I313" s="40"/>
      <c r="J313" s="40"/>
      <c r="K313" s="40"/>
      <c r="L313" s="40"/>
      <c r="M313" s="40"/>
      <c r="N313" s="47"/>
      <c r="O313" s="40"/>
      <c r="P313" s="40"/>
      <c r="Q313" s="40"/>
      <c r="R313" s="55"/>
      <c r="S313" s="41"/>
      <c r="T313" s="40"/>
    </row>
    <row r="314" spans="1:20" ht="24">
      <c r="A314" s="40" t="s">
        <v>655</v>
      </c>
      <c r="B314" s="40"/>
      <c r="C314" s="41"/>
      <c r="D314" s="40"/>
      <c r="E314" s="40" t="s">
        <v>3012</v>
      </c>
      <c r="F314" s="47">
        <f>LEN(G314)</f>
        <v>0</v>
      </c>
      <c r="G314" s="40"/>
      <c r="H314" s="40"/>
      <c r="I314" s="40"/>
      <c r="J314" s="40"/>
      <c r="K314" s="40"/>
      <c r="L314" s="40"/>
      <c r="M314" s="40"/>
      <c r="N314" s="47"/>
      <c r="O314" s="40"/>
      <c r="P314" s="40"/>
      <c r="Q314" s="40"/>
      <c r="R314" s="55"/>
      <c r="S314" s="41"/>
      <c r="T314" s="40"/>
    </row>
    <row r="315" spans="1:20" ht="24">
      <c r="A315" s="40" t="s">
        <v>655</v>
      </c>
      <c r="B315" s="40"/>
      <c r="C315" s="41"/>
      <c r="D315" s="40"/>
      <c r="E315" s="40" t="s">
        <v>3012</v>
      </c>
      <c r="F315" s="47">
        <f>LEN(G315)</f>
        <v>0</v>
      </c>
      <c r="G315" s="40"/>
      <c r="H315" s="40"/>
      <c r="I315" s="40"/>
      <c r="J315" s="40"/>
      <c r="K315" s="40"/>
      <c r="L315" s="40"/>
      <c r="M315" s="40"/>
      <c r="N315" s="47"/>
      <c r="O315" s="40"/>
      <c r="P315" s="40"/>
      <c r="Q315" s="40"/>
      <c r="R315" s="55"/>
      <c r="S315" s="41"/>
      <c r="T315" s="40"/>
    </row>
    <row r="316" spans="1:20" ht="24">
      <c r="A316" s="40" t="s">
        <v>655</v>
      </c>
      <c r="B316" s="40"/>
      <c r="C316" s="41"/>
      <c r="D316" s="40"/>
      <c r="E316" s="40" t="s">
        <v>3012</v>
      </c>
      <c r="F316" s="47">
        <f>LEN(G316)</f>
        <v>0</v>
      </c>
      <c r="G316" s="40"/>
      <c r="H316" s="40"/>
      <c r="I316" s="40"/>
      <c r="J316" s="40"/>
      <c r="K316" s="40"/>
      <c r="L316" s="40"/>
      <c r="M316" s="40"/>
      <c r="N316" s="47"/>
      <c r="O316" s="40"/>
      <c r="P316" s="40"/>
      <c r="Q316" s="40"/>
      <c r="R316" s="55"/>
      <c r="S316" s="41"/>
      <c r="T316" s="40"/>
    </row>
    <row r="317" spans="1:20" ht="24">
      <c r="A317" s="40" t="s">
        <v>655</v>
      </c>
      <c r="B317" s="40"/>
      <c r="C317" s="41"/>
      <c r="D317" s="40"/>
      <c r="E317" s="40" t="s">
        <v>3012</v>
      </c>
      <c r="F317" s="47">
        <f>LEN(G317)</f>
        <v>0</v>
      </c>
      <c r="G317" s="40"/>
      <c r="H317" s="40"/>
      <c r="I317" s="40"/>
      <c r="J317" s="40"/>
      <c r="K317" s="40"/>
      <c r="L317" s="40"/>
      <c r="M317" s="40"/>
      <c r="N317" s="47"/>
      <c r="O317" s="40"/>
      <c r="P317" s="40"/>
      <c r="Q317" s="40"/>
      <c r="R317" s="55"/>
      <c r="S317" s="41"/>
      <c r="T317" s="40"/>
    </row>
    <row r="318" spans="1:20" ht="24">
      <c r="A318" s="40" t="s">
        <v>655</v>
      </c>
      <c r="B318" s="40"/>
      <c r="C318" s="41"/>
      <c r="D318" s="40"/>
      <c r="E318" s="40" t="s">
        <v>3012</v>
      </c>
      <c r="F318" s="47">
        <f>LEN(G318)</f>
        <v>0</v>
      </c>
      <c r="G318" s="40"/>
      <c r="H318" s="40"/>
      <c r="I318" s="40"/>
      <c r="J318" s="40"/>
      <c r="K318" s="40"/>
      <c r="L318" s="40"/>
      <c r="M318" s="40"/>
      <c r="N318" s="47"/>
      <c r="O318" s="40"/>
      <c r="P318" s="40"/>
      <c r="Q318" s="40"/>
      <c r="R318" s="55"/>
      <c r="S318" s="41"/>
      <c r="T318" s="40"/>
    </row>
    <row r="319" spans="1:20" ht="24">
      <c r="A319" s="40" t="s">
        <v>655</v>
      </c>
      <c r="B319" s="40"/>
      <c r="C319" s="41"/>
      <c r="D319" s="40"/>
      <c r="E319" s="40" t="s">
        <v>3012</v>
      </c>
      <c r="F319" s="47">
        <f>LEN(G319)</f>
        <v>0</v>
      </c>
      <c r="G319" s="40"/>
      <c r="H319" s="40"/>
      <c r="I319" s="40"/>
      <c r="J319" s="40"/>
      <c r="K319" s="40"/>
      <c r="L319" s="40"/>
      <c r="M319" s="40"/>
      <c r="N319" s="47"/>
      <c r="O319" s="40"/>
      <c r="P319" s="40"/>
      <c r="Q319" s="40"/>
      <c r="R319" s="55"/>
      <c r="S319" s="41"/>
      <c r="T319" s="40"/>
    </row>
    <row r="320" spans="1:20" ht="24">
      <c r="A320" s="40" t="s">
        <v>655</v>
      </c>
      <c r="B320" s="40"/>
      <c r="C320" s="41"/>
      <c r="D320" s="40"/>
      <c r="E320" s="40" t="s">
        <v>3012</v>
      </c>
      <c r="F320" s="47">
        <f>LEN(G320)</f>
        <v>0</v>
      </c>
      <c r="G320" s="40"/>
      <c r="H320" s="40"/>
      <c r="I320" s="40"/>
      <c r="J320" s="40"/>
      <c r="K320" s="40"/>
      <c r="L320" s="40"/>
      <c r="M320" s="40"/>
      <c r="N320" s="47"/>
      <c r="O320" s="40"/>
      <c r="P320" s="40"/>
      <c r="Q320" s="40"/>
      <c r="R320" s="55"/>
      <c r="S320" s="41"/>
      <c r="T320" s="40"/>
    </row>
    <row r="321" spans="1:20" ht="24">
      <c r="A321" s="40" t="s">
        <v>655</v>
      </c>
      <c r="B321" s="40"/>
      <c r="C321" s="41"/>
      <c r="D321" s="40"/>
      <c r="E321" s="40" t="s">
        <v>3012</v>
      </c>
      <c r="F321" s="47">
        <f>LEN(G321)</f>
        <v>0</v>
      </c>
      <c r="G321" s="40"/>
      <c r="H321" s="40"/>
      <c r="I321" s="40"/>
      <c r="J321" s="40"/>
      <c r="K321" s="40"/>
      <c r="L321" s="40"/>
      <c r="M321" s="40"/>
      <c r="N321" s="47"/>
      <c r="O321" s="40"/>
      <c r="P321" s="40"/>
      <c r="Q321" s="40"/>
      <c r="R321" s="55"/>
      <c r="S321" s="41"/>
      <c r="T321" s="40"/>
    </row>
    <row r="322" spans="1:20" ht="24">
      <c r="A322" s="40" t="s">
        <v>655</v>
      </c>
      <c r="B322" s="40"/>
      <c r="C322" s="41"/>
      <c r="D322" s="40"/>
      <c r="E322" s="40" t="s">
        <v>3012</v>
      </c>
      <c r="F322" s="47">
        <f>LEN(G322)</f>
        <v>0</v>
      </c>
      <c r="G322" s="40"/>
      <c r="H322" s="40"/>
      <c r="I322" s="40"/>
      <c r="J322" s="40"/>
      <c r="K322" s="40"/>
      <c r="L322" s="40"/>
      <c r="M322" s="40"/>
      <c r="N322" s="47"/>
      <c r="O322" s="40"/>
      <c r="P322" s="40"/>
      <c r="Q322" s="40"/>
      <c r="R322" s="55"/>
      <c r="S322" s="41"/>
      <c r="T322" s="40"/>
    </row>
    <row r="323" spans="1:20" ht="24">
      <c r="A323" s="40" t="s">
        <v>655</v>
      </c>
      <c r="B323" s="40"/>
      <c r="C323" s="41"/>
      <c r="D323" s="40"/>
      <c r="E323" s="40" t="s">
        <v>3012</v>
      </c>
      <c r="F323" s="47">
        <f>LEN(G323)</f>
        <v>0</v>
      </c>
      <c r="G323" s="40"/>
      <c r="H323" s="40"/>
      <c r="I323" s="40"/>
      <c r="J323" s="40"/>
      <c r="K323" s="40"/>
      <c r="L323" s="40"/>
      <c r="M323" s="40"/>
      <c r="N323" s="47"/>
      <c r="O323" s="40"/>
      <c r="P323" s="40"/>
      <c r="Q323" s="40"/>
      <c r="R323" s="55"/>
      <c r="S323" s="41"/>
      <c r="T323" s="40"/>
    </row>
    <row r="324" spans="1:20" ht="24">
      <c r="A324" s="40" t="s">
        <v>655</v>
      </c>
      <c r="B324" s="40"/>
      <c r="C324" s="41"/>
      <c r="D324" s="40"/>
      <c r="E324" s="40" t="s">
        <v>3012</v>
      </c>
      <c r="F324" s="47">
        <f>LEN(G324)</f>
        <v>0</v>
      </c>
      <c r="G324" s="40"/>
      <c r="H324" s="40"/>
      <c r="I324" s="40"/>
      <c r="J324" s="40"/>
      <c r="K324" s="40"/>
      <c r="L324" s="40"/>
      <c r="M324" s="40"/>
      <c r="N324" s="47"/>
      <c r="O324" s="40"/>
      <c r="P324" s="40"/>
      <c r="Q324" s="40"/>
      <c r="R324" s="55"/>
      <c r="S324" s="41"/>
      <c r="T324" s="40"/>
    </row>
    <row r="325" spans="1:20" ht="24">
      <c r="A325" s="40" t="s">
        <v>655</v>
      </c>
      <c r="B325" s="40"/>
      <c r="C325" s="41"/>
      <c r="D325" s="40"/>
      <c r="E325" s="40" t="s">
        <v>3012</v>
      </c>
      <c r="F325" s="47">
        <f>LEN(G325)</f>
        <v>0</v>
      </c>
      <c r="G325" s="40"/>
      <c r="H325" s="40"/>
      <c r="I325" s="40"/>
      <c r="J325" s="40"/>
      <c r="K325" s="40"/>
      <c r="L325" s="40"/>
      <c r="M325" s="40"/>
      <c r="N325" s="47"/>
      <c r="O325" s="40"/>
      <c r="P325" s="40"/>
      <c r="Q325" s="40"/>
      <c r="R325" s="55"/>
      <c r="S325" s="41"/>
      <c r="T325" s="40"/>
    </row>
    <row r="326" spans="1:20" ht="24">
      <c r="A326" s="40" t="s">
        <v>655</v>
      </c>
      <c r="B326" s="40"/>
      <c r="C326" s="41"/>
      <c r="D326" s="40"/>
      <c r="E326" s="40" t="s">
        <v>3012</v>
      </c>
      <c r="F326" s="47">
        <f>LEN(G326)</f>
        <v>0</v>
      </c>
      <c r="G326" s="40"/>
      <c r="H326" s="40"/>
      <c r="I326" s="40"/>
      <c r="J326" s="40"/>
      <c r="K326" s="40"/>
      <c r="L326" s="40"/>
      <c r="M326" s="40"/>
      <c r="N326" s="47"/>
      <c r="O326" s="40"/>
      <c r="P326" s="40"/>
      <c r="Q326" s="40"/>
      <c r="R326" s="55"/>
      <c r="S326" s="41"/>
      <c r="T326" s="40"/>
    </row>
    <row r="327" spans="1:20" ht="24">
      <c r="A327" s="40" t="s">
        <v>655</v>
      </c>
      <c r="B327" s="40"/>
      <c r="C327" s="41"/>
      <c r="D327" s="40"/>
      <c r="E327" s="40" t="s">
        <v>3012</v>
      </c>
      <c r="F327" s="47">
        <f>LEN(G327)</f>
        <v>0</v>
      </c>
      <c r="G327" s="40"/>
      <c r="H327" s="40"/>
      <c r="I327" s="40"/>
      <c r="J327" s="40"/>
      <c r="K327" s="40"/>
      <c r="L327" s="40"/>
      <c r="M327" s="40"/>
      <c r="N327" s="47"/>
      <c r="O327" s="40"/>
      <c r="P327" s="40"/>
      <c r="Q327" s="40"/>
      <c r="R327" s="55"/>
      <c r="S327" s="41"/>
      <c r="T327" s="40"/>
    </row>
    <row r="328" spans="1:20" ht="24">
      <c r="A328" s="40" t="s">
        <v>655</v>
      </c>
      <c r="B328" s="40"/>
      <c r="C328" s="41"/>
      <c r="D328" s="40"/>
      <c r="E328" s="40" t="s">
        <v>3012</v>
      </c>
      <c r="F328" s="47">
        <f>LEN(G328)</f>
        <v>0</v>
      </c>
      <c r="G328" s="40"/>
      <c r="H328" s="40"/>
      <c r="I328" s="40"/>
      <c r="J328" s="40"/>
      <c r="K328" s="40"/>
      <c r="L328" s="40"/>
      <c r="M328" s="40"/>
      <c r="N328" s="47"/>
      <c r="O328" s="40"/>
      <c r="P328" s="40"/>
      <c r="Q328" s="40"/>
      <c r="R328" s="55"/>
      <c r="S328" s="41"/>
      <c r="T328" s="40"/>
    </row>
    <row r="329" spans="1:20" ht="24">
      <c r="A329" s="40" t="s">
        <v>655</v>
      </c>
      <c r="B329" s="40"/>
      <c r="C329" s="41"/>
      <c r="D329" s="40"/>
      <c r="E329" s="40" t="s">
        <v>3012</v>
      </c>
      <c r="F329" s="47">
        <f>LEN(G329)</f>
        <v>0</v>
      </c>
      <c r="G329" s="40"/>
      <c r="H329" s="40"/>
      <c r="I329" s="40"/>
      <c r="J329" s="40"/>
      <c r="K329" s="40"/>
      <c r="L329" s="40"/>
      <c r="M329" s="40"/>
      <c r="N329" s="47"/>
      <c r="O329" s="40"/>
      <c r="P329" s="40"/>
      <c r="Q329" s="40"/>
      <c r="R329" s="55"/>
      <c r="S329" s="41"/>
      <c r="T329" s="40"/>
    </row>
    <row r="330" spans="1:20" ht="24">
      <c r="A330" s="40" t="s">
        <v>655</v>
      </c>
      <c r="B330" s="40"/>
      <c r="C330" s="41"/>
      <c r="D330" s="40"/>
      <c r="E330" s="40" t="s">
        <v>3012</v>
      </c>
      <c r="F330" s="47">
        <f>LEN(G330)</f>
        <v>0</v>
      </c>
      <c r="G330" s="40"/>
      <c r="H330" s="40"/>
      <c r="I330" s="40"/>
      <c r="J330" s="40"/>
      <c r="K330" s="40"/>
      <c r="L330" s="40"/>
      <c r="M330" s="40"/>
      <c r="N330" s="47"/>
      <c r="O330" s="40"/>
      <c r="P330" s="40"/>
      <c r="Q330" s="40"/>
      <c r="R330" s="55"/>
      <c r="S330" s="41"/>
      <c r="T330" s="40"/>
    </row>
    <row r="331" spans="1:20" ht="24">
      <c r="A331" s="40" t="s">
        <v>655</v>
      </c>
      <c r="B331" s="40"/>
      <c r="C331" s="41"/>
      <c r="D331" s="40"/>
      <c r="E331" s="40" t="s">
        <v>3012</v>
      </c>
      <c r="F331" s="47">
        <f>LEN(G331)</f>
        <v>0</v>
      </c>
      <c r="G331" s="40"/>
      <c r="H331" s="40"/>
      <c r="I331" s="40"/>
      <c r="J331" s="40"/>
      <c r="K331" s="40"/>
      <c r="L331" s="40"/>
      <c r="M331" s="40"/>
      <c r="N331" s="47"/>
      <c r="O331" s="40"/>
      <c r="P331" s="40"/>
      <c r="Q331" s="40"/>
      <c r="R331" s="55"/>
      <c r="S331" s="41"/>
      <c r="T331" s="40"/>
    </row>
    <row r="332" spans="1:20" ht="24">
      <c r="A332" s="40" t="s">
        <v>655</v>
      </c>
      <c r="B332" s="40"/>
      <c r="C332" s="41"/>
      <c r="D332" s="40"/>
      <c r="E332" s="40" t="s">
        <v>3012</v>
      </c>
      <c r="F332" s="47">
        <f>LEN(G332)</f>
        <v>0</v>
      </c>
      <c r="G332" s="40"/>
      <c r="H332" s="40"/>
      <c r="I332" s="40"/>
      <c r="J332" s="40"/>
      <c r="K332" s="40"/>
      <c r="L332" s="40"/>
      <c r="M332" s="40"/>
      <c r="N332" s="47"/>
      <c r="O332" s="40"/>
      <c r="P332" s="40"/>
      <c r="Q332" s="40"/>
      <c r="R332" s="55"/>
      <c r="S332" s="41"/>
      <c r="T332" s="40"/>
    </row>
    <row r="333" spans="1:20" ht="24">
      <c r="A333" s="40" t="s">
        <v>655</v>
      </c>
      <c r="B333" s="40"/>
      <c r="C333" s="41"/>
      <c r="D333" s="40"/>
      <c r="E333" s="40" t="s">
        <v>3012</v>
      </c>
      <c r="F333" s="47">
        <f>LEN(G333)</f>
        <v>0</v>
      </c>
      <c r="G333" s="40"/>
      <c r="H333" s="40"/>
      <c r="I333" s="40"/>
      <c r="J333" s="40"/>
      <c r="K333" s="40"/>
      <c r="L333" s="40"/>
      <c r="M333" s="40"/>
      <c r="N333" s="47"/>
      <c r="O333" s="40"/>
      <c r="P333" s="40"/>
      <c r="Q333" s="40"/>
      <c r="R333" s="55"/>
      <c r="S333" s="41"/>
      <c r="T333" s="40"/>
    </row>
    <row r="334" spans="1:20" ht="24">
      <c r="A334" s="40" t="s">
        <v>655</v>
      </c>
      <c r="B334" s="40"/>
      <c r="C334" s="41"/>
      <c r="D334" s="40"/>
      <c r="E334" s="40" t="s">
        <v>3012</v>
      </c>
      <c r="F334" s="47">
        <f>LEN(G334)</f>
        <v>0</v>
      </c>
      <c r="G334" s="40"/>
      <c r="H334" s="40"/>
      <c r="I334" s="40"/>
      <c r="J334" s="40"/>
      <c r="K334" s="40"/>
      <c r="L334" s="40"/>
      <c r="M334" s="40"/>
      <c r="N334" s="47"/>
      <c r="O334" s="40"/>
      <c r="P334" s="40"/>
      <c r="Q334" s="40"/>
      <c r="R334" s="55"/>
      <c r="S334" s="41"/>
      <c r="T334" s="40"/>
    </row>
    <row r="335" spans="1:20" ht="24">
      <c r="A335" s="40" t="s">
        <v>655</v>
      </c>
      <c r="B335" s="40"/>
      <c r="C335" s="41"/>
      <c r="D335" s="40"/>
      <c r="E335" s="40" t="s">
        <v>3012</v>
      </c>
      <c r="F335" s="47">
        <f>LEN(G335)</f>
        <v>0</v>
      </c>
      <c r="G335" s="40"/>
      <c r="H335" s="40"/>
      <c r="I335" s="40"/>
      <c r="J335" s="40"/>
      <c r="K335" s="40"/>
      <c r="L335" s="40"/>
      <c r="M335" s="40"/>
      <c r="N335" s="47"/>
      <c r="O335" s="40"/>
      <c r="P335" s="40"/>
      <c r="Q335" s="40"/>
      <c r="R335" s="55"/>
      <c r="S335" s="41"/>
      <c r="T335" s="40"/>
    </row>
    <row r="336" spans="1:20" ht="24">
      <c r="A336" s="40" t="s">
        <v>655</v>
      </c>
      <c r="B336" s="40"/>
      <c r="C336" s="41"/>
      <c r="D336" s="40"/>
      <c r="E336" s="40" t="s">
        <v>3012</v>
      </c>
      <c r="F336" s="47">
        <f>LEN(G336)</f>
        <v>0</v>
      </c>
      <c r="G336" s="40"/>
      <c r="H336" s="40"/>
      <c r="I336" s="40"/>
      <c r="J336" s="40"/>
      <c r="K336" s="40"/>
      <c r="L336" s="40"/>
      <c r="M336" s="40"/>
      <c r="N336" s="47"/>
      <c r="O336" s="40"/>
      <c r="P336" s="40"/>
      <c r="Q336" s="40"/>
      <c r="R336" s="55"/>
      <c r="S336" s="41"/>
      <c r="T336" s="40"/>
    </row>
    <row r="337" spans="1:20" ht="24">
      <c r="A337" s="40" t="s">
        <v>655</v>
      </c>
      <c r="B337" s="40"/>
      <c r="C337" s="41"/>
      <c r="D337" s="40"/>
      <c r="E337" s="40" t="s">
        <v>3012</v>
      </c>
      <c r="F337" s="47">
        <f>LEN(G337)</f>
        <v>0</v>
      </c>
      <c r="G337" s="40"/>
      <c r="H337" s="40"/>
      <c r="I337" s="40"/>
      <c r="J337" s="40"/>
      <c r="K337" s="40"/>
      <c r="L337" s="40"/>
      <c r="M337" s="40"/>
      <c r="N337" s="47"/>
      <c r="O337" s="40"/>
      <c r="P337" s="40"/>
      <c r="Q337" s="40"/>
      <c r="R337" s="55"/>
      <c r="S337" s="41"/>
      <c r="T337" s="40"/>
    </row>
    <row r="338" spans="1:20" ht="24">
      <c r="A338" s="40" t="s">
        <v>655</v>
      </c>
      <c r="B338" s="40"/>
      <c r="C338" s="41"/>
      <c r="D338" s="40"/>
      <c r="E338" s="40" t="s">
        <v>3012</v>
      </c>
      <c r="F338" s="47">
        <f>LEN(G338)</f>
        <v>0</v>
      </c>
      <c r="G338" s="40"/>
      <c r="H338" s="40"/>
      <c r="I338" s="40"/>
      <c r="J338" s="40"/>
      <c r="K338" s="40"/>
      <c r="L338" s="40"/>
      <c r="M338" s="40"/>
      <c r="N338" s="47"/>
      <c r="O338" s="40"/>
      <c r="P338" s="40"/>
      <c r="Q338" s="40"/>
      <c r="R338" s="55"/>
      <c r="S338" s="41"/>
      <c r="T338" s="40"/>
    </row>
    <row r="339" spans="1:20" ht="24">
      <c r="A339" s="40" t="s">
        <v>655</v>
      </c>
      <c r="B339" s="40"/>
      <c r="C339" s="41"/>
      <c r="D339" s="40"/>
      <c r="E339" s="40" t="s">
        <v>3012</v>
      </c>
      <c r="F339" s="47">
        <f>LEN(G339)</f>
        <v>0</v>
      </c>
      <c r="G339" s="40"/>
      <c r="H339" s="40"/>
      <c r="I339" s="40"/>
      <c r="J339" s="40"/>
      <c r="K339" s="40"/>
      <c r="L339" s="40"/>
      <c r="M339" s="40"/>
      <c r="N339" s="47"/>
      <c r="O339" s="40"/>
      <c r="P339" s="40"/>
      <c r="Q339" s="40"/>
      <c r="R339" s="55"/>
      <c r="S339" s="41"/>
      <c r="T339" s="40"/>
    </row>
    <row r="340" spans="1:20" ht="24">
      <c r="A340" s="40" t="s">
        <v>655</v>
      </c>
      <c r="B340" s="40"/>
      <c r="C340" s="41"/>
      <c r="D340" s="40"/>
      <c r="E340" s="40" t="s">
        <v>3012</v>
      </c>
      <c r="F340" s="47">
        <f>LEN(G340)</f>
        <v>0</v>
      </c>
      <c r="G340" s="40"/>
      <c r="H340" s="40"/>
      <c r="I340" s="40"/>
      <c r="J340" s="40"/>
      <c r="K340" s="40"/>
      <c r="L340" s="40"/>
      <c r="M340" s="40"/>
      <c r="N340" s="47"/>
      <c r="O340" s="40"/>
      <c r="P340" s="40"/>
      <c r="Q340" s="40"/>
      <c r="R340" s="55"/>
      <c r="S340" s="41"/>
      <c r="T340" s="40"/>
    </row>
    <row r="341" spans="1:20" ht="24">
      <c r="A341" s="40" t="s">
        <v>655</v>
      </c>
      <c r="B341" s="40"/>
      <c r="C341" s="41"/>
      <c r="D341" s="40"/>
      <c r="E341" s="40" t="s">
        <v>3012</v>
      </c>
      <c r="F341" s="47">
        <f>LEN(G341)</f>
        <v>0</v>
      </c>
      <c r="G341" s="40"/>
      <c r="H341" s="40"/>
      <c r="I341" s="40"/>
      <c r="J341" s="40"/>
      <c r="K341" s="40"/>
      <c r="L341" s="40"/>
      <c r="M341" s="40"/>
      <c r="N341" s="47"/>
      <c r="O341" s="40"/>
      <c r="P341" s="40"/>
      <c r="Q341" s="40"/>
      <c r="R341" s="55"/>
      <c r="S341" s="41"/>
      <c r="T341" s="40"/>
    </row>
    <row r="342" spans="1:20" ht="24">
      <c r="A342" s="40" t="s">
        <v>655</v>
      </c>
      <c r="B342" s="40"/>
      <c r="C342" s="41"/>
      <c r="D342" s="40"/>
      <c r="E342" s="40" t="s">
        <v>3012</v>
      </c>
      <c r="F342" s="47">
        <f>LEN(G342)</f>
        <v>0</v>
      </c>
      <c r="G342" s="40"/>
      <c r="H342" s="40"/>
      <c r="I342" s="40"/>
      <c r="J342" s="40"/>
      <c r="K342" s="40"/>
      <c r="L342" s="40"/>
      <c r="M342" s="40"/>
      <c r="N342" s="47"/>
      <c r="O342" s="40"/>
      <c r="P342" s="40"/>
      <c r="Q342" s="40"/>
      <c r="R342" s="55"/>
      <c r="S342" s="41"/>
      <c r="T342" s="40"/>
    </row>
    <row r="343" spans="1:20" ht="24">
      <c r="A343" s="40" t="s">
        <v>655</v>
      </c>
      <c r="B343" s="40"/>
      <c r="C343" s="41"/>
      <c r="D343" s="40"/>
      <c r="E343" s="40" t="s">
        <v>3012</v>
      </c>
      <c r="F343" s="47">
        <f>LEN(G343)</f>
        <v>0</v>
      </c>
      <c r="G343" s="40"/>
      <c r="H343" s="40"/>
      <c r="I343" s="40"/>
      <c r="J343" s="40"/>
      <c r="K343" s="40"/>
      <c r="L343" s="40"/>
      <c r="M343" s="40"/>
      <c r="N343" s="47"/>
      <c r="O343" s="40"/>
      <c r="P343" s="40"/>
      <c r="Q343" s="40"/>
      <c r="R343" s="55"/>
      <c r="S343" s="41"/>
      <c r="T343" s="40"/>
    </row>
    <row r="344" spans="1:20" ht="24">
      <c r="A344" s="40" t="s">
        <v>655</v>
      </c>
      <c r="B344" s="40"/>
      <c r="C344" s="41"/>
      <c r="D344" s="40"/>
      <c r="E344" s="40" t="s">
        <v>3012</v>
      </c>
      <c r="F344" s="47">
        <f>LEN(G344)</f>
        <v>0</v>
      </c>
      <c r="G344" s="40"/>
      <c r="H344" s="40"/>
      <c r="I344" s="40"/>
      <c r="J344" s="40"/>
      <c r="K344" s="40"/>
      <c r="L344" s="40"/>
      <c r="M344" s="40"/>
      <c r="N344" s="47"/>
      <c r="O344" s="40"/>
      <c r="P344" s="40"/>
      <c r="Q344" s="40"/>
      <c r="R344" s="55"/>
      <c r="S344" s="41"/>
      <c r="T344" s="40"/>
    </row>
    <row r="345" spans="1:20" ht="24">
      <c r="A345" s="40" t="s">
        <v>655</v>
      </c>
      <c r="B345" s="40"/>
      <c r="C345" s="41"/>
      <c r="D345" s="40"/>
      <c r="E345" s="40" t="s">
        <v>3012</v>
      </c>
      <c r="F345" s="47">
        <f>LEN(G345)</f>
        <v>0</v>
      </c>
      <c r="G345" s="40"/>
      <c r="H345" s="40"/>
      <c r="I345" s="40"/>
      <c r="J345" s="40"/>
      <c r="K345" s="40"/>
      <c r="L345" s="40"/>
      <c r="M345" s="40"/>
      <c r="N345" s="47"/>
      <c r="O345" s="40"/>
      <c r="P345" s="40"/>
      <c r="Q345" s="40"/>
      <c r="R345" s="55"/>
      <c r="S345" s="41"/>
      <c r="T345" s="40"/>
    </row>
    <row r="346" spans="1:20" ht="24">
      <c r="A346" s="40" t="s">
        <v>655</v>
      </c>
      <c r="B346" s="40"/>
      <c r="C346" s="41"/>
      <c r="D346" s="40"/>
      <c r="E346" s="40" t="s">
        <v>3012</v>
      </c>
      <c r="F346" s="47">
        <f>LEN(G346)</f>
        <v>0</v>
      </c>
      <c r="G346" s="40"/>
      <c r="H346" s="40"/>
      <c r="I346" s="40"/>
      <c r="J346" s="40"/>
      <c r="K346" s="40"/>
      <c r="L346" s="40"/>
      <c r="M346" s="40"/>
      <c r="N346" s="47"/>
      <c r="O346" s="40"/>
      <c r="P346" s="40"/>
      <c r="Q346" s="40"/>
      <c r="R346" s="55"/>
      <c r="S346" s="41"/>
      <c r="T346" s="40"/>
    </row>
    <row r="347" spans="1:20" ht="24">
      <c r="A347" s="40" t="s">
        <v>655</v>
      </c>
      <c r="B347" s="40"/>
      <c r="C347" s="41"/>
      <c r="D347" s="40"/>
      <c r="E347" s="40" t="s">
        <v>3012</v>
      </c>
      <c r="F347" s="47">
        <f>LEN(G347)</f>
        <v>0</v>
      </c>
      <c r="G347" s="40"/>
      <c r="H347" s="40"/>
      <c r="I347" s="40"/>
      <c r="J347" s="40"/>
      <c r="K347" s="40"/>
      <c r="L347" s="40"/>
      <c r="M347" s="40"/>
      <c r="N347" s="47"/>
      <c r="O347" s="40"/>
      <c r="P347" s="40"/>
      <c r="Q347" s="40"/>
      <c r="R347" s="55"/>
      <c r="S347" s="41"/>
      <c r="T347" s="40"/>
    </row>
    <row r="348" spans="1:20" ht="24">
      <c r="A348" s="40" t="s">
        <v>655</v>
      </c>
      <c r="B348" s="40"/>
      <c r="C348" s="41"/>
      <c r="D348" s="40"/>
      <c r="E348" s="40" t="s">
        <v>3012</v>
      </c>
      <c r="F348" s="47">
        <f>LEN(G348)</f>
        <v>0</v>
      </c>
      <c r="G348" s="40"/>
      <c r="H348" s="40"/>
      <c r="I348" s="40"/>
      <c r="J348" s="40"/>
      <c r="K348" s="40"/>
      <c r="L348" s="40"/>
      <c r="M348" s="40"/>
      <c r="N348" s="47"/>
      <c r="O348" s="40"/>
      <c r="P348" s="40"/>
      <c r="Q348" s="40"/>
      <c r="R348" s="55"/>
      <c r="S348" s="41"/>
      <c r="T348" s="40"/>
    </row>
    <row r="349" spans="1:20" ht="24">
      <c r="A349" s="40" t="s">
        <v>655</v>
      </c>
      <c r="B349" s="40"/>
      <c r="C349" s="41"/>
      <c r="D349" s="40"/>
      <c r="E349" s="40" t="s">
        <v>3012</v>
      </c>
      <c r="F349" s="47">
        <f>LEN(G349)</f>
        <v>0</v>
      </c>
      <c r="G349" s="40"/>
      <c r="H349" s="40"/>
      <c r="I349" s="40"/>
      <c r="J349" s="40"/>
      <c r="K349" s="40"/>
      <c r="L349" s="40"/>
      <c r="M349" s="40"/>
      <c r="N349" s="47"/>
      <c r="O349" s="40"/>
      <c r="P349" s="40"/>
      <c r="Q349" s="40"/>
      <c r="R349" s="55"/>
      <c r="S349" s="41"/>
      <c r="T349" s="40"/>
    </row>
    <row r="350" spans="1:20" ht="24">
      <c r="A350" s="40" t="s">
        <v>655</v>
      </c>
      <c r="B350" s="40"/>
      <c r="C350" s="41"/>
      <c r="D350" s="40"/>
      <c r="E350" s="40" t="s">
        <v>3012</v>
      </c>
      <c r="F350" s="47">
        <f>LEN(G350)</f>
        <v>0</v>
      </c>
      <c r="G350" s="40"/>
      <c r="H350" s="40"/>
      <c r="I350" s="40"/>
      <c r="J350" s="40"/>
      <c r="K350" s="40"/>
      <c r="L350" s="40"/>
      <c r="M350" s="40"/>
      <c r="N350" s="47"/>
      <c r="O350" s="40"/>
      <c r="P350" s="40"/>
      <c r="Q350" s="40"/>
      <c r="R350" s="55"/>
      <c r="S350" s="41"/>
      <c r="T350" s="40"/>
    </row>
    <row r="351" spans="1:20" ht="24">
      <c r="A351" s="40" t="s">
        <v>655</v>
      </c>
      <c r="B351" s="40"/>
      <c r="C351" s="41"/>
      <c r="D351" s="40"/>
      <c r="E351" s="40" t="s">
        <v>3012</v>
      </c>
      <c r="F351" s="47">
        <f>LEN(G351)</f>
        <v>0</v>
      </c>
      <c r="G351" s="40"/>
      <c r="H351" s="40"/>
      <c r="I351" s="40"/>
      <c r="J351" s="40"/>
      <c r="K351" s="40"/>
      <c r="L351" s="40"/>
      <c r="M351" s="40"/>
      <c r="N351" s="47"/>
      <c r="O351" s="40"/>
      <c r="P351" s="40"/>
      <c r="Q351" s="40"/>
      <c r="R351" s="55"/>
      <c r="S351" s="41"/>
      <c r="T351" s="40"/>
    </row>
    <row r="352" spans="1:20" ht="24">
      <c r="A352" s="40" t="s">
        <v>655</v>
      </c>
      <c r="B352" s="40"/>
      <c r="C352" s="41"/>
      <c r="D352" s="40"/>
      <c r="E352" s="40" t="s">
        <v>3012</v>
      </c>
      <c r="F352" s="47">
        <f>LEN(G352)</f>
        <v>0</v>
      </c>
      <c r="G352" s="40"/>
      <c r="H352" s="40"/>
      <c r="I352" s="40"/>
      <c r="J352" s="40"/>
      <c r="K352" s="40"/>
      <c r="L352" s="40"/>
      <c r="M352" s="40"/>
      <c r="N352" s="47"/>
      <c r="O352" s="40"/>
      <c r="P352" s="40"/>
      <c r="Q352" s="40"/>
      <c r="R352" s="55"/>
      <c r="S352" s="41"/>
      <c r="T352" s="40"/>
    </row>
    <row r="353" spans="1:20" ht="24">
      <c r="A353" s="40" t="s">
        <v>655</v>
      </c>
      <c r="B353" s="40"/>
      <c r="C353" s="41"/>
      <c r="D353" s="40"/>
      <c r="E353" s="40" t="s">
        <v>3012</v>
      </c>
      <c r="F353" s="47">
        <f>LEN(G353)</f>
        <v>0</v>
      </c>
      <c r="G353" s="40"/>
      <c r="H353" s="40"/>
      <c r="I353" s="40"/>
      <c r="J353" s="40"/>
      <c r="K353" s="40"/>
      <c r="L353" s="40"/>
      <c r="M353" s="40"/>
      <c r="N353" s="47"/>
      <c r="O353" s="40"/>
      <c r="P353" s="40"/>
      <c r="Q353" s="40"/>
      <c r="R353" s="55"/>
      <c r="S353" s="41"/>
      <c r="T353" s="40"/>
    </row>
    <row r="354" spans="1:20" ht="24">
      <c r="A354" s="40" t="s">
        <v>655</v>
      </c>
      <c r="B354" s="40"/>
      <c r="C354" s="41"/>
      <c r="D354" s="40"/>
      <c r="E354" s="40" t="s">
        <v>3012</v>
      </c>
      <c r="F354" s="47">
        <f>LEN(G354)</f>
        <v>0</v>
      </c>
      <c r="G354" s="40"/>
      <c r="H354" s="40"/>
      <c r="I354" s="40"/>
      <c r="J354" s="40"/>
      <c r="K354" s="40"/>
      <c r="L354" s="40"/>
      <c r="M354" s="40"/>
      <c r="N354" s="47"/>
      <c r="O354" s="40"/>
      <c r="P354" s="40"/>
      <c r="Q354" s="40"/>
      <c r="R354" s="55"/>
      <c r="S354" s="41"/>
      <c r="T354" s="40"/>
    </row>
    <row r="355" spans="1:20" ht="24">
      <c r="A355" s="40" t="s">
        <v>655</v>
      </c>
      <c r="B355" s="40"/>
      <c r="C355" s="41"/>
      <c r="D355" s="40"/>
      <c r="E355" s="40" t="s">
        <v>3012</v>
      </c>
      <c r="F355" s="47">
        <f>LEN(G355)</f>
        <v>0</v>
      </c>
      <c r="G355" s="40"/>
      <c r="H355" s="40"/>
      <c r="I355" s="40"/>
      <c r="J355" s="40"/>
      <c r="K355" s="40"/>
      <c r="L355" s="40"/>
      <c r="M355" s="40"/>
      <c r="N355" s="47"/>
      <c r="O355" s="40"/>
      <c r="P355" s="40"/>
      <c r="Q355" s="40"/>
      <c r="R355" s="55"/>
      <c r="S355" s="41"/>
      <c r="T355" s="40"/>
    </row>
    <row r="356" spans="1:20" ht="24">
      <c r="A356" s="40" t="s">
        <v>655</v>
      </c>
      <c r="B356" s="40"/>
      <c r="C356" s="41"/>
      <c r="D356" s="40"/>
      <c r="E356" s="40" t="s">
        <v>3012</v>
      </c>
      <c r="F356" s="47">
        <f>LEN(G356)</f>
        <v>0</v>
      </c>
      <c r="G356" s="40"/>
      <c r="H356" s="40"/>
      <c r="I356" s="40"/>
      <c r="J356" s="40"/>
      <c r="K356" s="40"/>
      <c r="L356" s="40"/>
      <c r="M356" s="40"/>
      <c r="N356" s="47"/>
      <c r="O356" s="40"/>
      <c r="P356" s="40"/>
      <c r="Q356" s="40"/>
      <c r="R356" s="55"/>
      <c r="S356" s="41"/>
      <c r="T356" s="40"/>
    </row>
    <row r="357" spans="1:20" ht="24">
      <c r="A357" s="40" t="s">
        <v>655</v>
      </c>
      <c r="B357" s="40"/>
      <c r="C357" s="41"/>
      <c r="D357" s="40"/>
      <c r="E357" s="40" t="s">
        <v>3012</v>
      </c>
      <c r="F357" s="47">
        <f>LEN(G357)</f>
        <v>0</v>
      </c>
      <c r="G357" s="40"/>
      <c r="H357" s="40"/>
      <c r="I357" s="40"/>
      <c r="J357" s="40"/>
      <c r="K357" s="40"/>
      <c r="L357" s="40"/>
      <c r="M357" s="40"/>
      <c r="N357" s="47"/>
      <c r="O357" s="40"/>
      <c r="P357" s="40"/>
      <c r="Q357" s="40"/>
      <c r="R357" s="55"/>
      <c r="S357" s="41"/>
      <c r="T357" s="40"/>
    </row>
    <row r="358" spans="1:20" ht="24">
      <c r="A358" s="40" t="s">
        <v>655</v>
      </c>
      <c r="B358" s="40"/>
      <c r="C358" s="41"/>
      <c r="D358" s="40"/>
      <c r="E358" s="40" t="s">
        <v>3012</v>
      </c>
      <c r="F358" s="47">
        <f>LEN(G358)</f>
        <v>0</v>
      </c>
      <c r="G358" s="40"/>
      <c r="H358" s="40"/>
      <c r="I358" s="40"/>
      <c r="J358" s="40"/>
      <c r="K358" s="40"/>
      <c r="L358" s="40"/>
      <c r="M358" s="40"/>
      <c r="N358" s="47"/>
      <c r="O358" s="40"/>
      <c r="P358" s="40"/>
      <c r="Q358" s="40"/>
      <c r="R358" s="55"/>
      <c r="S358" s="41"/>
      <c r="T358" s="40"/>
    </row>
    <row r="359" spans="1:20" ht="24">
      <c r="A359" s="40" t="s">
        <v>655</v>
      </c>
      <c r="B359" s="40"/>
      <c r="C359" s="41"/>
      <c r="D359" s="40"/>
      <c r="E359" s="40" t="s">
        <v>3012</v>
      </c>
      <c r="F359" s="47">
        <f>LEN(G359)</f>
        <v>0</v>
      </c>
      <c r="G359" s="40"/>
      <c r="H359" s="40"/>
      <c r="I359" s="40"/>
      <c r="J359" s="40"/>
      <c r="K359" s="40"/>
      <c r="L359" s="40"/>
      <c r="M359" s="40"/>
      <c r="N359" s="47"/>
      <c r="O359" s="40"/>
      <c r="P359" s="40"/>
      <c r="Q359" s="40"/>
      <c r="R359" s="55"/>
      <c r="S359" s="41"/>
      <c r="T359" s="40"/>
    </row>
    <row r="360" spans="1:20" ht="24">
      <c r="A360" s="40" t="s">
        <v>655</v>
      </c>
      <c r="B360" s="40"/>
      <c r="C360" s="41"/>
      <c r="D360" s="40"/>
      <c r="E360" s="40" t="s">
        <v>3012</v>
      </c>
      <c r="F360" s="47">
        <f>LEN(G360)</f>
        <v>0</v>
      </c>
      <c r="G360" s="40"/>
      <c r="H360" s="40"/>
      <c r="I360" s="40"/>
      <c r="J360" s="40"/>
      <c r="K360" s="40"/>
      <c r="L360" s="40"/>
      <c r="M360" s="40"/>
      <c r="N360" s="47"/>
      <c r="O360" s="40"/>
      <c r="P360" s="40"/>
      <c r="Q360" s="40"/>
      <c r="R360" s="55"/>
      <c r="S360" s="41"/>
      <c r="T360" s="40"/>
    </row>
    <row r="361" spans="1:20" ht="24">
      <c r="A361" s="40" t="s">
        <v>655</v>
      </c>
      <c r="B361" s="40"/>
      <c r="C361" s="41"/>
      <c r="D361" s="40"/>
      <c r="E361" s="40" t="s">
        <v>3012</v>
      </c>
      <c r="F361" s="47">
        <f>LEN(G361)</f>
        <v>0</v>
      </c>
      <c r="G361" s="40"/>
      <c r="H361" s="40"/>
      <c r="I361" s="40"/>
      <c r="J361" s="40"/>
      <c r="K361" s="40"/>
      <c r="L361" s="40"/>
      <c r="M361" s="40"/>
      <c r="N361" s="47"/>
      <c r="O361" s="40"/>
      <c r="P361" s="40"/>
      <c r="Q361" s="40"/>
      <c r="R361" s="55"/>
      <c r="S361" s="41"/>
      <c r="T361" s="40"/>
    </row>
    <row r="362" spans="1:20" ht="24">
      <c r="A362" s="40" t="s">
        <v>655</v>
      </c>
      <c r="B362" s="40"/>
      <c r="C362" s="41"/>
      <c r="D362" s="40"/>
      <c r="E362" s="40" t="s">
        <v>3012</v>
      </c>
      <c r="F362" s="47">
        <f>LEN(G362)</f>
        <v>0</v>
      </c>
      <c r="G362" s="40"/>
      <c r="H362" s="40"/>
      <c r="I362" s="40"/>
      <c r="J362" s="40"/>
      <c r="K362" s="40"/>
      <c r="L362" s="40"/>
      <c r="M362" s="40"/>
      <c r="N362" s="47"/>
      <c r="O362" s="40"/>
      <c r="P362" s="40"/>
      <c r="Q362" s="40"/>
      <c r="R362" s="55"/>
      <c r="S362" s="41"/>
      <c r="T362" s="40"/>
    </row>
    <row r="363" spans="1:20" ht="24">
      <c r="A363" s="40" t="s">
        <v>655</v>
      </c>
      <c r="B363" s="40"/>
      <c r="C363" s="41"/>
      <c r="D363" s="40"/>
      <c r="E363" s="40" t="s">
        <v>3012</v>
      </c>
      <c r="F363" s="47">
        <f>LEN(G363)</f>
        <v>0</v>
      </c>
      <c r="G363" s="40"/>
      <c r="H363" s="40"/>
      <c r="I363" s="40"/>
      <c r="J363" s="40"/>
      <c r="K363" s="40"/>
      <c r="L363" s="40"/>
      <c r="M363" s="40"/>
      <c r="N363" s="47"/>
      <c r="O363" s="40"/>
      <c r="P363" s="40"/>
      <c r="Q363" s="40"/>
      <c r="R363" s="55"/>
      <c r="S363" s="41"/>
      <c r="T363" s="40"/>
    </row>
    <row r="364" spans="1:20" ht="24">
      <c r="A364" s="40" t="s">
        <v>655</v>
      </c>
      <c r="B364" s="40"/>
      <c r="C364" s="41"/>
      <c r="D364" s="40"/>
      <c r="E364" s="40" t="s">
        <v>3012</v>
      </c>
      <c r="F364" s="47">
        <f>LEN(G364)</f>
        <v>0</v>
      </c>
      <c r="G364" s="40"/>
      <c r="H364" s="40"/>
      <c r="I364" s="40"/>
      <c r="J364" s="40"/>
      <c r="K364" s="40"/>
      <c r="L364" s="40"/>
      <c r="M364" s="40"/>
      <c r="N364" s="47"/>
      <c r="O364" s="40"/>
      <c r="P364" s="40"/>
      <c r="Q364" s="40"/>
      <c r="R364" s="55"/>
      <c r="S364" s="41"/>
      <c r="T364" s="40"/>
    </row>
    <row r="365" spans="1:20" ht="24">
      <c r="A365" s="40" t="s">
        <v>655</v>
      </c>
      <c r="B365" s="40"/>
      <c r="C365" s="41"/>
      <c r="D365" s="40"/>
      <c r="E365" s="40" t="s">
        <v>3012</v>
      </c>
      <c r="F365" s="47">
        <f>LEN(G365)</f>
        <v>0</v>
      </c>
      <c r="G365" s="40"/>
      <c r="H365" s="40"/>
      <c r="I365" s="40"/>
      <c r="J365" s="40"/>
      <c r="K365" s="40"/>
      <c r="L365" s="40"/>
      <c r="M365" s="40"/>
      <c r="N365" s="47"/>
      <c r="O365" s="40"/>
      <c r="P365" s="40"/>
      <c r="Q365" s="40"/>
      <c r="R365" s="55"/>
      <c r="S365" s="41"/>
      <c r="T365" s="40"/>
    </row>
    <row r="366" spans="1:20" ht="24">
      <c r="A366" s="40" t="s">
        <v>655</v>
      </c>
      <c r="B366" s="40"/>
      <c r="C366" s="41"/>
      <c r="D366" s="40"/>
      <c r="E366" s="40" t="s">
        <v>3012</v>
      </c>
      <c r="F366" s="47">
        <f>LEN(G366)</f>
        <v>0</v>
      </c>
      <c r="G366" s="40"/>
      <c r="H366" s="40"/>
      <c r="I366" s="40"/>
      <c r="J366" s="40"/>
      <c r="K366" s="40"/>
      <c r="L366" s="40"/>
      <c r="M366" s="40"/>
      <c r="N366" s="47"/>
      <c r="O366" s="40"/>
      <c r="P366" s="40"/>
      <c r="Q366" s="40"/>
      <c r="R366" s="55"/>
      <c r="S366" s="41"/>
      <c r="T366" s="40"/>
    </row>
    <row r="367" spans="1:20" ht="24">
      <c r="A367" s="40" t="s">
        <v>655</v>
      </c>
      <c r="B367" s="40"/>
      <c r="C367" s="41"/>
      <c r="D367" s="40"/>
      <c r="E367" s="40" t="s">
        <v>3012</v>
      </c>
      <c r="F367" s="47">
        <f>LEN(G367)</f>
        <v>0</v>
      </c>
      <c r="G367" s="40"/>
      <c r="H367" s="40"/>
      <c r="I367" s="40"/>
      <c r="J367" s="40"/>
      <c r="K367" s="40"/>
      <c r="L367" s="40"/>
      <c r="M367" s="40"/>
      <c r="N367" s="47"/>
      <c r="O367" s="40"/>
      <c r="P367" s="40"/>
      <c r="Q367" s="40"/>
      <c r="R367" s="55"/>
      <c r="S367" s="41"/>
      <c r="T367" s="40"/>
    </row>
    <row r="368" spans="1:20" ht="24">
      <c r="A368" s="40" t="s">
        <v>655</v>
      </c>
      <c r="B368" s="40"/>
      <c r="C368" s="41"/>
      <c r="D368" s="40"/>
      <c r="E368" s="40" t="s">
        <v>3012</v>
      </c>
      <c r="F368" s="47">
        <f>LEN(G368)</f>
        <v>0</v>
      </c>
      <c r="G368" s="40"/>
      <c r="H368" s="40"/>
      <c r="I368" s="40"/>
      <c r="J368" s="40"/>
      <c r="K368" s="40"/>
      <c r="L368" s="40"/>
      <c r="M368" s="40"/>
      <c r="N368" s="47"/>
      <c r="O368" s="40"/>
      <c r="P368" s="40"/>
      <c r="Q368" s="40"/>
      <c r="R368" s="55"/>
      <c r="S368" s="41"/>
      <c r="T368" s="40"/>
    </row>
    <row r="369" spans="1:20" ht="24">
      <c r="A369" s="40" t="s">
        <v>655</v>
      </c>
      <c r="B369" s="40"/>
      <c r="C369" s="41"/>
      <c r="D369" s="40"/>
      <c r="E369" s="40" t="s">
        <v>3012</v>
      </c>
      <c r="F369" s="47">
        <f>LEN(G369)</f>
        <v>0</v>
      </c>
      <c r="G369" s="40"/>
      <c r="H369" s="40"/>
      <c r="I369" s="40"/>
      <c r="J369" s="40"/>
      <c r="K369" s="40"/>
      <c r="L369" s="40"/>
      <c r="M369" s="40"/>
      <c r="N369" s="47"/>
      <c r="O369" s="40"/>
      <c r="P369" s="40"/>
      <c r="Q369" s="40"/>
      <c r="R369" s="55"/>
      <c r="S369" s="41"/>
      <c r="T369" s="40"/>
    </row>
    <row r="370" spans="1:20" ht="24">
      <c r="A370" s="40" t="s">
        <v>655</v>
      </c>
      <c r="B370" s="40"/>
      <c r="C370" s="41"/>
      <c r="D370" s="40"/>
      <c r="E370" s="40" t="s">
        <v>3012</v>
      </c>
      <c r="F370" s="47">
        <f>LEN(G370)</f>
        <v>0</v>
      </c>
      <c r="G370" s="40"/>
      <c r="H370" s="40"/>
      <c r="I370" s="40"/>
      <c r="J370" s="40"/>
      <c r="K370" s="40"/>
      <c r="L370" s="40"/>
      <c r="M370" s="40"/>
      <c r="N370" s="47"/>
      <c r="O370" s="40"/>
      <c r="P370" s="40"/>
      <c r="Q370" s="40"/>
      <c r="R370" s="55"/>
      <c r="S370" s="41"/>
      <c r="T370" s="40"/>
    </row>
    <row r="371" spans="1:20" ht="24">
      <c r="A371" s="40" t="s">
        <v>655</v>
      </c>
      <c r="B371" s="40"/>
      <c r="C371" s="41"/>
      <c r="D371" s="40"/>
      <c r="E371" s="40" t="s">
        <v>3012</v>
      </c>
      <c r="F371" s="47">
        <f>LEN(G371)</f>
        <v>0</v>
      </c>
      <c r="G371" s="40"/>
      <c r="H371" s="40"/>
      <c r="I371" s="40"/>
      <c r="J371" s="40"/>
      <c r="K371" s="40"/>
      <c r="L371" s="40"/>
      <c r="M371" s="40"/>
      <c r="N371" s="47"/>
      <c r="O371" s="40"/>
      <c r="P371" s="40"/>
      <c r="Q371" s="40"/>
      <c r="R371" s="55"/>
      <c r="S371" s="41"/>
      <c r="T371" s="40"/>
    </row>
    <row r="372" spans="1:20" ht="24">
      <c r="A372" s="40" t="s">
        <v>655</v>
      </c>
      <c r="B372" s="40"/>
      <c r="C372" s="41"/>
      <c r="D372" s="40"/>
      <c r="E372" s="40" t="s">
        <v>3012</v>
      </c>
      <c r="F372" s="47">
        <f>LEN(G372)</f>
        <v>0</v>
      </c>
      <c r="G372" s="40"/>
      <c r="H372" s="40"/>
      <c r="I372" s="40"/>
      <c r="J372" s="40"/>
      <c r="K372" s="40"/>
      <c r="L372" s="40"/>
      <c r="M372" s="40"/>
      <c r="N372" s="47"/>
      <c r="O372" s="40"/>
      <c r="P372" s="40"/>
      <c r="Q372" s="40"/>
      <c r="R372" s="55"/>
      <c r="S372" s="41"/>
      <c r="T372" s="40"/>
    </row>
    <row r="373" spans="1:20" ht="24">
      <c r="A373" s="40" t="s">
        <v>655</v>
      </c>
      <c r="B373" s="40"/>
      <c r="C373" s="41"/>
      <c r="D373" s="40"/>
      <c r="E373" s="40" t="s">
        <v>3012</v>
      </c>
      <c r="F373" s="47">
        <f>LEN(G373)</f>
        <v>0</v>
      </c>
      <c r="G373" s="40"/>
      <c r="H373" s="40"/>
      <c r="I373" s="40"/>
      <c r="J373" s="40"/>
      <c r="K373" s="40"/>
      <c r="L373" s="40"/>
      <c r="M373" s="40"/>
      <c r="N373" s="47"/>
      <c r="O373" s="40"/>
      <c r="P373" s="40"/>
      <c r="Q373" s="40"/>
      <c r="R373" s="55"/>
      <c r="S373" s="41"/>
      <c r="T373" s="40"/>
    </row>
    <row r="374" spans="1:20" ht="24">
      <c r="A374" s="40" t="s">
        <v>655</v>
      </c>
      <c r="B374" s="40"/>
      <c r="C374" s="41"/>
      <c r="D374" s="40"/>
      <c r="E374" s="40" t="s">
        <v>3012</v>
      </c>
      <c r="F374" s="47">
        <f>LEN(G374)</f>
        <v>0</v>
      </c>
      <c r="G374" s="40"/>
      <c r="H374" s="40"/>
      <c r="I374" s="40"/>
      <c r="J374" s="40"/>
      <c r="K374" s="40"/>
      <c r="L374" s="40"/>
      <c r="M374" s="40"/>
      <c r="N374" s="47"/>
      <c r="O374" s="40"/>
      <c r="P374" s="40"/>
      <c r="Q374" s="40"/>
      <c r="R374" s="55"/>
      <c r="S374" s="41"/>
      <c r="T374" s="40"/>
    </row>
    <row r="375" spans="1:20" ht="24">
      <c r="A375" s="40" t="s">
        <v>655</v>
      </c>
      <c r="B375" s="40"/>
      <c r="C375" s="41"/>
      <c r="D375" s="40"/>
      <c r="E375" s="40" t="s">
        <v>3012</v>
      </c>
      <c r="F375" s="47">
        <f>LEN(G375)</f>
        <v>0</v>
      </c>
      <c r="G375" s="40"/>
      <c r="H375" s="40"/>
      <c r="I375" s="40"/>
      <c r="J375" s="40"/>
      <c r="K375" s="40"/>
      <c r="L375" s="40"/>
      <c r="M375" s="40"/>
      <c r="N375" s="47"/>
      <c r="O375" s="40"/>
      <c r="P375" s="40"/>
      <c r="Q375" s="40"/>
      <c r="R375" s="55"/>
      <c r="S375" s="41"/>
      <c r="T375" s="40"/>
    </row>
    <row r="376" spans="1:20" ht="24">
      <c r="A376" s="40" t="s">
        <v>655</v>
      </c>
      <c r="B376" s="40"/>
      <c r="C376" s="41"/>
      <c r="D376" s="40"/>
      <c r="E376" s="40" t="s">
        <v>3012</v>
      </c>
      <c r="F376" s="47">
        <f>LEN(G376)</f>
        <v>0</v>
      </c>
      <c r="G376" s="40"/>
      <c r="H376" s="40"/>
      <c r="I376" s="40"/>
      <c r="J376" s="40"/>
      <c r="K376" s="40"/>
      <c r="L376" s="40"/>
      <c r="M376" s="40"/>
      <c r="N376" s="47"/>
      <c r="O376" s="40"/>
      <c r="P376" s="40"/>
      <c r="Q376" s="40"/>
      <c r="R376" s="55"/>
      <c r="S376" s="41"/>
      <c r="T376" s="40"/>
    </row>
    <row r="377" spans="1:20" ht="24">
      <c r="A377" s="40" t="s">
        <v>655</v>
      </c>
      <c r="B377" s="40"/>
      <c r="C377" s="41"/>
      <c r="D377" s="40"/>
      <c r="E377" s="40" t="s">
        <v>3012</v>
      </c>
      <c r="F377" s="47">
        <f>LEN(G377)</f>
        <v>0</v>
      </c>
      <c r="G377" s="40"/>
      <c r="H377" s="40"/>
      <c r="I377" s="40"/>
      <c r="J377" s="40"/>
      <c r="K377" s="40"/>
      <c r="L377" s="40"/>
      <c r="M377" s="40"/>
      <c r="N377" s="47"/>
      <c r="O377" s="40"/>
      <c r="P377" s="40"/>
      <c r="Q377" s="40"/>
      <c r="R377" s="55"/>
      <c r="S377" s="41"/>
      <c r="T377" s="40"/>
    </row>
    <row r="378" spans="1:20" ht="24">
      <c r="A378" s="40" t="s">
        <v>655</v>
      </c>
      <c r="B378" s="40"/>
      <c r="C378" s="41"/>
      <c r="D378" s="40"/>
      <c r="E378" s="40" t="s">
        <v>3012</v>
      </c>
      <c r="F378" s="47">
        <f>LEN(G378)</f>
        <v>0</v>
      </c>
      <c r="G378" s="40"/>
      <c r="H378" s="40"/>
      <c r="I378" s="40"/>
      <c r="J378" s="40"/>
      <c r="K378" s="40"/>
      <c r="L378" s="40"/>
      <c r="M378" s="40"/>
      <c r="N378" s="47"/>
      <c r="O378" s="40"/>
      <c r="P378" s="40"/>
      <c r="Q378" s="40"/>
      <c r="R378" s="55"/>
      <c r="S378" s="41"/>
      <c r="T378" s="40"/>
    </row>
    <row r="379" spans="1:20" ht="24">
      <c r="A379" s="40" t="s">
        <v>655</v>
      </c>
      <c r="B379" s="40"/>
      <c r="C379" s="41"/>
      <c r="D379" s="40"/>
      <c r="E379" s="40" t="s">
        <v>3012</v>
      </c>
      <c r="F379" s="47">
        <f>LEN(G379)</f>
        <v>0</v>
      </c>
      <c r="G379" s="40"/>
      <c r="H379" s="40"/>
      <c r="I379" s="40"/>
      <c r="J379" s="40"/>
      <c r="K379" s="40"/>
      <c r="L379" s="40"/>
      <c r="M379" s="40"/>
      <c r="N379" s="47"/>
      <c r="O379" s="40"/>
      <c r="P379" s="40"/>
      <c r="Q379" s="40"/>
      <c r="R379" s="55"/>
      <c r="S379" s="41"/>
      <c r="T379" s="40"/>
    </row>
    <row r="380" spans="1:20" ht="24">
      <c r="A380" s="40" t="s">
        <v>655</v>
      </c>
      <c r="B380" s="40"/>
      <c r="C380" s="41"/>
      <c r="D380" s="40"/>
      <c r="E380" s="40" t="s">
        <v>3012</v>
      </c>
      <c r="F380" s="47">
        <f>LEN(G380)</f>
        <v>0</v>
      </c>
      <c r="G380" s="40"/>
      <c r="H380" s="40"/>
      <c r="I380" s="40"/>
      <c r="J380" s="40"/>
      <c r="K380" s="40"/>
      <c r="L380" s="40"/>
      <c r="M380" s="40"/>
      <c r="N380" s="47"/>
      <c r="O380" s="40"/>
      <c r="P380" s="40"/>
      <c r="Q380" s="40"/>
      <c r="R380" s="55"/>
      <c r="S380" s="41"/>
      <c r="T380" s="40"/>
    </row>
    <row r="381" spans="1:20" ht="24">
      <c r="A381" s="40" t="s">
        <v>655</v>
      </c>
      <c r="B381" s="40"/>
      <c r="C381" s="41"/>
      <c r="D381" s="40"/>
      <c r="E381" s="40" t="s">
        <v>3012</v>
      </c>
      <c r="F381" s="47">
        <f>LEN(G381)</f>
        <v>0</v>
      </c>
      <c r="G381" s="40"/>
      <c r="H381" s="40"/>
      <c r="I381" s="40"/>
      <c r="J381" s="40"/>
      <c r="K381" s="40"/>
      <c r="L381" s="40"/>
      <c r="M381" s="40"/>
      <c r="N381" s="47"/>
      <c r="O381" s="40"/>
      <c r="P381" s="40"/>
      <c r="Q381" s="40"/>
      <c r="R381" s="55"/>
      <c r="S381" s="41"/>
      <c r="T381" s="40"/>
    </row>
    <row r="382" spans="1:20" ht="24">
      <c r="A382" s="40" t="s">
        <v>655</v>
      </c>
      <c r="B382" s="40"/>
      <c r="C382" s="41"/>
      <c r="D382" s="40"/>
      <c r="E382" s="40" t="s">
        <v>3012</v>
      </c>
      <c r="F382" s="47">
        <f>LEN(G382)</f>
        <v>0</v>
      </c>
      <c r="G382" s="40"/>
      <c r="H382" s="40"/>
      <c r="I382" s="40"/>
      <c r="J382" s="40"/>
      <c r="K382" s="40"/>
      <c r="L382" s="40"/>
      <c r="M382" s="40"/>
      <c r="N382" s="47"/>
      <c r="O382" s="40"/>
      <c r="P382" s="40"/>
      <c r="Q382" s="40"/>
      <c r="R382" s="55"/>
      <c r="S382" s="41"/>
      <c r="T382" s="40"/>
    </row>
    <row r="383" spans="1:20" ht="24">
      <c r="A383" s="40" t="s">
        <v>655</v>
      </c>
      <c r="B383" s="40"/>
      <c r="C383" s="41"/>
      <c r="D383" s="40"/>
      <c r="E383" s="40" t="s">
        <v>3012</v>
      </c>
      <c r="F383" s="47">
        <f>LEN(G383)</f>
        <v>0</v>
      </c>
      <c r="G383" s="40"/>
      <c r="H383" s="40"/>
      <c r="I383" s="40"/>
      <c r="J383" s="40"/>
      <c r="K383" s="40"/>
      <c r="L383" s="40"/>
      <c r="M383" s="40"/>
      <c r="N383" s="47"/>
      <c r="O383" s="40"/>
      <c r="P383" s="40"/>
      <c r="Q383" s="40"/>
      <c r="R383" s="55"/>
      <c r="S383" s="41"/>
      <c r="T383" s="40"/>
    </row>
    <row r="384" spans="1:20" ht="24">
      <c r="A384" s="40" t="s">
        <v>655</v>
      </c>
      <c r="B384" s="40"/>
      <c r="C384" s="41"/>
      <c r="D384" s="40"/>
      <c r="E384" s="40" t="s">
        <v>3012</v>
      </c>
      <c r="F384" s="47">
        <f>LEN(G384)</f>
        <v>0</v>
      </c>
      <c r="G384" s="40"/>
      <c r="H384" s="40"/>
      <c r="I384" s="40"/>
      <c r="J384" s="40"/>
      <c r="K384" s="40"/>
      <c r="L384" s="40"/>
      <c r="M384" s="40"/>
      <c r="N384" s="47"/>
      <c r="O384" s="40"/>
      <c r="P384" s="40"/>
      <c r="Q384" s="40"/>
      <c r="R384" s="55"/>
      <c r="S384" s="41"/>
      <c r="T384" s="40"/>
    </row>
    <row r="385" spans="1:20" ht="24">
      <c r="A385" s="40" t="s">
        <v>655</v>
      </c>
      <c r="B385" s="40"/>
      <c r="C385" s="41"/>
      <c r="D385" s="40"/>
      <c r="E385" s="40" t="s">
        <v>3012</v>
      </c>
      <c r="F385" s="47">
        <f>LEN(G385)</f>
        <v>0</v>
      </c>
      <c r="G385" s="40"/>
      <c r="H385" s="40"/>
      <c r="I385" s="40"/>
      <c r="J385" s="40"/>
      <c r="K385" s="40"/>
      <c r="L385" s="40"/>
      <c r="M385" s="40"/>
      <c r="N385" s="47"/>
      <c r="O385" s="40"/>
      <c r="P385" s="40"/>
      <c r="Q385" s="40"/>
      <c r="R385" s="55"/>
      <c r="S385" s="41"/>
      <c r="T385" s="40"/>
    </row>
    <row r="386" spans="1:20" ht="24">
      <c r="A386" s="40" t="s">
        <v>655</v>
      </c>
      <c r="B386" s="40"/>
      <c r="C386" s="41"/>
      <c r="D386" s="40"/>
      <c r="E386" s="40" t="s">
        <v>3012</v>
      </c>
      <c r="F386" s="47">
        <f>LEN(G386)</f>
        <v>0</v>
      </c>
      <c r="G386" s="40"/>
      <c r="H386" s="40"/>
      <c r="I386" s="40"/>
      <c r="J386" s="40"/>
      <c r="K386" s="40"/>
      <c r="L386" s="40"/>
      <c r="M386" s="40"/>
      <c r="N386" s="47"/>
      <c r="O386" s="40"/>
      <c r="P386" s="40"/>
      <c r="Q386" s="40"/>
      <c r="R386" s="55"/>
      <c r="S386" s="41"/>
      <c r="T386" s="40"/>
    </row>
    <row r="387" spans="1:20" ht="24">
      <c r="A387" s="40" t="s">
        <v>655</v>
      </c>
      <c r="B387" s="40"/>
      <c r="C387" s="41"/>
      <c r="D387" s="40"/>
      <c r="E387" s="40" t="s">
        <v>3012</v>
      </c>
      <c r="F387" s="47">
        <f>LEN(G387)</f>
        <v>0</v>
      </c>
      <c r="G387" s="40"/>
      <c r="H387" s="40"/>
      <c r="I387" s="40"/>
      <c r="J387" s="40"/>
      <c r="K387" s="40"/>
      <c r="L387" s="40"/>
      <c r="M387" s="40"/>
      <c r="N387" s="47"/>
      <c r="O387" s="40"/>
      <c r="P387" s="40"/>
      <c r="Q387" s="40"/>
      <c r="R387" s="55"/>
      <c r="S387" s="41"/>
      <c r="T387" s="40"/>
    </row>
    <row r="388" spans="1:20" ht="24">
      <c r="A388" s="40" t="s">
        <v>655</v>
      </c>
      <c r="B388" s="40"/>
      <c r="C388" s="41"/>
      <c r="D388" s="40"/>
      <c r="E388" s="40" t="s">
        <v>3012</v>
      </c>
      <c r="F388" s="47">
        <f>LEN(G388)</f>
        <v>0</v>
      </c>
      <c r="G388" s="40"/>
      <c r="H388" s="40"/>
      <c r="I388" s="40"/>
      <c r="J388" s="40"/>
      <c r="K388" s="40"/>
      <c r="L388" s="40"/>
      <c r="M388" s="40"/>
      <c r="N388" s="47"/>
      <c r="O388" s="40"/>
      <c r="P388" s="40"/>
      <c r="Q388" s="40"/>
      <c r="R388" s="55"/>
      <c r="S388" s="41"/>
      <c r="T388" s="40"/>
    </row>
    <row r="389" spans="1:20" ht="24">
      <c r="A389" s="40" t="s">
        <v>655</v>
      </c>
      <c r="B389" s="40"/>
      <c r="C389" s="41"/>
      <c r="D389" s="40"/>
      <c r="E389" s="40" t="s">
        <v>3012</v>
      </c>
      <c r="F389" s="47">
        <f>LEN(G389)</f>
        <v>0</v>
      </c>
      <c r="G389" s="40"/>
      <c r="H389" s="40"/>
      <c r="I389" s="40"/>
      <c r="J389" s="40"/>
      <c r="K389" s="40"/>
      <c r="L389" s="40"/>
      <c r="M389" s="40"/>
      <c r="N389" s="47"/>
      <c r="O389" s="40"/>
      <c r="P389" s="40"/>
      <c r="Q389" s="40"/>
      <c r="R389" s="55"/>
      <c r="S389" s="41"/>
      <c r="T389" s="40"/>
    </row>
    <row r="390" spans="1:20" ht="24">
      <c r="A390" s="40" t="s">
        <v>655</v>
      </c>
      <c r="B390" s="40"/>
      <c r="C390" s="41"/>
      <c r="D390" s="40"/>
      <c r="E390" s="40" t="s">
        <v>3012</v>
      </c>
      <c r="F390" s="47">
        <f>LEN(G390)</f>
        <v>0</v>
      </c>
      <c r="G390" s="40"/>
      <c r="H390" s="40"/>
      <c r="I390" s="40"/>
      <c r="J390" s="40"/>
      <c r="K390" s="40"/>
      <c r="L390" s="40"/>
      <c r="M390" s="40"/>
      <c r="N390" s="47"/>
      <c r="O390" s="40"/>
      <c r="P390" s="40"/>
      <c r="Q390" s="40"/>
      <c r="R390" s="55"/>
      <c r="S390" s="41"/>
      <c r="T390" s="40"/>
    </row>
    <row r="391" spans="1:20" ht="24">
      <c r="A391" s="40" t="s">
        <v>655</v>
      </c>
      <c r="B391" s="40"/>
      <c r="C391" s="41"/>
      <c r="D391" s="40"/>
      <c r="E391" s="40" t="s">
        <v>3012</v>
      </c>
      <c r="F391" s="47">
        <f>LEN(G391)</f>
        <v>0</v>
      </c>
      <c r="G391" s="40"/>
      <c r="H391" s="40"/>
      <c r="I391" s="40"/>
      <c r="J391" s="40"/>
      <c r="K391" s="40"/>
      <c r="L391" s="40"/>
      <c r="M391" s="40"/>
      <c r="N391" s="47"/>
      <c r="O391" s="40"/>
      <c r="P391" s="40"/>
      <c r="Q391" s="40"/>
      <c r="R391" s="55"/>
      <c r="S391" s="41"/>
      <c r="T391" s="40"/>
    </row>
    <row r="392" spans="1:20" ht="24">
      <c r="A392" s="40" t="s">
        <v>655</v>
      </c>
      <c r="B392" s="40"/>
      <c r="C392" s="41"/>
      <c r="D392" s="40"/>
      <c r="E392" s="40" t="s">
        <v>3012</v>
      </c>
      <c r="F392" s="47">
        <f>LEN(G392)</f>
        <v>0</v>
      </c>
      <c r="G392" s="40"/>
      <c r="H392" s="40"/>
      <c r="I392" s="40"/>
      <c r="J392" s="40"/>
      <c r="K392" s="40"/>
      <c r="L392" s="40"/>
      <c r="M392" s="40"/>
      <c r="N392" s="47"/>
      <c r="O392" s="40"/>
      <c r="P392" s="40"/>
      <c r="Q392" s="40"/>
      <c r="R392" s="55"/>
      <c r="S392" s="41"/>
      <c r="T392" s="40"/>
    </row>
    <row r="393" spans="1:20" ht="24">
      <c r="A393" s="40" t="s">
        <v>655</v>
      </c>
      <c r="B393" s="40"/>
      <c r="C393" s="41"/>
      <c r="D393" s="40"/>
      <c r="E393" s="40" t="s">
        <v>3012</v>
      </c>
      <c r="F393" s="47">
        <f>LEN(G393)</f>
        <v>0</v>
      </c>
      <c r="G393" s="40"/>
      <c r="H393" s="40"/>
      <c r="I393" s="40"/>
      <c r="J393" s="40"/>
      <c r="K393" s="40"/>
      <c r="L393" s="40"/>
      <c r="M393" s="40"/>
      <c r="N393" s="47"/>
      <c r="O393" s="40"/>
      <c r="P393" s="40"/>
      <c r="Q393" s="40"/>
      <c r="R393" s="55"/>
      <c r="S393" s="41"/>
      <c r="T393" s="40"/>
    </row>
    <row r="394" spans="1:20" ht="24">
      <c r="A394" s="40" t="s">
        <v>655</v>
      </c>
      <c r="B394" s="40"/>
      <c r="C394" s="41"/>
      <c r="D394" s="40"/>
      <c r="E394" s="40" t="s">
        <v>3012</v>
      </c>
      <c r="F394" s="47">
        <f>LEN(G394)</f>
        <v>0</v>
      </c>
      <c r="G394" s="40"/>
      <c r="H394" s="40"/>
      <c r="I394" s="40"/>
      <c r="J394" s="40"/>
      <c r="K394" s="40"/>
      <c r="L394" s="40"/>
      <c r="M394" s="40"/>
      <c r="N394" s="47"/>
      <c r="O394" s="40"/>
      <c r="P394" s="40"/>
      <c r="Q394" s="40"/>
      <c r="R394" s="55"/>
      <c r="S394" s="41"/>
      <c r="T394" s="40"/>
    </row>
    <row r="395" spans="1:20" ht="24">
      <c r="A395" s="40" t="s">
        <v>655</v>
      </c>
      <c r="B395" s="40"/>
      <c r="C395" s="41"/>
      <c r="D395" s="40"/>
      <c r="E395" s="40" t="s">
        <v>3012</v>
      </c>
      <c r="F395" s="47">
        <f>LEN(G395)</f>
        <v>0</v>
      </c>
      <c r="G395" s="40"/>
      <c r="H395" s="40"/>
      <c r="I395" s="40"/>
      <c r="J395" s="40"/>
      <c r="K395" s="40"/>
      <c r="L395" s="40"/>
      <c r="M395" s="40"/>
      <c r="N395" s="47"/>
      <c r="O395" s="40"/>
      <c r="P395" s="40"/>
      <c r="Q395" s="40"/>
      <c r="R395" s="55"/>
      <c r="S395" s="41"/>
      <c r="T395" s="40"/>
    </row>
    <row r="396" spans="1:20" ht="24">
      <c r="A396" s="40" t="s">
        <v>655</v>
      </c>
      <c r="B396" s="40"/>
      <c r="C396" s="41"/>
      <c r="D396" s="40"/>
      <c r="E396" s="40" t="s">
        <v>3012</v>
      </c>
      <c r="F396" s="47">
        <f>LEN(G396)</f>
        <v>0</v>
      </c>
      <c r="G396" s="40"/>
      <c r="H396" s="40"/>
      <c r="I396" s="40"/>
      <c r="J396" s="40"/>
      <c r="K396" s="40"/>
      <c r="L396" s="40"/>
      <c r="M396" s="40"/>
      <c r="N396" s="47"/>
      <c r="O396" s="40"/>
      <c r="P396" s="40"/>
      <c r="Q396" s="40"/>
      <c r="R396" s="55"/>
      <c r="S396" s="41"/>
      <c r="T396" s="40"/>
    </row>
    <row r="397" spans="1:20" ht="24">
      <c r="A397" s="40" t="s">
        <v>655</v>
      </c>
      <c r="B397" s="40"/>
      <c r="C397" s="41"/>
      <c r="D397" s="40"/>
      <c r="E397" s="40" t="s">
        <v>3012</v>
      </c>
      <c r="F397" s="47">
        <f>LEN(G397)</f>
        <v>0</v>
      </c>
      <c r="G397" s="40"/>
      <c r="H397" s="40"/>
      <c r="I397" s="40"/>
      <c r="J397" s="40"/>
      <c r="K397" s="40"/>
      <c r="L397" s="40"/>
      <c r="M397" s="40"/>
      <c r="N397" s="47"/>
      <c r="O397" s="40"/>
      <c r="P397" s="40"/>
      <c r="Q397" s="40"/>
      <c r="R397" s="55"/>
      <c r="S397" s="41"/>
      <c r="T397" s="40"/>
    </row>
    <row r="398" spans="1:20" ht="24">
      <c r="A398" s="40" t="s">
        <v>655</v>
      </c>
      <c r="B398" s="40"/>
      <c r="C398" s="41"/>
      <c r="D398" s="40"/>
      <c r="E398" s="40" t="s">
        <v>3012</v>
      </c>
      <c r="F398" s="47">
        <f>LEN(G398)</f>
        <v>0</v>
      </c>
      <c r="G398" s="40"/>
      <c r="H398" s="40"/>
      <c r="I398" s="40"/>
      <c r="J398" s="40"/>
      <c r="K398" s="40"/>
      <c r="L398" s="40"/>
      <c r="M398" s="40"/>
      <c r="N398" s="47"/>
      <c r="O398" s="40"/>
      <c r="P398" s="40"/>
      <c r="Q398" s="40"/>
      <c r="R398" s="55"/>
      <c r="S398" s="41"/>
      <c r="T398" s="40"/>
    </row>
    <row r="399" spans="1:20" ht="24">
      <c r="A399" s="40" t="s">
        <v>655</v>
      </c>
      <c r="B399" s="40"/>
      <c r="C399" s="41"/>
      <c r="D399" s="40"/>
      <c r="E399" s="40" t="s">
        <v>3012</v>
      </c>
      <c r="F399" s="47">
        <f>LEN(G399)</f>
        <v>0</v>
      </c>
      <c r="G399" s="40"/>
      <c r="H399" s="40"/>
      <c r="I399" s="40"/>
      <c r="J399" s="40"/>
      <c r="K399" s="40"/>
      <c r="L399" s="40"/>
      <c r="M399" s="40"/>
      <c r="N399" s="47"/>
      <c r="O399" s="40"/>
      <c r="P399" s="40"/>
      <c r="Q399" s="40"/>
      <c r="R399" s="55"/>
      <c r="S399" s="41"/>
      <c r="T399" s="40"/>
    </row>
    <row r="400" spans="1:20" ht="24">
      <c r="A400" s="40" t="s">
        <v>655</v>
      </c>
      <c r="B400" s="40"/>
      <c r="C400" s="41"/>
      <c r="D400" s="40"/>
      <c r="E400" s="40" t="s">
        <v>3012</v>
      </c>
      <c r="F400" s="47">
        <f>LEN(G400)</f>
        <v>0</v>
      </c>
      <c r="G400" s="40"/>
      <c r="H400" s="40"/>
      <c r="I400" s="40"/>
      <c r="J400" s="40"/>
      <c r="K400" s="40"/>
      <c r="L400" s="40"/>
      <c r="M400" s="40"/>
      <c r="N400" s="47"/>
      <c r="O400" s="40"/>
      <c r="P400" s="40"/>
      <c r="Q400" s="40"/>
      <c r="R400" s="55"/>
      <c r="S400" s="41"/>
      <c r="T400" s="40"/>
    </row>
    <row r="401" spans="1:20" ht="24">
      <c r="A401" s="40" t="s">
        <v>655</v>
      </c>
      <c r="B401" s="40"/>
      <c r="C401" s="41"/>
      <c r="D401" s="40"/>
      <c r="E401" s="40" t="s">
        <v>3012</v>
      </c>
      <c r="F401" s="47">
        <f>LEN(G401)</f>
        <v>0</v>
      </c>
      <c r="G401" s="40"/>
      <c r="H401" s="40"/>
      <c r="I401" s="40"/>
      <c r="J401" s="40"/>
      <c r="K401" s="40"/>
      <c r="L401" s="40"/>
      <c r="M401" s="40"/>
      <c r="N401" s="47"/>
      <c r="O401" s="40"/>
      <c r="P401" s="40"/>
      <c r="Q401" s="40"/>
      <c r="R401" s="55"/>
      <c r="S401" s="41"/>
      <c r="T401" s="40"/>
    </row>
    <row r="402" spans="1:20" ht="24">
      <c r="A402" s="40" t="s">
        <v>655</v>
      </c>
      <c r="B402" s="40"/>
      <c r="C402" s="41"/>
      <c r="D402" s="40"/>
      <c r="E402" s="40" t="s">
        <v>3012</v>
      </c>
      <c r="F402" s="47">
        <f>LEN(G402)</f>
        <v>0</v>
      </c>
      <c r="G402" s="40"/>
      <c r="H402" s="40"/>
      <c r="I402" s="40"/>
      <c r="J402" s="40"/>
      <c r="K402" s="40"/>
      <c r="L402" s="40"/>
      <c r="M402" s="40"/>
      <c r="N402" s="47"/>
      <c r="O402" s="40"/>
      <c r="P402" s="40"/>
      <c r="Q402" s="40"/>
      <c r="R402" s="55"/>
      <c r="S402" s="41"/>
      <c r="T402" s="40"/>
    </row>
    <row r="403" spans="1:20" ht="24">
      <c r="A403" s="40" t="s">
        <v>655</v>
      </c>
      <c r="B403" s="40"/>
      <c r="C403" s="41"/>
      <c r="D403" s="40"/>
      <c r="E403" s="40" t="s">
        <v>3012</v>
      </c>
      <c r="F403" s="47">
        <f>LEN(G403)</f>
        <v>0</v>
      </c>
      <c r="G403" s="40"/>
      <c r="H403" s="40"/>
      <c r="I403" s="40"/>
      <c r="J403" s="40"/>
      <c r="K403" s="40"/>
      <c r="L403" s="40"/>
      <c r="M403" s="40"/>
      <c r="N403" s="47"/>
      <c r="O403" s="40"/>
      <c r="P403" s="40"/>
      <c r="Q403" s="40"/>
      <c r="R403" s="55"/>
      <c r="S403" s="41"/>
      <c r="T403" s="40"/>
    </row>
    <row r="404" spans="1:20" ht="24">
      <c r="A404" s="40" t="s">
        <v>655</v>
      </c>
      <c r="B404" s="40"/>
      <c r="C404" s="41"/>
      <c r="D404" s="40"/>
      <c r="E404" s="40" t="s">
        <v>3012</v>
      </c>
      <c r="F404" s="47">
        <f>LEN(G404)</f>
        <v>0</v>
      </c>
      <c r="G404" s="40"/>
      <c r="H404" s="40"/>
      <c r="I404" s="40"/>
      <c r="J404" s="40"/>
      <c r="K404" s="40"/>
      <c r="L404" s="40"/>
      <c r="M404" s="40"/>
      <c r="N404" s="47"/>
      <c r="O404" s="40"/>
      <c r="P404" s="40"/>
      <c r="Q404" s="40"/>
      <c r="R404" s="55"/>
      <c r="S404" s="41"/>
      <c r="T404" s="40"/>
    </row>
    <row r="405" spans="1:20" ht="24">
      <c r="A405" s="40" t="s">
        <v>655</v>
      </c>
      <c r="B405" s="40"/>
      <c r="C405" s="41"/>
      <c r="D405" s="40"/>
      <c r="E405" s="40" t="s">
        <v>3012</v>
      </c>
      <c r="F405" s="47">
        <f>LEN(G405)</f>
        <v>0</v>
      </c>
      <c r="G405" s="40"/>
      <c r="H405" s="40"/>
      <c r="I405" s="40"/>
      <c r="J405" s="40"/>
      <c r="K405" s="40"/>
      <c r="L405" s="40"/>
      <c r="M405" s="40"/>
      <c r="N405" s="47"/>
      <c r="O405" s="40"/>
      <c r="P405" s="40"/>
      <c r="Q405" s="40"/>
      <c r="R405" s="55"/>
      <c r="S405" s="41"/>
      <c r="T405" s="40"/>
    </row>
    <row r="406" spans="1:20" ht="24">
      <c r="A406" s="40" t="s">
        <v>655</v>
      </c>
      <c r="B406" s="40"/>
      <c r="C406" s="41"/>
      <c r="D406" s="40"/>
      <c r="E406" s="40" t="s">
        <v>3012</v>
      </c>
      <c r="F406" s="47">
        <f>LEN(G406)</f>
        <v>0</v>
      </c>
      <c r="G406" s="40"/>
      <c r="H406" s="40"/>
      <c r="I406" s="40"/>
      <c r="J406" s="40"/>
      <c r="K406" s="40"/>
      <c r="L406" s="40"/>
      <c r="M406" s="40"/>
      <c r="N406" s="47"/>
      <c r="O406" s="40"/>
      <c r="P406" s="40"/>
      <c r="Q406" s="40"/>
      <c r="R406" s="55"/>
      <c r="S406" s="41"/>
      <c r="T406" s="40"/>
    </row>
    <row r="407" spans="1:20" ht="24">
      <c r="A407" s="40" t="s">
        <v>655</v>
      </c>
      <c r="B407" s="40"/>
      <c r="C407" s="41"/>
      <c r="D407" s="40"/>
      <c r="E407" s="40" t="s">
        <v>3012</v>
      </c>
      <c r="F407" s="47">
        <f>LEN(G407)</f>
        <v>0</v>
      </c>
      <c r="G407" s="40"/>
      <c r="H407" s="40"/>
      <c r="I407" s="40"/>
      <c r="J407" s="40"/>
      <c r="K407" s="40"/>
      <c r="L407" s="40"/>
      <c r="M407" s="40"/>
      <c r="N407" s="47"/>
      <c r="O407" s="40"/>
      <c r="P407" s="40"/>
      <c r="Q407" s="40"/>
      <c r="R407" s="55"/>
      <c r="S407" s="41"/>
      <c r="T407" s="40"/>
    </row>
    <row r="408" spans="1:20" ht="24">
      <c r="A408" s="40" t="s">
        <v>655</v>
      </c>
      <c r="B408" s="40"/>
      <c r="C408" s="41"/>
      <c r="D408" s="40"/>
      <c r="E408" s="40" t="s">
        <v>3012</v>
      </c>
      <c r="F408" s="47">
        <f>LEN(G408)</f>
        <v>0</v>
      </c>
      <c r="G408" s="40"/>
      <c r="H408" s="40"/>
      <c r="I408" s="40"/>
      <c r="J408" s="40"/>
      <c r="K408" s="40"/>
      <c r="L408" s="40"/>
      <c r="M408" s="40"/>
      <c r="N408" s="47"/>
      <c r="O408" s="40"/>
      <c r="P408" s="40"/>
      <c r="Q408" s="40"/>
      <c r="R408" s="55"/>
      <c r="S408" s="41"/>
      <c r="T408" s="40"/>
    </row>
    <row r="409" spans="1:20" ht="24">
      <c r="A409" s="40" t="s">
        <v>655</v>
      </c>
      <c r="B409" s="40"/>
      <c r="C409" s="41"/>
      <c r="D409" s="40"/>
      <c r="E409" s="40" t="s">
        <v>3012</v>
      </c>
      <c r="F409" s="47">
        <f>LEN(G409)</f>
        <v>0</v>
      </c>
      <c r="G409" s="40"/>
      <c r="H409" s="40"/>
      <c r="I409" s="40"/>
      <c r="J409" s="40"/>
      <c r="K409" s="40"/>
      <c r="L409" s="40"/>
      <c r="M409" s="40"/>
      <c r="N409" s="47"/>
      <c r="O409" s="40"/>
      <c r="P409" s="40"/>
      <c r="Q409" s="40"/>
      <c r="R409" s="55"/>
      <c r="S409" s="41"/>
      <c r="T409" s="40"/>
    </row>
    <row r="410" spans="1:20" ht="24">
      <c r="A410" s="40" t="s">
        <v>655</v>
      </c>
      <c r="B410" s="40"/>
      <c r="C410" s="41"/>
      <c r="D410" s="40"/>
      <c r="E410" s="40" t="s">
        <v>3012</v>
      </c>
      <c r="F410" s="47">
        <f>LEN(G410)</f>
        <v>0</v>
      </c>
      <c r="G410" s="40"/>
      <c r="H410" s="40"/>
      <c r="I410" s="40"/>
      <c r="J410" s="40"/>
      <c r="K410" s="40"/>
      <c r="L410" s="40"/>
      <c r="M410" s="40"/>
      <c r="N410" s="47"/>
      <c r="O410" s="40"/>
      <c r="P410" s="40"/>
      <c r="Q410" s="40"/>
      <c r="R410" s="55"/>
      <c r="S410" s="41"/>
      <c r="T410" s="40"/>
    </row>
    <row r="411" spans="1:20" ht="24">
      <c r="A411" s="40" t="s">
        <v>655</v>
      </c>
      <c r="B411" s="40"/>
      <c r="C411" s="41"/>
      <c r="D411" s="40"/>
      <c r="E411" s="40" t="s">
        <v>3012</v>
      </c>
      <c r="F411" s="47">
        <f>LEN(G411)</f>
        <v>0</v>
      </c>
      <c r="G411" s="40"/>
      <c r="H411" s="40"/>
      <c r="I411" s="40"/>
      <c r="J411" s="40"/>
      <c r="K411" s="40"/>
      <c r="L411" s="40"/>
      <c r="M411" s="40"/>
      <c r="N411" s="47"/>
      <c r="O411" s="40"/>
      <c r="P411" s="40"/>
      <c r="Q411" s="40"/>
      <c r="R411" s="55"/>
      <c r="S411" s="41"/>
      <c r="T411" s="40"/>
    </row>
    <row r="412" spans="1:20" ht="24">
      <c r="A412" s="40" t="s">
        <v>655</v>
      </c>
      <c r="B412" s="40"/>
      <c r="C412" s="41"/>
      <c r="D412" s="40"/>
      <c r="E412" s="40" t="s">
        <v>3012</v>
      </c>
      <c r="F412" s="47">
        <f>LEN(G412)</f>
        <v>0</v>
      </c>
      <c r="G412" s="40"/>
      <c r="H412" s="40"/>
      <c r="I412" s="40"/>
      <c r="J412" s="40"/>
      <c r="K412" s="40"/>
      <c r="L412" s="40"/>
      <c r="M412" s="40"/>
      <c r="N412" s="47"/>
      <c r="O412" s="40"/>
      <c r="P412" s="40"/>
      <c r="Q412" s="40"/>
      <c r="R412" s="55"/>
      <c r="S412" s="41"/>
      <c r="T412" s="40"/>
    </row>
    <row r="413" spans="1:20" ht="24">
      <c r="A413" s="40" t="s">
        <v>655</v>
      </c>
      <c r="B413" s="40"/>
      <c r="C413" s="41"/>
      <c r="D413" s="40"/>
      <c r="E413" s="40" t="s">
        <v>3012</v>
      </c>
      <c r="F413" s="47">
        <f>LEN(G413)</f>
        <v>0</v>
      </c>
      <c r="G413" s="40"/>
      <c r="H413" s="40"/>
      <c r="I413" s="40"/>
      <c r="J413" s="40"/>
      <c r="K413" s="40"/>
      <c r="L413" s="40"/>
      <c r="M413" s="40"/>
      <c r="N413" s="47"/>
      <c r="O413" s="40"/>
      <c r="P413" s="40"/>
      <c r="Q413" s="40"/>
      <c r="R413" s="55"/>
      <c r="S413" s="41"/>
      <c r="T413" s="40"/>
    </row>
    <row r="414" spans="1:20" ht="24">
      <c r="A414" s="40" t="s">
        <v>655</v>
      </c>
      <c r="B414" s="40"/>
      <c r="C414" s="41"/>
      <c r="D414" s="40"/>
      <c r="E414" s="40" t="s">
        <v>3012</v>
      </c>
      <c r="F414" s="47">
        <f>LEN(G414)</f>
        <v>0</v>
      </c>
      <c r="G414" s="40"/>
      <c r="H414" s="40"/>
      <c r="I414" s="40"/>
      <c r="J414" s="40"/>
      <c r="K414" s="40"/>
      <c r="L414" s="40"/>
      <c r="M414" s="40"/>
      <c r="N414" s="47"/>
      <c r="O414" s="40"/>
      <c r="P414" s="40"/>
      <c r="Q414" s="40"/>
      <c r="R414" s="55"/>
      <c r="S414" s="41"/>
      <c r="T414" s="40"/>
    </row>
    <row r="415" spans="1:20" ht="24">
      <c r="A415" s="40" t="s">
        <v>655</v>
      </c>
      <c r="B415" s="40"/>
      <c r="C415" s="41"/>
      <c r="D415" s="40"/>
      <c r="E415" s="40" t="s">
        <v>3012</v>
      </c>
      <c r="F415" s="47">
        <f>LEN(G415)</f>
        <v>0</v>
      </c>
      <c r="G415" s="40"/>
      <c r="H415" s="40"/>
      <c r="I415" s="40"/>
      <c r="J415" s="40"/>
      <c r="K415" s="40"/>
      <c r="L415" s="40"/>
      <c r="M415" s="40"/>
      <c r="N415" s="47"/>
      <c r="O415" s="40"/>
      <c r="P415" s="40"/>
      <c r="Q415" s="40"/>
      <c r="R415" s="55"/>
      <c r="S415" s="41"/>
      <c r="T415" s="40"/>
    </row>
    <row r="416" spans="1:20" ht="24">
      <c r="A416" s="40" t="s">
        <v>655</v>
      </c>
      <c r="B416" s="40"/>
      <c r="C416" s="41"/>
      <c r="D416" s="40"/>
      <c r="E416" s="40" t="s">
        <v>3012</v>
      </c>
      <c r="F416" s="47">
        <f>LEN(G416)</f>
        <v>0</v>
      </c>
      <c r="G416" s="40"/>
      <c r="H416" s="40"/>
      <c r="I416" s="40"/>
      <c r="J416" s="40"/>
      <c r="K416" s="40"/>
      <c r="L416" s="40"/>
      <c r="M416" s="40"/>
      <c r="N416" s="47"/>
      <c r="O416" s="40"/>
      <c r="P416" s="40"/>
      <c r="Q416" s="40"/>
      <c r="R416" s="55"/>
      <c r="S416" s="41"/>
      <c r="T416" s="40"/>
    </row>
    <row r="417" spans="1:20" ht="24">
      <c r="A417" s="40" t="s">
        <v>655</v>
      </c>
      <c r="B417" s="40"/>
      <c r="C417" s="41"/>
      <c r="D417" s="40"/>
      <c r="E417" s="40" t="s">
        <v>3012</v>
      </c>
      <c r="F417" s="47">
        <f>LEN(G417)</f>
        <v>0</v>
      </c>
      <c r="G417" s="40"/>
      <c r="H417" s="40"/>
      <c r="I417" s="40"/>
      <c r="J417" s="40"/>
      <c r="K417" s="40"/>
      <c r="L417" s="40"/>
      <c r="M417" s="40"/>
      <c r="N417" s="47"/>
      <c r="O417" s="40"/>
      <c r="P417" s="40"/>
      <c r="Q417" s="40"/>
      <c r="R417" s="55"/>
      <c r="S417" s="41"/>
      <c r="T417" s="40"/>
    </row>
    <row r="418" spans="1:20" ht="24">
      <c r="A418" s="40" t="s">
        <v>655</v>
      </c>
      <c r="B418" s="40"/>
      <c r="C418" s="41"/>
      <c r="D418" s="40"/>
      <c r="E418" s="40" t="s">
        <v>3012</v>
      </c>
      <c r="F418" s="47">
        <f>LEN(G418)</f>
        <v>0</v>
      </c>
      <c r="G418" s="40"/>
      <c r="H418" s="40"/>
      <c r="I418" s="40"/>
      <c r="J418" s="40"/>
      <c r="K418" s="40"/>
      <c r="L418" s="40"/>
      <c r="M418" s="40"/>
      <c r="N418" s="47"/>
      <c r="O418" s="40"/>
      <c r="P418" s="40"/>
      <c r="Q418" s="40"/>
      <c r="R418" s="55"/>
      <c r="S418" s="41"/>
      <c r="T418" s="40"/>
    </row>
    <row r="419" spans="1:20" ht="24">
      <c r="A419" s="40" t="s">
        <v>655</v>
      </c>
      <c r="B419" s="40"/>
      <c r="C419" s="41"/>
      <c r="D419" s="40"/>
      <c r="E419" s="40" t="s">
        <v>3012</v>
      </c>
      <c r="F419" s="47">
        <f>LEN(G419)</f>
        <v>0</v>
      </c>
      <c r="G419" s="40"/>
      <c r="H419" s="40"/>
      <c r="I419" s="40"/>
      <c r="J419" s="40"/>
      <c r="K419" s="40"/>
      <c r="L419" s="40"/>
      <c r="M419" s="40"/>
      <c r="N419" s="47"/>
      <c r="O419" s="40"/>
      <c r="P419" s="40"/>
      <c r="Q419" s="40"/>
      <c r="R419" s="55"/>
      <c r="S419" s="41"/>
      <c r="T419" s="40"/>
    </row>
    <row r="420" spans="1:20" ht="24">
      <c r="A420" s="40" t="s">
        <v>655</v>
      </c>
      <c r="B420" s="40"/>
      <c r="C420" s="41"/>
      <c r="D420" s="40"/>
      <c r="E420" s="40" t="s">
        <v>3012</v>
      </c>
      <c r="F420" s="47">
        <f>LEN(G420)</f>
        <v>0</v>
      </c>
      <c r="G420" s="40"/>
      <c r="H420" s="40"/>
      <c r="I420" s="40"/>
      <c r="J420" s="40"/>
      <c r="K420" s="40"/>
      <c r="L420" s="40"/>
      <c r="M420" s="40"/>
      <c r="N420" s="47"/>
      <c r="O420" s="40"/>
      <c r="P420" s="40"/>
      <c r="Q420" s="40"/>
      <c r="R420" s="55"/>
      <c r="S420" s="41"/>
      <c r="T420" s="40"/>
    </row>
    <row r="421" spans="1:20" ht="24">
      <c r="A421" s="40" t="s">
        <v>655</v>
      </c>
      <c r="B421" s="40"/>
      <c r="C421" s="41"/>
      <c r="D421" s="40"/>
      <c r="E421" s="40" t="s">
        <v>3012</v>
      </c>
      <c r="F421" s="47">
        <f>LEN(G421)</f>
        <v>0</v>
      </c>
      <c r="G421" s="40"/>
      <c r="H421" s="40"/>
      <c r="I421" s="40"/>
      <c r="J421" s="40"/>
      <c r="K421" s="40"/>
      <c r="L421" s="40"/>
      <c r="M421" s="40"/>
      <c r="N421" s="47"/>
      <c r="O421" s="40"/>
      <c r="P421" s="40"/>
      <c r="Q421" s="40"/>
      <c r="R421" s="55"/>
      <c r="S421" s="41"/>
      <c r="T421" s="40"/>
    </row>
    <row r="422" spans="1:20" ht="24">
      <c r="A422" s="40" t="s">
        <v>655</v>
      </c>
      <c r="B422" s="40"/>
      <c r="C422" s="41"/>
      <c r="D422" s="40"/>
      <c r="E422" s="40" t="s">
        <v>3012</v>
      </c>
      <c r="F422" s="47">
        <f>LEN(G422)</f>
        <v>0</v>
      </c>
      <c r="G422" s="40"/>
      <c r="H422" s="40"/>
      <c r="I422" s="40"/>
      <c r="J422" s="40"/>
      <c r="K422" s="40"/>
      <c r="L422" s="40"/>
      <c r="M422" s="40"/>
      <c r="N422" s="47"/>
      <c r="O422" s="40"/>
      <c r="P422" s="40"/>
      <c r="Q422" s="40"/>
      <c r="R422" s="55"/>
      <c r="S422" s="41"/>
      <c r="T422" s="40"/>
    </row>
    <row r="423" spans="1:20" ht="24">
      <c r="A423" s="40" t="s">
        <v>655</v>
      </c>
      <c r="B423" s="40"/>
      <c r="C423" s="41"/>
      <c r="D423" s="40"/>
      <c r="E423" s="40" t="s">
        <v>3012</v>
      </c>
      <c r="F423" s="47">
        <f>LEN(G423)</f>
        <v>0</v>
      </c>
      <c r="G423" s="40"/>
      <c r="H423" s="40"/>
      <c r="I423" s="40"/>
      <c r="J423" s="40"/>
      <c r="K423" s="40"/>
      <c r="L423" s="40"/>
      <c r="M423" s="40"/>
      <c r="N423" s="47"/>
      <c r="O423" s="40"/>
      <c r="P423" s="40"/>
      <c r="Q423" s="40"/>
      <c r="R423" s="55"/>
      <c r="S423" s="41"/>
      <c r="T423" s="40"/>
    </row>
    <row r="424" spans="1:20" ht="24">
      <c r="A424" s="40" t="s">
        <v>655</v>
      </c>
      <c r="B424" s="40"/>
      <c r="C424" s="41"/>
      <c r="D424" s="40"/>
      <c r="E424" s="40" t="s">
        <v>3012</v>
      </c>
      <c r="F424" s="47">
        <f>LEN(G424)</f>
        <v>0</v>
      </c>
      <c r="G424" s="40"/>
      <c r="H424" s="40"/>
      <c r="I424" s="40"/>
      <c r="J424" s="40"/>
      <c r="K424" s="40"/>
      <c r="L424" s="40"/>
      <c r="M424" s="40"/>
      <c r="N424" s="47"/>
      <c r="O424" s="40"/>
      <c r="P424" s="40"/>
      <c r="Q424" s="40"/>
      <c r="R424" s="55"/>
      <c r="S424" s="41"/>
      <c r="T424" s="40"/>
    </row>
    <row r="425" spans="1:20" ht="24">
      <c r="A425" s="40" t="s">
        <v>655</v>
      </c>
      <c r="B425" s="40"/>
      <c r="C425" s="41"/>
      <c r="D425" s="40"/>
      <c r="E425" s="40" t="s">
        <v>3012</v>
      </c>
      <c r="F425" s="47">
        <f>LEN(G425)</f>
        <v>0</v>
      </c>
      <c r="G425" s="40"/>
      <c r="H425" s="40"/>
      <c r="I425" s="40"/>
      <c r="J425" s="40"/>
      <c r="K425" s="40"/>
      <c r="L425" s="40"/>
      <c r="M425" s="40"/>
      <c r="N425" s="47"/>
      <c r="O425" s="40"/>
      <c r="P425" s="40"/>
      <c r="Q425" s="40"/>
      <c r="R425" s="55"/>
      <c r="S425" s="41"/>
      <c r="T425" s="40"/>
    </row>
    <row r="426" spans="1:20" ht="24">
      <c r="A426" s="40" t="s">
        <v>655</v>
      </c>
      <c r="B426" s="40"/>
      <c r="C426" s="41"/>
      <c r="D426" s="40"/>
      <c r="E426" s="40" t="s">
        <v>3012</v>
      </c>
      <c r="F426" s="47">
        <f>LEN(G426)</f>
        <v>0</v>
      </c>
      <c r="G426" s="40"/>
      <c r="H426" s="40"/>
      <c r="I426" s="40"/>
      <c r="J426" s="40"/>
      <c r="K426" s="40"/>
      <c r="L426" s="40"/>
      <c r="M426" s="40"/>
      <c r="N426" s="47"/>
      <c r="O426" s="40"/>
      <c r="P426" s="40"/>
      <c r="Q426" s="40"/>
      <c r="R426" s="55"/>
      <c r="S426" s="41"/>
      <c r="T426" s="40"/>
    </row>
    <row r="427" spans="1:20" ht="24">
      <c r="A427" s="40" t="s">
        <v>655</v>
      </c>
      <c r="B427" s="40"/>
      <c r="C427" s="41"/>
      <c r="D427" s="40"/>
      <c r="E427" s="40" t="s">
        <v>3012</v>
      </c>
      <c r="F427" s="47">
        <f>LEN(G427)</f>
        <v>0</v>
      </c>
      <c r="G427" s="40"/>
      <c r="H427" s="40"/>
      <c r="I427" s="40"/>
      <c r="J427" s="40"/>
      <c r="K427" s="40"/>
      <c r="L427" s="40"/>
      <c r="M427" s="40"/>
      <c r="N427" s="47"/>
      <c r="O427" s="40"/>
      <c r="P427" s="40"/>
      <c r="Q427" s="40"/>
      <c r="R427" s="55"/>
      <c r="S427" s="41"/>
      <c r="T427" s="40"/>
    </row>
    <row r="428" spans="1:20" ht="24">
      <c r="A428" s="40" t="s">
        <v>655</v>
      </c>
      <c r="B428" s="40"/>
      <c r="C428" s="41"/>
      <c r="D428" s="40"/>
      <c r="E428" s="40" t="s">
        <v>3012</v>
      </c>
      <c r="F428" s="47">
        <f>LEN(G428)</f>
        <v>0</v>
      </c>
      <c r="G428" s="40"/>
      <c r="H428" s="40"/>
      <c r="I428" s="40"/>
      <c r="J428" s="40"/>
      <c r="K428" s="40"/>
      <c r="L428" s="40"/>
      <c r="M428" s="40"/>
      <c r="N428" s="47"/>
      <c r="O428" s="40"/>
      <c r="P428" s="40"/>
      <c r="Q428" s="40"/>
      <c r="R428" s="55"/>
      <c r="S428" s="41"/>
      <c r="T428" s="40"/>
    </row>
    <row r="429" spans="1:20" ht="24">
      <c r="A429" s="40" t="s">
        <v>655</v>
      </c>
      <c r="B429" s="40"/>
      <c r="C429" s="41"/>
      <c r="D429" s="40"/>
      <c r="E429" s="40" t="s">
        <v>3012</v>
      </c>
      <c r="F429" s="47">
        <f>LEN(G429)</f>
        <v>0</v>
      </c>
      <c r="G429" s="40"/>
      <c r="H429" s="40"/>
      <c r="I429" s="40"/>
      <c r="J429" s="40"/>
      <c r="K429" s="40"/>
      <c r="L429" s="40"/>
      <c r="M429" s="40"/>
      <c r="N429" s="47"/>
      <c r="O429" s="40"/>
      <c r="P429" s="40"/>
      <c r="Q429" s="40"/>
      <c r="R429" s="55"/>
      <c r="S429" s="41"/>
      <c r="T429" s="40"/>
    </row>
    <row r="430" spans="1:20" ht="24">
      <c r="A430" s="40" t="s">
        <v>655</v>
      </c>
      <c r="B430" s="40"/>
      <c r="C430" s="41"/>
      <c r="D430" s="40"/>
      <c r="E430" s="40" t="s">
        <v>3012</v>
      </c>
      <c r="F430" s="47">
        <f>LEN(G430)</f>
        <v>0</v>
      </c>
      <c r="G430" s="40"/>
      <c r="H430" s="40"/>
      <c r="I430" s="40"/>
      <c r="J430" s="40"/>
      <c r="K430" s="40"/>
      <c r="L430" s="40"/>
      <c r="M430" s="40"/>
      <c r="N430" s="47"/>
      <c r="O430" s="40"/>
      <c r="P430" s="40"/>
      <c r="Q430" s="40"/>
      <c r="R430" s="55"/>
      <c r="S430" s="41"/>
      <c r="T430" s="40"/>
    </row>
    <row r="431" spans="1:20" ht="24">
      <c r="A431" s="40" t="s">
        <v>655</v>
      </c>
      <c r="B431" s="40"/>
      <c r="C431" s="41"/>
      <c r="D431" s="40"/>
      <c r="E431" s="40" t="s">
        <v>3012</v>
      </c>
      <c r="F431" s="47">
        <f>LEN(G431)</f>
        <v>0</v>
      </c>
      <c r="G431" s="40"/>
      <c r="H431" s="40"/>
      <c r="I431" s="40"/>
      <c r="J431" s="40"/>
      <c r="K431" s="40"/>
      <c r="L431" s="40"/>
      <c r="M431" s="40"/>
      <c r="N431" s="47"/>
      <c r="O431" s="40"/>
      <c r="P431" s="40"/>
      <c r="Q431" s="40"/>
      <c r="R431" s="55"/>
      <c r="S431" s="41"/>
      <c r="T431" s="40"/>
    </row>
    <row r="432" spans="1:20" ht="24">
      <c r="A432" s="40" t="s">
        <v>655</v>
      </c>
      <c r="B432" s="40"/>
      <c r="C432" s="41"/>
      <c r="D432" s="40"/>
      <c r="E432" s="40" t="s">
        <v>3012</v>
      </c>
      <c r="F432" s="47">
        <f>LEN(G432)</f>
        <v>0</v>
      </c>
      <c r="G432" s="40"/>
      <c r="H432" s="40"/>
      <c r="I432" s="40"/>
      <c r="J432" s="40"/>
      <c r="K432" s="40"/>
      <c r="L432" s="40"/>
      <c r="M432" s="40"/>
      <c r="N432" s="47"/>
      <c r="O432" s="40"/>
      <c r="P432" s="40"/>
      <c r="Q432" s="40"/>
      <c r="R432" s="55"/>
      <c r="S432" s="41"/>
      <c r="T432" s="40"/>
    </row>
    <row r="433" spans="1:20" ht="24">
      <c r="A433" s="40" t="s">
        <v>655</v>
      </c>
      <c r="B433" s="40"/>
      <c r="C433" s="41"/>
      <c r="D433" s="40"/>
      <c r="E433" s="40" t="s">
        <v>3012</v>
      </c>
      <c r="F433" s="47">
        <f>LEN(G433)</f>
        <v>0</v>
      </c>
      <c r="G433" s="40"/>
      <c r="H433" s="40"/>
      <c r="I433" s="40"/>
      <c r="J433" s="40"/>
      <c r="K433" s="40"/>
      <c r="L433" s="40"/>
      <c r="M433" s="40"/>
      <c r="N433" s="47"/>
      <c r="O433" s="40"/>
      <c r="P433" s="40"/>
      <c r="Q433" s="40"/>
      <c r="R433" s="55"/>
      <c r="S433" s="41"/>
      <c r="T433" s="40"/>
    </row>
    <row r="434" spans="1:20" ht="24">
      <c r="A434" s="40" t="s">
        <v>655</v>
      </c>
      <c r="B434" s="40"/>
      <c r="C434" s="41"/>
      <c r="D434" s="40"/>
      <c r="E434" s="40" t="s">
        <v>3012</v>
      </c>
      <c r="F434" s="47">
        <f>LEN(G434)</f>
        <v>0</v>
      </c>
      <c r="G434" s="40"/>
      <c r="H434" s="40"/>
      <c r="I434" s="40"/>
      <c r="J434" s="40"/>
      <c r="K434" s="40"/>
      <c r="L434" s="40"/>
      <c r="M434" s="40"/>
      <c r="N434" s="47"/>
      <c r="O434" s="40"/>
      <c r="P434" s="40"/>
      <c r="Q434" s="40"/>
      <c r="R434" s="55"/>
      <c r="S434" s="41"/>
      <c r="T434" s="40"/>
    </row>
    <row r="435" spans="1:20" ht="24">
      <c r="A435" s="40" t="s">
        <v>655</v>
      </c>
      <c r="B435" s="40"/>
      <c r="C435" s="41"/>
      <c r="D435" s="40"/>
      <c r="E435" s="40" t="s">
        <v>3012</v>
      </c>
      <c r="F435" s="47">
        <f>LEN(G435)</f>
        <v>0</v>
      </c>
      <c r="G435" s="40"/>
      <c r="H435" s="40"/>
      <c r="I435" s="40"/>
      <c r="J435" s="40"/>
      <c r="K435" s="40"/>
      <c r="L435" s="40"/>
      <c r="M435" s="40"/>
      <c r="N435" s="47"/>
      <c r="O435" s="40"/>
      <c r="P435" s="40"/>
      <c r="Q435" s="40"/>
      <c r="R435" s="55"/>
      <c r="S435" s="41"/>
      <c r="T435" s="40"/>
    </row>
    <row r="436" spans="1:20" ht="24">
      <c r="A436" s="40" t="s">
        <v>655</v>
      </c>
      <c r="B436" s="40"/>
      <c r="C436" s="41"/>
      <c r="D436" s="40"/>
      <c r="E436" s="40" t="s">
        <v>3012</v>
      </c>
      <c r="F436" s="47">
        <f>LEN(G436)</f>
        <v>0</v>
      </c>
      <c r="G436" s="40"/>
      <c r="H436" s="40"/>
      <c r="I436" s="40"/>
      <c r="J436" s="40"/>
      <c r="K436" s="40"/>
      <c r="L436" s="40"/>
      <c r="M436" s="40"/>
      <c r="N436" s="47"/>
      <c r="O436" s="40"/>
      <c r="P436" s="40"/>
      <c r="Q436" s="40"/>
      <c r="R436" s="55"/>
      <c r="S436" s="41"/>
      <c r="T436" s="40"/>
    </row>
    <row r="437" spans="1:20" ht="24">
      <c r="A437" s="40" t="s">
        <v>655</v>
      </c>
      <c r="B437" s="40"/>
      <c r="C437" s="41"/>
      <c r="D437" s="40"/>
      <c r="E437" s="40" t="s">
        <v>3012</v>
      </c>
      <c r="F437" s="47">
        <f>LEN(G437)</f>
        <v>0</v>
      </c>
      <c r="G437" s="40"/>
      <c r="H437" s="40"/>
      <c r="I437" s="40"/>
      <c r="J437" s="40"/>
      <c r="K437" s="40"/>
      <c r="L437" s="40"/>
      <c r="M437" s="40"/>
      <c r="N437" s="47"/>
      <c r="O437" s="40"/>
      <c r="P437" s="40"/>
      <c r="Q437" s="40"/>
      <c r="R437" s="55"/>
      <c r="S437" s="41"/>
      <c r="T437" s="40"/>
    </row>
    <row r="438" spans="1:20" ht="24">
      <c r="A438" s="40" t="s">
        <v>655</v>
      </c>
      <c r="B438" s="40"/>
      <c r="C438" s="41"/>
      <c r="D438" s="40"/>
      <c r="E438" s="40" t="s">
        <v>3012</v>
      </c>
      <c r="F438" s="47">
        <f>LEN(G438)</f>
        <v>0</v>
      </c>
      <c r="G438" s="40"/>
      <c r="H438" s="40"/>
      <c r="I438" s="40"/>
      <c r="J438" s="40"/>
      <c r="K438" s="40"/>
      <c r="L438" s="40"/>
      <c r="M438" s="40"/>
      <c r="N438" s="47"/>
      <c r="O438" s="40"/>
      <c r="P438" s="40"/>
      <c r="Q438" s="40"/>
      <c r="R438" s="55"/>
      <c r="S438" s="41"/>
      <c r="T438" s="40"/>
    </row>
    <row r="439" spans="1:20" ht="24">
      <c r="A439" s="40" t="s">
        <v>655</v>
      </c>
      <c r="B439" s="40"/>
      <c r="C439" s="41"/>
      <c r="D439" s="40"/>
      <c r="E439" s="40" t="s">
        <v>3012</v>
      </c>
      <c r="F439" s="47">
        <f>LEN(G439)</f>
        <v>0</v>
      </c>
      <c r="G439" s="40"/>
      <c r="H439" s="40"/>
      <c r="I439" s="40"/>
      <c r="J439" s="40"/>
      <c r="K439" s="40"/>
      <c r="L439" s="40"/>
      <c r="M439" s="40"/>
      <c r="N439" s="47"/>
      <c r="O439" s="40"/>
      <c r="P439" s="40"/>
      <c r="Q439" s="40"/>
      <c r="R439" s="55"/>
      <c r="S439" s="41"/>
      <c r="T439" s="40"/>
    </row>
    <row r="440" spans="1:20" ht="24">
      <c r="A440" s="40" t="s">
        <v>655</v>
      </c>
      <c r="B440" s="40"/>
      <c r="C440" s="41"/>
      <c r="D440" s="40"/>
      <c r="E440" s="40" t="s">
        <v>3012</v>
      </c>
      <c r="F440" s="47">
        <f>LEN(G440)</f>
        <v>0</v>
      </c>
      <c r="G440" s="40"/>
      <c r="H440" s="40"/>
      <c r="I440" s="40"/>
      <c r="J440" s="40"/>
      <c r="K440" s="40"/>
      <c r="L440" s="40"/>
      <c r="M440" s="40"/>
      <c r="N440" s="47"/>
      <c r="O440" s="40"/>
      <c r="P440" s="40"/>
      <c r="Q440" s="40"/>
      <c r="R440" s="55"/>
      <c r="S440" s="41"/>
      <c r="T440" s="40"/>
    </row>
    <row r="441" spans="1:20" ht="24">
      <c r="A441" s="40" t="s">
        <v>655</v>
      </c>
      <c r="B441" s="40"/>
      <c r="C441" s="41"/>
      <c r="D441" s="40"/>
      <c r="E441" s="40" t="s">
        <v>3012</v>
      </c>
      <c r="F441" s="47">
        <f>LEN(G441)</f>
        <v>0</v>
      </c>
      <c r="G441" s="40"/>
      <c r="H441" s="40"/>
      <c r="I441" s="40"/>
      <c r="J441" s="40"/>
      <c r="K441" s="40"/>
      <c r="L441" s="40"/>
      <c r="M441" s="40"/>
      <c r="N441" s="47"/>
      <c r="O441" s="40"/>
      <c r="P441" s="40"/>
      <c r="Q441" s="40"/>
      <c r="R441" s="55"/>
      <c r="S441" s="41"/>
      <c r="T441" s="40"/>
    </row>
    <row r="442" spans="1:20" ht="24">
      <c r="A442" s="40" t="s">
        <v>655</v>
      </c>
      <c r="B442" s="40"/>
      <c r="C442" s="41"/>
      <c r="D442" s="40"/>
      <c r="E442" s="40" t="s">
        <v>3012</v>
      </c>
      <c r="F442" s="47">
        <f>LEN(G442)</f>
        <v>0</v>
      </c>
      <c r="G442" s="40"/>
      <c r="H442" s="40"/>
      <c r="I442" s="40"/>
      <c r="J442" s="40"/>
      <c r="K442" s="40"/>
      <c r="L442" s="40"/>
      <c r="M442" s="40"/>
      <c r="N442" s="47"/>
      <c r="O442" s="40"/>
      <c r="P442" s="40"/>
      <c r="Q442" s="40"/>
      <c r="R442" s="55"/>
      <c r="S442" s="41"/>
      <c r="T442" s="40"/>
    </row>
    <row r="443" spans="1:20" ht="24">
      <c r="A443" s="40" t="s">
        <v>655</v>
      </c>
      <c r="B443" s="40"/>
      <c r="C443" s="41"/>
      <c r="D443" s="40"/>
      <c r="E443" s="40" t="s">
        <v>3012</v>
      </c>
      <c r="F443" s="47">
        <f>LEN(G443)</f>
        <v>0</v>
      </c>
      <c r="G443" s="40"/>
      <c r="H443" s="40"/>
      <c r="I443" s="40"/>
      <c r="J443" s="40"/>
      <c r="K443" s="40"/>
      <c r="L443" s="40"/>
      <c r="M443" s="40"/>
      <c r="N443" s="47"/>
      <c r="O443" s="40"/>
      <c r="P443" s="40"/>
      <c r="Q443" s="40"/>
      <c r="R443" s="55"/>
      <c r="S443" s="41"/>
      <c r="T443" s="40"/>
    </row>
    <row r="444" spans="1:20" ht="24">
      <c r="A444" s="40" t="s">
        <v>655</v>
      </c>
      <c r="B444" s="40"/>
      <c r="C444" s="41"/>
      <c r="D444" s="40"/>
      <c r="E444" s="40" t="s">
        <v>3012</v>
      </c>
      <c r="F444" s="47">
        <f>LEN(G444)</f>
        <v>0</v>
      </c>
      <c r="G444" s="40"/>
      <c r="H444" s="40"/>
      <c r="I444" s="40"/>
      <c r="J444" s="40"/>
      <c r="K444" s="40"/>
      <c r="L444" s="40"/>
      <c r="M444" s="40"/>
      <c r="N444" s="47"/>
      <c r="O444" s="40"/>
      <c r="P444" s="40"/>
      <c r="Q444" s="40"/>
      <c r="R444" s="55"/>
      <c r="S444" s="41"/>
      <c r="T444" s="40"/>
    </row>
    <row r="445" spans="1:20" ht="24">
      <c r="A445" s="40" t="s">
        <v>655</v>
      </c>
      <c r="B445" s="40"/>
      <c r="C445" s="41"/>
      <c r="D445" s="40"/>
      <c r="E445" s="40" t="s">
        <v>3012</v>
      </c>
      <c r="F445" s="47">
        <f>LEN(G445)</f>
        <v>0</v>
      </c>
      <c r="G445" s="40"/>
      <c r="H445" s="40"/>
      <c r="I445" s="40"/>
      <c r="J445" s="40"/>
      <c r="K445" s="40"/>
      <c r="L445" s="40"/>
      <c r="M445" s="40"/>
      <c r="N445" s="47"/>
      <c r="O445" s="40"/>
      <c r="P445" s="40"/>
      <c r="Q445" s="40"/>
      <c r="R445" s="55"/>
      <c r="S445" s="41"/>
      <c r="T445" s="40"/>
    </row>
    <row r="446" spans="1:20" ht="24">
      <c r="A446" s="40" t="s">
        <v>655</v>
      </c>
      <c r="B446" s="40"/>
      <c r="C446" s="41"/>
      <c r="D446" s="40"/>
      <c r="E446" s="40" t="s">
        <v>3012</v>
      </c>
      <c r="F446" s="47">
        <f>LEN(G446)</f>
        <v>0</v>
      </c>
      <c r="G446" s="40"/>
      <c r="H446" s="40"/>
      <c r="I446" s="40"/>
      <c r="J446" s="40"/>
      <c r="K446" s="40"/>
      <c r="L446" s="40"/>
      <c r="M446" s="40"/>
      <c r="N446" s="47"/>
      <c r="O446" s="40"/>
      <c r="P446" s="40"/>
      <c r="Q446" s="40"/>
      <c r="R446" s="55"/>
      <c r="S446" s="41"/>
      <c r="T446" s="40"/>
    </row>
    <row r="447" spans="1:20" ht="24">
      <c r="A447" s="40" t="s">
        <v>655</v>
      </c>
      <c r="B447" s="40"/>
      <c r="C447" s="41"/>
      <c r="D447" s="40"/>
      <c r="E447" s="40" t="s">
        <v>3012</v>
      </c>
      <c r="F447" s="47">
        <f>LEN(G447)</f>
        <v>0</v>
      </c>
      <c r="G447" s="40"/>
      <c r="H447" s="40"/>
      <c r="I447" s="40"/>
      <c r="J447" s="40"/>
      <c r="K447" s="40"/>
      <c r="L447" s="40"/>
      <c r="M447" s="40"/>
      <c r="N447" s="47"/>
      <c r="O447" s="40"/>
      <c r="P447" s="40"/>
      <c r="Q447" s="40"/>
      <c r="R447" s="55"/>
      <c r="S447" s="41"/>
      <c r="T447" s="40"/>
    </row>
    <row r="448" spans="1:20" ht="24">
      <c r="A448" s="40" t="s">
        <v>655</v>
      </c>
      <c r="B448" s="40"/>
      <c r="C448" s="41"/>
      <c r="D448" s="40"/>
      <c r="E448" s="40" t="s">
        <v>3012</v>
      </c>
      <c r="F448" s="47">
        <f>LEN(G448)</f>
        <v>0</v>
      </c>
      <c r="G448" s="40"/>
      <c r="H448" s="40"/>
      <c r="I448" s="40"/>
      <c r="J448" s="40"/>
      <c r="K448" s="40"/>
      <c r="L448" s="40"/>
      <c r="M448" s="40"/>
      <c r="N448" s="47"/>
      <c r="O448" s="40"/>
      <c r="P448" s="40"/>
      <c r="Q448" s="40"/>
      <c r="R448" s="55"/>
      <c r="S448" s="41"/>
      <c r="T448" s="40"/>
    </row>
    <row r="449" spans="1:20" ht="24">
      <c r="A449" s="40" t="s">
        <v>655</v>
      </c>
      <c r="B449" s="40"/>
      <c r="C449" s="41"/>
      <c r="D449" s="40"/>
      <c r="E449" s="40" t="s">
        <v>3012</v>
      </c>
      <c r="F449" s="47">
        <f>LEN(G449)</f>
        <v>0</v>
      </c>
      <c r="G449" s="40"/>
      <c r="H449" s="40"/>
      <c r="I449" s="40"/>
      <c r="J449" s="40"/>
      <c r="K449" s="40"/>
      <c r="L449" s="40"/>
      <c r="M449" s="40"/>
      <c r="N449" s="47"/>
      <c r="O449" s="40"/>
      <c r="P449" s="40"/>
      <c r="Q449" s="40"/>
      <c r="R449" s="55"/>
      <c r="S449" s="41"/>
      <c r="T449" s="40"/>
    </row>
    <row r="450" spans="1:20" ht="24">
      <c r="A450" s="40" t="s">
        <v>655</v>
      </c>
      <c r="B450" s="40"/>
      <c r="C450" s="41"/>
      <c r="D450" s="40"/>
      <c r="E450" s="40" t="s">
        <v>3012</v>
      </c>
      <c r="F450" s="47">
        <f>LEN(G450)</f>
        <v>0</v>
      </c>
      <c r="G450" s="40"/>
      <c r="H450" s="40"/>
      <c r="I450" s="40"/>
      <c r="J450" s="40"/>
      <c r="K450" s="40"/>
      <c r="L450" s="40"/>
      <c r="M450" s="40"/>
      <c r="N450" s="47"/>
      <c r="O450" s="40"/>
      <c r="P450" s="40"/>
      <c r="Q450" s="40"/>
      <c r="R450" s="55"/>
      <c r="S450" s="41"/>
      <c r="T450" s="40"/>
    </row>
    <row r="451" spans="1:20" ht="24">
      <c r="A451" s="40" t="s">
        <v>655</v>
      </c>
      <c r="B451" s="40"/>
      <c r="C451" s="41"/>
      <c r="D451" s="40"/>
      <c r="E451" s="40" t="s">
        <v>3012</v>
      </c>
      <c r="F451" s="47">
        <f>LEN(G451)</f>
        <v>0</v>
      </c>
      <c r="G451" s="40"/>
      <c r="H451" s="40"/>
      <c r="I451" s="40"/>
      <c r="J451" s="40"/>
      <c r="K451" s="40"/>
      <c r="L451" s="40"/>
      <c r="M451" s="40"/>
      <c r="N451" s="47"/>
      <c r="O451" s="40"/>
      <c r="P451" s="40"/>
      <c r="Q451" s="40"/>
      <c r="R451" s="55"/>
      <c r="S451" s="41"/>
      <c r="T451" s="40"/>
    </row>
    <row r="452" spans="1:20" ht="24">
      <c r="A452" s="40" t="s">
        <v>655</v>
      </c>
      <c r="B452" s="40"/>
      <c r="C452" s="41"/>
      <c r="D452" s="40"/>
      <c r="E452" s="40" t="s">
        <v>3012</v>
      </c>
      <c r="F452" s="47">
        <f>LEN(G452)</f>
        <v>0</v>
      </c>
      <c r="G452" s="40"/>
      <c r="H452" s="40"/>
      <c r="I452" s="40"/>
      <c r="J452" s="40"/>
      <c r="K452" s="40"/>
      <c r="L452" s="40"/>
      <c r="M452" s="40"/>
      <c r="N452" s="47"/>
      <c r="O452" s="40"/>
      <c r="P452" s="40"/>
      <c r="Q452" s="40"/>
      <c r="R452" s="55"/>
      <c r="S452" s="41"/>
      <c r="T452" s="40"/>
    </row>
    <row r="453" spans="1:20" ht="24">
      <c r="A453" s="40" t="s">
        <v>655</v>
      </c>
      <c r="B453" s="40"/>
      <c r="C453" s="41"/>
      <c r="D453" s="40"/>
      <c r="E453" s="40" t="s">
        <v>3012</v>
      </c>
      <c r="F453" s="47">
        <f>LEN(G453)</f>
        <v>0</v>
      </c>
      <c r="G453" s="40"/>
      <c r="H453" s="40"/>
      <c r="I453" s="40"/>
      <c r="J453" s="40"/>
      <c r="K453" s="40"/>
      <c r="L453" s="40"/>
      <c r="M453" s="40"/>
      <c r="N453" s="47"/>
      <c r="O453" s="40"/>
      <c r="P453" s="40"/>
      <c r="Q453" s="40"/>
      <c r="R453" s="55"/>
      <c r="S453" s="41"/>
      <c r="T453" s="40"/>
    </row>
    <row r="454" spans="1:20" ht="24">
      <c r="A454" s="40" t="s">
        <v>655</v>
      </c>
      <c r="B454" s="40"/>
      <c r="C454" s="41"/>
      <c r="D454" s="40"/>
      <c r="E454" s="40" t="s">
        <v>3012</v>
      </c>
      <c r="F454" s="47">
        <f>LEN(G454)</f>
        <v>0</v>
      </c>
      <c r="G454" s="40"/>
      <c r="H454" s="40"/>
      <c r="I454" s="40"/>
      <c r="J454" s="40"/>
      <c r="K454" s="40"/>
      <c r="L454" s="40"/>
      <c r="M454" s="40"/>
      <c r="N454" s="47"/>
      <c r="O454" s="40"/>
      <c r="P454" s="40"/>
      <c r="Q454" s="40"/>
      <c r="R454" s="55"/>
      <c r="S454" s="41"/>
      <c r="T454" s="40"/>
    </row>
    <row r="455" spans="1:20" ht="24">
      <c r="A455" s="40" t="s">
        <v>655</v>
      </c>
      <c r="B455" s="40"/>
      <c r="C455" s="41"/>
      <c r="D455" s="40"/>
      <c r="E455" s="40" t="s">
        <v>3012</v>
      </c>
      <c r="F455" s="47">
        <f>LEN(G455)</f>
        <v>0</v>
      </c>
      <c r="G455" s="40"/>
      <c r="H455" s="40"/>
      <c r="I455" s="40"/>
      <c r="J455" s="40"/>
      <c r="K455" s="40"/>
      <c r="L455" s="40"/>
      <c r="M455" s="40"/>
      <c r="N455" s="47"/>
      <c r="O455" s="40"/>
      <c r="P455" s="40"/>
      <c r="Q455" s="40"/>
      <c r="R455" s="55"/>
      <c r="S455" s="41"/>
      <c r="T455" s="40"/>
    </row>
    <row r="456" spans="1:20" ht="24">
      <c r="A456" s="40" t="s">
        <v>655</v>
      </c>
      <c r="B456" s="40"/>
      <c r="C456" s="41"/>
      <c r="D456" s="40"/>
      <c r="E456" s="40" t="s">
        <v>3012</v>
      </c>
      <c r="F456" s="47">
        <f>LEN(G456)</f>
        <v>0</v>
      </c>
      <c r="G456" s="40"/>
      <c r="H456" s="40"/>
      <c r="I456" s="40"/>
      <c r="J456" s="40"/>
      <c r="K456" s="40"/>
      <c r="L456" s="40"/>
      <c r="M456" s="40"/>
      <c r="N456" s="47"/>
      <c r="O456" s="40"/>
      <c r="P456" s="40"/>
      <c r="Q456" s="40"/>
      <c r="R456" s="55"/>
      <c r="S456" s="41"/>
      <c r="T456" s="40"/>
    </row>
    <row r="457" spans="1:20" ht="24">
      <c r="A457" s="40" t="s">
        <v>655</v>
      </c>
      <c r="B457" s="40"/>
      <c r="C457" s="41"/>
      <c r="D457" s="40"/>
      <c r="E457" s="40" t="s">
        <v>3012</v>
      </c>
      <c r="F457" s="47">
        <f>LEN(G457)</f>
        <v>0</v>
      </c>
      <c r="G457" s="40"/>
      <c r="H457" s="40"/>
      <c r="I457" s="40"/>
      <c r="J457" s="40"/>
      <c r="K457" s="40"/>
      <c r="L457" s="40"/>
      <c r="M457" s="40"/>
      <c r="N457" s="47"/>
      <c r="O457" s="40"/>
      <c r="P457" s="40"/>
      <c r="Q457" s="40"/>
      <c r="R457" s="55"/>
      <c r="S457" s="41"/>
      <c r="T457" s="40"/>
    </row>
    <row r="458" spans="1:20" ht="24">
      <c r="A458" s="40" t="s">
        <v>655</v>
      </c>
      <c r="B458" s="40"/>
      <c r="C458" s="41"/>
      <c r="D458" s="40"/>
      <c r="E458" s="40" t="s">
        <v>3012</v>
      </c>
      <c r="F458" s="47">
        <f>LEN(G458)</f>
        <v>0</v>
      </c>
      <c r="G458" s="40"/>
      <c r="H458" s="40"/>
      <c r="I458" s="40"/>
      <c r="J458" s="40"/>
      <c r="K458" s="40"/>
      <c r="L458" s="40"/>
      <c r="M458" s="40"/>
      <c r="N458" s="47"/>
      <c r="O458" s="40"/>
      <c r="P458" s="40"/>
      <c r="Q458" s="40"/>
      <c r="R458" s="55"/>
      <c r="S458" s="41"/>
      <c r="T458" s="40"/>
    </row>
    <row r="459" spans="1:20" ht="24">
      <c r="A459" s="40" t="s">
        <v>655</v>
      </c>
      <c r="B459" s="40"/>
      <c r="C459" s="41"/>
      <c r="D459" s="40"/>
      <c r="E459" s="40" t="s">
        <v>3012</v>
      </c>
      <c r="F459" s="47">
        <f>LEN(G459)</f>
        <v>0</v>
      </c>
      <c r="G459" s="40"/>
      <c r="H459" s="40"/>
      <c r="I459" s="40"/>
      <c r="J459" s="40"/>
      <c r="K459" s="40"/>
      <c r="L459" s="40"/>
      <c r="M459" s="40"/>
      <c r="N459" s="47"/>
      <c r="O459" s="40"/>
      <c r="P459" s="40"/>
      <c r="Q459" s="40"/>
      <c r="R459" s="55"/>
      <c r="S459" s="41"/>
      <c r="T459" s="40"/>
    </row>
    <row r="460" spans="1:20" ht="24">
      <c r="A460" s="40" t="s">
        <v>655</v>
      </c>
      <c r="B460" s="40"/>
      <c r="C460" s="41"/>
      <c r="D460" s="40"/>
      <c r="E460" s="40" t="s">
        <v>3012</v>
      </c>
      <c r="F460" s="47">
        <f>LEN(G460)</f>
        <v>0</v>
      </c>
      <c r="G460" s="40"/>
      <c r="H460" s="40"/>
      <c r="I460" s="40"/>
      <c r="J460" s="40"/>
      <c r="K460" s="40"/>
      <c r="L460" s="40"/>
      <c r="M460" s="40"/>
      <c r="N460" s="47"/>
      <c r="O460" s="40"/>
      <c r="P460" s="40"/>
      <c r="Q460" s="40"/>
      <c r="R460" s="55"/>
      <c r="S460" s="41"/>
      <c r="T460" s="40"/>
    </row>
    <row r="461" spans="1:20" ht="24">
      <c r="A461" s="40" t="s">
        <v>655</v>
      </c>
      <c r="B461" s="40"/>
      <c r="C461" s="41"/>
      <c r="D461" s="40"/>
      <c r="E461" s="40" t="s">
        <v>3012</v>
      </c>
      <c r="F461" s="47">
        <f>LEN(G461)</f>
        <v>0</v>
      </c>
      <c r="G461" s="40"/>
      <c r="H461" s="40"/>
      <c r="I461" s="40"/>
      <c r="J461" s="40"/>
      <c r="K461" s="40"/>
      <c r="L461" s="40"/>
      <c r="M461" s="40"/>
      <c r="N461" s="47"/>
      <c r="O461" s="40"/>
      <c r="P461" s="40"/>
      <c r="Q461" s="40"/>
      <c r="R461" s="55"/>
      <c r="S461" s="41"/>
      <c r="T461" s="40"/>
    </row>
    <row r="462" spans="1:20" ht="24">
      <c r="A462" s="40" t="s">
        <v>655</v>
      </c>
      <c r="B462" s="40"/>
      <c r="C462" s="41"/>
      <c r="D462" s="40"/>
      <c r="E462" s="40" t="s">
        <v>3012</v>
      </c>
      <c r="F462" s="47">
        <f>LEN(G462)</f>
        <v>0</v>
      </c>
      <c r="G462" s="40"/>
      <c r="H462" s="40"/>
      <c r="I462" s="40"/>
      <c r="J462" s="40"/>
      <c r="K462" s="40"/>
      <c r="L462" s="40"/>
      <c r="M462" s="40"/>
      <c r="N462" s="47"/>
      <c r="O462" s="40"/>
      <c r="P462" s="40"/>
      <c r="Q462" s="40"/>
      <c r="R462" s="55"/>
      <c r="S462" s="41"/>
      <c r="T462" s="40"/>
    </row>
    <row r="463" spans="1:20" ht="24">
      <c r="A463" s="40" t="s">
        <v>655</v>
      </c>
      <c r="B463" s="40"/>
      <c r="C463" s="41"/>
      <c r="D463" s="40"/>
      <c r="E463" s="40" t="s">
        <v>3012</v>
      </c>
      <c r="F463" s="47">
        <f>LEN(G463)</f>
        <v>0</v>
      </c>
      <c r="G463" s="40"/>
      <c r="H463" s="40"/>
      <c r="I463" s="40"/>
      <c r="J463" s="40"/>
      <c r="K463" s="40"/>
      <c r="L463" s="40"/>
      <c r="M463" s="40"/>
      <c r="N463" s="47"/>
      <c r="O463" s="40"/>
      <c r="P463" s="40"/>
      <c r="Q463" s="40"/>
      <c r="R463" s="55"/>
      <c r="S463" s="41"/>
      <c r="T463" s="40"/>
    </row>
    <row r="464" spans="1:20" ht="24">
      <c r="A464" s="40" t="s">
        <v>655</v>
      </c>
      <c r="B464" s="40"/>
      <c r="C464" s="41"/>
      <c r="D464" s="40"/>
      <c r="E464" s="40" t="s">
        <v>3012</v>
      </c>
      <c r="F464" s="47">
        <f>LEN(G464)</f>
        <v>0</v>
      </c>
      <c r="G464" s="40"/>
      <c r="H464" s="40"/>
      <c r="I464" s="40"/>
      <c r="J464" s="40"/>
      <c r="K464" s="40"/>
      <c r="L464" s="40"/>
      <c r="M464" s="40"/>
      <c r="N464" s="47"/>
      <c r="O464" s="40"/>
      <c r="P464" s="40"/>
      <c r="Q464" s="40"/>
      <c r="R464" s="55"/>
      <c r="S464" s="41"/>
      <c r="T464" s="40"/>
    </row>
    <row r="465" spans="1:20" ht="24">
      <c r="A465" s="40" t="s">
        <v>655</v>
      </c>
      <c r="B465" s="40"/>
      <c r="C465" s="41"/>
      <c r="D465" s="40"/>
      <c r="E465" s="40" t="s">
        <v>3012</v>
      </c>
      <c r="F465" s="47">
        <f>LEN(G465)</f>
        <v>0</v>
      </c>
      <c r="G465" s="40"/>
      <c r="H465" s="40"/>
      <c r="I465" s="40"/>
      <c r="J465" s="40"/>
      <c r="K465" s="40"/>
      <c r="L465" s="40"/>
      <c r="M465" s="40"/>
      <c r="N465" s="47"/>
      <c r="O465" s="40"/>
      <c r="P465" s="40"/>
      <c r="Q465" s="40"/>
      <c r="R465" s="55"/>
      <c r="S465" s="41"/>
      <c r="T465" s="40"/>
    </row>
    <row r="466" spans="1:20" ht="24">
      <c r="A466" s="40" t="s">
        <v>655</v>
      </c>
      <c r="B466" s="40"/>
      <c r="C466" s="41"/>
      <c r="D466" s="40"/>
      <c r="E466" s="40" t="s">
        <v>3012</v>
      </c>
      <c r="F466" s="47">
        <f>LEN(G466)</f>
        <v>0</v>
      </c>
      <c r="G466" s="40"/>
      <c r="H466" s="40"/>
      <c r="I466" s="40"/>
      <c r="J466" s="40"/>
      <c r="K466" s="40"/>
      <c r="L466" s="40"/>
      <c r="M466" s="40"/>
      <c r="N466" s="47"/>
      <c r="O466" s="40"/>
      <c r="P466" s="40"/>
      <c r="Q466" s="40"/>
      <c r="R466" s="55"/>
      <c r="S466" s="41"/>
      <c r="T466" s="40"/>
    </row>
    <row r="467" spans="1:20" ht="24">
      <c r="A467" s="40" t="s">
        <v>655</v>
      </c>
      <c r="B467" s="40"/>
      <c r="C467" s="41"/>
      <c r="D467" s="40"/>
      <c r="E467" s="40" t="s">
        <v>3012</v>
      </c>
      <c r="F467" s="47">
        <f>LEN(G467)</f>
        <v>0</v>
      </c>
      <c r="G467" s="40"/>
      <c r="H467" s="40"/>
      <c r="I467" s="40"/>
      <c r="J467" s="40"/>
      <c r="K467" s="40"/>
      <c r="L467" s="40"/>
      <c r="M467" s="40"/>
      <c r="N467" s="47"/>
      <c r="O467" s="40"/>
      <c r="P467" s="40"/>
      <c r="Q467" s="40"/>
      <c r="R467" s="55"/>
      <c r="S467" s="41"/>
      <c r="T467" s="40"/>
    </row>
    <row r="468" spans="1:20" ht="24">
      <c r="A468" s="40" t="s">
        <v>655</v>
      </c>
      <c r="B468" s="40"/>
      <c r="C468" s="41"/>
      <c r="D468" s="40"/>
      <c r="E468" s="40" t="s">
        <v>3012</v>
      </c>
      <c r="F468" s="47">
        <f>LEN(G468)</f>
        <v>0</v>
      </c>
      <c r="G468" s="40"/>
      <c r="H468" s="40"/>
      <c r="I468" s="40"/>
      <c r="J468" s="40"/>
      <c r="K468" s="40"/>
      <c r="L468" s="40"/>
      <c r="M468" s="40"/>
      <c r="N468" s="47"/>
      <c r="O468" s="40"/>
      <c r="P468" s="40"/>
      <c r="Q468" s="40"/>
      <c r="R468" s="55"/>
      <c r="S468" s="41"/>
      <c r="T468" s="40"/>
    </row>
    <row r="469" spans="1:20" ht="24">
      <c r="A469" s="40" t="s">
        <v>655</v>
      </c>
      <c r="B469" s="40"/>
      <c r="C469" s="41"/>
      <c r="D469" s="40"/>
      <c r="E469" s="40" t="s">
        <v>3012</v>
      </c>
      <c r="F469" s="47">
        <f>LEN(G469)</f>
        <v>0</v>
      </c>
      <c r="G469" s="40"/>
      <c r="H469" s="40"/>
      <c r="I469" s="40"/>
      <c r="J469" s="40"/>
      <c r="K469" s="40"/>
      <c r="L469" s="40"/>
      <c r="M469" s="40"/>
      <c r="N469" s="47"/>
      <c r="O469" s="40"/>
      <c r="P469" s="40"/>
      <c r="Q469" s="40"/>
      <c r="R469" s="55"/>
      <c r="S469" s="41"/>
      <c r="T469" s="40"/>
    </row>
    <row r="470" spans="1:20" ht="24">
      <c r="A470" s="40" t="s">
        <v>655</v>
      </c>
      <c r="B470" s="40"/>
      <c r="C470" s="41"/>
      <c r="D470" s="40"/>
      <c r="E470" s="40" t="s">
        <v>3012</v>
      </c>
      <c r="F470" s="47">
        <f>LEN(G470)</f>
        <v>0</v>
      </c>
      <c r="G470" s="40"/>
      <c r="H470" s="40"/>
      <c r="I470" s="40"/>
      <c r="J470" s="40"/>
      <c r="K470" s="40"/>
      <c r="L470" s="40"/>
      <c r="M470" s="40"/>
      <c r="N470" s="47"/>
      <c r="O470" s="40"/>
      <c r="P470" s="40"/>
      <c r="Q470" s="40"/>
      <c r="R470" s="55"/>
      <c r="S470" s="41"/>
      <c r="T470" s="40"/>
    </row>
    <row r="471" spans="1:20" ht="24">
      <c r="A471" s="40" t="s">
        <v>655</v>
      </c>
      <c r="B471" s="40"/>
      <c r="C471" s="41"/>
      <c r="D471" s="40"/>
      <c r="E471" s="40" t="s">
        <v>3012</v>
      </c>
      <c r="F471" s="47">
        <f>LEN(G471)</f>
        <v>0</v>
      </c>
      <c r="G471" s="40"/>
      <c r="H471" s="40"/>
      <c r="I471" s="40"/>
      <c r="J471" s="40"/>
      <c r="K471" s="40"/>
      <c r="L471" s="40"/>
      <c r="M471" s="40"/>
      <c r="N471" s="47"/>
      <c r="O471" s="40"/>
      <c r="P471" s="40"/>
      <c r="Q471" s="40"/>
      <c r="R471" s="55"/>
      <c r="S471" s="41"/>
      <c r="T471" s="40"/>
    </row>
    <row r="472" spans="1:20" ht="24">
      <c r="A472" s="40" t="s">
        <v>655</v>
      </c>
      <c r="B472" s="40"/>
      <c r="C472" s="41"/>
      <c r="D472" s="40"/>
      <c r="E472" s="40" t="s">
        <v>3012</v>
      </c>
      <c r="F472" s="47">
        <f>LEN(G472)</f>
        <v>0</v>
      </c>
      <c r="G472" s="40"/>
      <c r="H472" s="40"/>
      <c r="I472" s="40"/>
      <c r="J472" s="40"/>
      <c r="K472" s="40"/>
      <c r="L472" s="40"/>
      <c r="M472" s="40"/>
      <c r="N472" s="47"/>
      <c r="O472" s="40"/>
      <c r="P472" s="40"/>
      <c r="Q472" s="40"/>
      <c r="R472" s="55"/>
      <c r="S472" s="41"/>
      <c r="T472" s="40"/>
    </row>
    <row r="473" spans="1:20" ht="24">
      <c r="A473" s="40" t="s">
        <v>655</v>
      </c>
      <c r="B473" s="40"/>
      <c r="C473" s="41"/>
      <c r="D473" s="40"/>
      <c r="E473" s="40" t="s">
        <v>3012</v>
      </c>
      <c r="F473" s="47">
        <f>LEN(G473)</f>
        <v>0</v>
      </c>
      <c r="G473" s="40"/>
      <c r="H473" s="40"/>
      <c r="I473" s="40"/>
      <c r="J473" s="40"/>
      <c r="K473" s="40"/>
      <c r="L473" s="40"/>
      <c r="M473" s="40"/>
      <c r="N473" s="47"/>
      <c r="O473" s="40"/>
      <c r="P473" s="40"/>
      <c r="Q473" s="40"/>
      <c r="R473" s="55"/>
      <c r="S473" s="41"/>
      <c r="T473" s="40"/>
    </row>
    <row r="474" spans="1:20" ht="24">
      <c r="A474" s="40" t="s">
        <v>655</v>
      </c>
      <c r="B474" s="40"/>
      <c r="C474" s="41"/>
      <c r="D474" s="40"/>
      <c r="E474" s="40" t="s">
        <v>3012</v>
      </c>
      <c r="F474" s="47">
        <f>LEN(G474)</f>
        <v>0</v>
      </c>
      <c r="G474" s="40"/>
      <c r="H474" s="40"/>
      <c r="I474" s="40"/>
      <c r="J474" s="40"/>
      <c r="K474" s="40"/>
      <c r="L474" s="40"/>
      <c r="M474" s="40"/>
      <c r="N474" s="47"/>
      <c r="O474" s="40"/>
      <c r="P474" s="40"/>
      <c r="Q474" s="40"/>
      <c r="R474" s="55"/>
      <c r="S474" s="41"/>
      <c r="T474" s="40"/>
    </row>
    <row r="475" spans="1:20" ht="24">
      <c r="A475" s="40" t="s">
        <v>655</v>
      </c>
      <c r="B475" s="40"/>
      <c r="C475" s="41"/>
      <c r="D475" s="40"/>
      <c r="E475" s="40" t="s">
        <v>3012</v>
      </c>
      <c r="F475" s="47">
        <f>LEN(G475)</f>
        <v>0</v>
      </c>
      <c r="G475" s="40"/>
      <c r="H475" s="40"/>
      <c r="I475" s="40"/>
      <c r="J475" s="40"/>
      <c r="K475" s="40"/>
      <c r="L475" s="40"/>
      <c r="M475" s="40"/>
      <c r="N475" s="47"/>
      <c r="O475" s="40"/>
      <c r="P475" s="40"/>
      <c r="Q475" s="40"/>
      <c r="R475" s="55"/>
      <c r="S475" s="41"/>
      <c r="T475" s="40"/>
    </row>
    <row r="476" spans="1:20" ht="24">
      <c r="A476" s="40" t="s">
        <v>655</v>
      </c>
      <c r="B476" s="40"/>
      <c r="C476" s="41"/>
      <c r="D476" s="40"/>
      <c r="E476" s="40" t="s">
        <v>3012</v>
      </c>
      <c r="F476" s="47">
        <f>LEN(G476)</f>
        <v>0</v>
      </c>
      <c r="G476" s="40"/>
      <c r="H476" s="40"/>
      <c r="I476" s="40"/>
      <c r="J476" s="40"/>
      <c r="K476" s="40"/>
      <c r="L476" s="40"/>
      <c r="M476" s="40"/>
      <c r="N476" s="47"/>
      <c r="O476" s="40"/>
      <c r="P476" s="40"/>
      <c r="Q476" s="40"/>
      <c r="R476" s="55"/>
      <c r="S476" s="41"/>
      <c r="T476" s="40"/>
    </row>
    <row r="477" spans="1:20" ht="24">
      <c r="A477" s="40" t="s">
        <v>655</v>
      </c>
      <c r="B477" s="40"/>
      <c r="C477" s="41"/>
      <c r="D477" s="40"/>
      <c r="E477" s="40" t="s">
        <v>3012</v>
      </c>
      <c r="F477" s="47">
        <f>LEN(G477)</f>
        <v>0</v>
      </c>
      <c r="G477" s="40"/>
      <c r="H477" s="40"/>
      <c r="I477" s="40"/>
      <c r="J477" s="40"/>
      <c r="K477" s="40"/>
      <c r="L477" s="40"/>
      <c r="M477" s="40"/>
      <c r="N477" s="47"/>
      <c r="O477" s="40"/>
      <c r="P477" s="40"/>
      <c r="Q477" s="40"/>
      <c r="R477" s="55"/>
      <c r="S477" s="41"/>
      <c r="T477" s="40"/>
    </row>
    <row r="478" spans="1:20" ht="24">
      <c r="A478" s="40" t="s">
        <v>655</v>
      </c>
      <c r="B478" s="40"/>
      <c r="C478" s="41"/>
      <c r="D478" s="40"/>
      <c r="E478" s="40" t="s">
        <v>3012</v>
      </c>
      <c r="F478" s="47">
        <f>LEN(G478)</f>
        <v>0</v>
      </c>
      <c r="G478" s="40"/>
      <c r="H478" s="40"/>
      <c r="I478" s="40"/>
      <c r="J478" s="40"/>
      <c r="K478" s="40"/>
      <c r="L478" s="40"/>
      <c r="M478" s="40"/>
      <c r="N478" s="47"/>
      <c r="O478" s="40"/>
      <c r="P478" s="40"/>
      <c r="Q478" s="40"/>
      <c r="R478" s="55"/>
      <c r="S478" s="41"/>
      <c r="T478" s="40"/>
    </row>
    <row r="479" spans="1:20" ht="24">
      <c r="A479" s="40" t="s">
        <v>655</v>
      </c>
      <c r="B479" s="40"/>
      <c r="C479" s="41"/>
      <c r="D479" s="40"/>
      <c r="E479" s="40" t="s">
        <v>3012</v>
      </c>
      <c r="F479" s="47">
        <f>LEN(G479)</f>
        <v>0</v>
      </c>
      <c r="G479" s="40"/>
      <c r="H479" s="40"/>
      <c r="I479" s="40"/>
      <c r="J479" s="40"/>
      <c r="K479" s="40"/>
      <c r="L479" s="40"/>
      <c r="M479" s="40"/>
      <c r="N479" s="47"/>
      <c r="O479" s="40"/>
      <c r="P479" s="40"/>
      <c r="Q479" s="40"/>
      <c r="R479" s="55"/>
      <c r="S479" s="41"/>
      <c r="T479" s="40"/>
    </row>
    <row r="480" spans="1:20" ht="24">
      <c r="A480" s="40" t="s">
        <v>655</v>
      </c>
      <c r="B480" s="40"/>
      <c r="C480" s="41"/>
      <c r="D480" s="40"/>
      <c r="E480" s="40" t="s">
        <v>3012</v>
      </c>
      <c r="F480" s="47">
        <f>LEN(G480)</f>
        <v>0</v>
      </c>
      <c r="G480" s="40"/>
      <c r="H480" s="40"/>
      <c r="I480" s="40"/>
      <c r="J480" s="40"/>
      <c r="K480" s="40"/>
      <c r="L480" s="40"/>
      <c r="M480" s="40"/>
      <c r="N480" s="47"/>
      <c r="O480" s="40"/>
      <c r="P480" s="40"/>
      <c r="Q480" s="40"/>
      <c r="R480" s="55"/>
      <c r="S480" s="41"/>
      <c r="T480" s="40"/>
    </row>
    <row r="481" spans="1:20" ht="24">
      <c r="A481" s="40" t="s">
        <v>655</v>
      </c>
      <c r="B481" s="40"/>
      <c r="C481" s="41"/>
      <c r="D481" s="40"/>
      <c r="E481" s="40" t="s">
        <v>3012</v>
      </c>
      <c r="F481" s="47">
        <f>LEN(G481)</f>
        <v>0</v>
      </c>
      <c r="G481" s="40"/>
      <c r="H481" s="40"/>
      <c r="I481" s="40"/>
      <c r="J481" s="40"/>
      <c r="K481" s="40"/>
      <c r="L481" s="40"/>
      <c r="M481" s="40"/>
      <c r="N481" s="47"/>
      <c r="O481" s="40"/>
      <c r="P481" s="40"/>
      <c r="Q481" s="40"/>
      <c r="R481" s="55"/>
      <c r="S481" s="41"/>
      <c r="T481" s="40"/>
    </row>
    <row r="482" spans="1:20" ht="24">
      <c r="A482" s="40" t="s">
        <v>655</v>
      </c>
      <c r="B482" s="40"/>
      <c r="C482" s="41"/>
      <c r="D482" s="40"/>
      <c r="E482" s="40" t="s">
        <v>3012</v>
      </c>
      <c r="F482" s="47">
        <f>LEN(G482)</f>
        <v>0</v>
      </c>
      <c r="G482" s="40"/>
      <c r="H482" s="40"/>
      <c r="I482" s="40"/>
      <c r="J482" s="40"/>
      <c r="K482" s="40"/>
      <c r="L482" s="40"/>
      <c r="M482" s="40"/>
      <c r="N482" s="47"/>
      <c r="O482" s="40"/>
      <c r="P482" s="40"/>
      <c r="Q482" s="40"/>
      <c r="R482" s="55"/>
      <c r="S482" s="41"/>
      <c r="T482" s="40"/>
    </row>
    <row r="483" spans="1:20" ht="24">
      <c r="A483" s="40" t="s">
        <v>655</v>
      </c>
      <c r="B483" s="40"/>
      <c r="C483" s="41"/>
      <c r="D483" s="40"/>
      <c r="E483" s="40" t="s">
        <v>3012</v>
      </c>
      <c r="F483" s="47">
        <f>LEN(G483)</f>
        <v>0</v>
      </c>
      <c r="G483" s="40"/>
      <c r="H483" s="40"/>
      <c r="I483" s="40"/>
      <c r="J483" s="40"/>
      <c r="K483" s="40"/>
      <c r="L483" s="40"/>
      <c r="M483" s="40"/>
      <c r="N483" s="47"/>
      <c r="O483" s="40"/>
      <c r="P483" s="40"/>
      <c r="Q483" s="40"/>
      <c r="R483" s="55"/>
      <c r="S483" s="41"/>
      <c r="T483" s="40"/>
    </row>
    <row r="484" spans="1:20" ht="24">
      <c r="A484" s="40" t="s">
        <v>655</v>
      </c>
      <c r="B484" s="40"/>
      <c r="C484" s="41"/>
      <c r="D484" s="40"/>
      <c r="E484" s="40" t="s">
        <v>3012</v>
      </c>
      <c r="F484" s="47">
        <f>LEN(G484)</f>
        <v>0</v>
      </c>
      <c r="G484" s="40"/>
      <c r="H484" s="40"/>
      <c r="I484" s="40"/>
      <c r="J484" s="40"/>
      <c r="K484" s="40"/>
      <c r="L484" s="40"/>
      <c r="M484" s="40"/>
      <c r="N484" s="47"/>
      <c r="O484" s="40"/>
      <c r="P484" s="40"/>
      <c r="Q484" s="40"/>
      <c r="R484" s="55"/>
      <c r="S484" s="41"/>
      <c r="T484" s="40"/>
    </row>
    <row r="485" spans="1:20" ht="24">
      <c r="A485" s="40" t="s">
        <v>655</v>
      </c>
      <c r="B485" s="40"/>
      <c r="C485" s="41"/>
      <c r="D485" s="40"/>
      <c r="E485" s="40" t="s">
        <v>3012</v>
      </c>
      <c r="F485" s="47">
        <f>LEN(G485)</f>
        <v>0</v>
      </c>
      <c r="G485" s="40"/>
      <c r="H485" s="40"/>
      <c r="I485" s="40"/>
      <c r="J485" s="40"/>
      <c r="K485" s="40"/>
      <c r="L485" s="40"/>
      <c r="M485" s="40"/>
      <c r="N485" s="47"/>
      <c r="O485" s="40"/>
      <c r="P485" s="40"/>
      <c r="Q485" s="40"/>
      <c r="R485" s="55"/>
      <c r="S485" s="41"/>
      <c r="T485" s="40"/>
    </row>
    <row r="486" spans="1:20" ht="24">
      <c r="A486" s="40" t="s">
        <v>655</v>
      </c>
      <c r="B486" s="40"/>
      <c r="C486" s="41"/>
      <c r="D486" s="40"/>
      <c r="E486" s="40" t="s">
        <v>3012</v>
      </c>
      <c r="F486" s="47">
        <f>LEN(G486)</f>
        <v>0</v>
      </c>
      <c r="G486" s="40"/>
      <c r="H486" s="40"/>
      <c r="I486" s="40"/>
      <c r="J486" s="40"/>
      <c r="K486" s="40"/>
      <c r="L486" s="40"/>
      <c r="M486" s="40"/>
      <c r="N486" s="47"/>
      <c r="O486" s="40"/>
      <c r="P486" s="40"/>
      <c r="Q486" s="40"/>
      <c r="R486" s="55"/>
      <c r="S486" s="41"/>
      <c r="T486" s="40"/>
    </row>
    <row r="487" spans="1:20" ht="24">
      <c r="A487" s="40" t="s">
        <v>655</v>
      </c>
      <c r="B487" s="40"/>
      <c r="C487" s="41"/>
      <c r="D487" s="40"/>
      <c r="E487" s="40" t="s">
        <v>3012</v>
      </c>
      <c r="F487" s="47">
        <f>LEN(G487)</f>
        <v>0</v>
      </c>
      <c r="G487" s="40"/>
      <c r="H487" s="40"/>
      <c r="I487" s="40"/>
      <c r="J487" s="40"/>
      <c r="K487" s="40"/>
      <c r="L487" s="40"/>
      <c r="M487" s="40"/>
      <c r="N487" s="47"/>
      <c r="O487" s="40"/>
      <c r="P487" s="40"/>
      <c r="Q487" s="40"/>
      <c r="R487" s="55"/>
      <c r="S487" s="41"/>
      <c r="T487" s="40"/>
    </row>
    <row r="488" spans="1:20" ht="24">
      <c r="A488" s="40" t="s">
        <v>655</v>
      </c>
      <c r="B488" s="40"/>
      <c r="C488" s="41"/>
      <c r="D488" s="40"/>
      <c r="E488" s="40" t="s">
        <v>3012</v>
      </c>
      <c r="F488" s="47">
        <f>LEN(G488)</f>
        <v>0</v>
      </c>
      <c r="G488" s="40"/>
      <c r="H488" s="40"/>
      <c r="I488" s="40"/>
      <c r="J488" s="40"/>
      <c r="K488" s="40"/>
      <c r="L488" s="40"/>
      <c r="M488" s="40"/>
      <c r="N488" s="47"/>
      <c r="O488" s="40"/>
      <c r="P488" s="40"/>
      <c r="Q488" s="40"/>
      <c r="R488" s="55"/>
      <c r="S488" s="41"/>
      <c r="T488" s="40"/>
    </row>
    <row r="489" spans="1:20" ht="24">
      <c r="A489" s="40" t="s">
        <v>655</v>
      </c>
      <c r="B489" s="40"/>
      <c r="C489" s="41"/>
      <c r="D489" s="40"/>
      <c r="E489" s="40" t="s">
        <v>3012</v>
      </c>
      <c r="F489" s="47">
        <f>LEN(G489)</f>
        <v>0</v>
      </c>
      <c r="G489" s="40"/>
      <c r="H489" s="40"/>
      <c r="I489" s="40"/>
      <c r="J489" s="40"/>
      <c r="K489" s="40"/>
      <c r="L489" s="40"/>
      <c r="M489" s="40"/>
      <c r="N489" s="47"/>
      <c r="O489" s="40"/>
      <c r="P489" s="40"/>
      <c r="Q489" s="40"/>
      <c r="R489" s="55"/>
      <c r="S489" s="41"/>
      <c r="T489" s="40"/>
    </row>
    <row r="490" spans="1:20" ht="24">
      <c r="A490" s="40" t="s">
        <v>655</v>
      </c>
      <c r="B490" s="40"/>
      <c r="C490" s="41"/>
      <c r="D490" s="40"/>
      <c r="E490" s="40" t="s">
        <v>3012</v>
      </c>
      <c r="F490" s="47">
        <f>LEN(G490)</f>
        <v>0</v>
      </c>
      <c r="G490" s="40"/>
      <c r="H490" s="40"/>
      <c r="I490" s="40"/>
      <c r="J490" s="40"/>
      <c r="K490" s="40"/>
      <c r="L490" s="40"/>
      <c r="M490" s="40"/>
      <c r="N490" s="47"/>
      <c r="O490" s="40"/>
      <c r="P490" s="40"/>
      <c r="Q490" s="40"/>
      <c r="R490" s="55"/>
      <c r="S490" s="41"/>
      <c r="T490" s="40"/>
    </row>
    <row r="491" spans="1:20" ht="24">
      <c r="A491" s="40" t="s">
        <v>655</v>
      </c>
      <c r="B491" s="40"/>
      <c r="C491" s="41"/>
      <c r="D491" s="40"/>
      <c r="E491" s="40" t="s">
        <v>3012</v>
      </c>
      <c r="F491" s="47">
        <f>LEN(G491)</f>
        <v>0</v>
      </c>
      <c r="G491" s="40"/>
      <c r="H491" s="40"/>
      <c r="I491" s="40"/>
      <c r="J491" s="40"/>
      <c r="K491" s="40"/>
      <c r="L491" s="40"/>
      <c r="M491" s="40"/>
      <c r="N491" s="47"/>
      <c r="O491" s="40"/>
      <c r="P491" s="40"/>
      <c r="Q491" s="40"/>
      <c r="R491" s="55"/>
      <c r="S491" s="41"/>
      <c r="T491" s="40"/>
    </row>
    <row r="492" spans="1:20" ht="24">
      <c r="A492" s="40" t="s">
        <v>655</v>
      </c>
      <c r="B492" s="40"/>
      <c r="C492" s="41"/>
      <c r="D492" s="40"/>
      <c r="E492" s="40" t="s">
        <v>3012</v>
      </c>
      <c r="F492" s="47">
        <f>LEN(G492)</f>
        <v>0</v>
      </c>
      <c r="G492" s="40"/>
      <c r="H492" s="40"/>
      <c r="I492" s="40"/>
      <c r="J492" s="40"/>
      <c r="K492" s="40"/>
      <c r="L492" s="40"/>
      <c r="M492" s="40"/>
      <c r="N492" s="47"/>
      <c r="O492" s="40"/>
      <c r="P492" s="40"/>
      <c r="Q492" s="40"/>
      <c r="R492" s="55"/>
      <c r="S492" s="41"/>
      <c r="T492" s="40"/>
    </row>
    <row r="493" spans="1:20" ht="24">
      <c r="A493" s="40" t="s">
        <v>655</v>
      </c>
      <c r="B493" s="40"/>
      <c r="C493" s="41"/>
      <c r="D493" s="40"/>
      <c r="E493" s="40" t="s">
        <v>3012</v>
      </c>
      <c r="F493" s="47">
        <f>LEN(G493)</f>
        <v>0</v>
      </c>
      <c r="G493" s="40"/>
      <c r="H493" s="40"/>
      <c r="I493" s="40"/>
      <c r="J493" s="40"/>
      <c r="K493" s="40"/>
      <c r="L493" s="40"/>
      <c r="M493" s="40"/>
      <c r="N493" s="47"/>
      <c r="O493" s="40"/>
      <c r="P493" s="40"/>
      <c r="Q493" s="40"/>
      <c r="R493" s="55"/>
      <c r="S493" s="41"/>
      <c r="T493" s="40"/>
    </row>
    <row r="494" spans="1:20" ht="24">
      <c r="A494" s="40" t="s">
        <v>655</v>
      </c>
      <c r="B494" s="40"/>
      <c r="C494" s="41"/>
      <c r="D494" s="40"/>
      <c r="E494" s="40" t="s">
        <v>3012</v>
      </c>
      <c r="F494" s="47">
        <f>LEN(G494)</f>
        <v>0</v>
      </c>
      <c r="G494" s="40"/>
      <c r="H494" s="40"/>
      <c r="I494" s="40"/>
      <c r="J494" s="40"/>
      <c r="K494" s="40"/>
      <c r="L494" s="40"/>
      <c r="M494" s="40"/>
      <c r="N494" s="47"/>
      <c r="O494" s="40"/>
      <c r="P494" s="40"/>
      <c r="Q494" s="40"/>
      <c r="R494" s="55"/>
      <c r="S494" s="41"/>
      <c r="T494" s="40"/>
    </row>
    <row r="495" spans="1:20" ht="24">
      <c r="A495" s="40" t="s">
        <v>655</v>
      </c>
      <c r="B495" s="40"/>
      <c r="C495" s="41"/>
      <c r="D495" s="40"/>
      <c r="E495" s="40" t="s">
        <v>3012</v>
      </c>
      <c r="F495" s="47">
        <f>LEN(G495)</f>
        <v>0</v>
      </c>
      <c r="G495" s="40"/>
      <c r="H495" s="40"/>
      <c r="I495" s="40"/>
      <c r="J495" s="40"/>
      <c r="K495" s="40"/>
      <c r="L495" s="40"/>
      <c r="M495" s="40"/>
      <c r="N495" s="47"/>
      <c r="O495" s="40"/>
      <c r="P495" s="40"/>
      <c r="Q495" s="40"/>
      <c r="R495" s="55"/>
      <c r="S495" s="41"/>
      <c r="T495" s="40"/>
    </row>
    <row r="496" spans="1:20" ht="24">
      <c r="A496" s="40" t="s">
        <v>655</v>
      </c>
      <c r="B496" s="40"/>
      <c r="C496" s="41"/>
      <c r="D496" s="40"/>
      <c r="E496" s="40" t="s">
        <v>3012</v>
      </c>
      <c r="F496" s="47">
        <f>LEN(G496)</f>
        <v>0</v>
      </c>
      <c r="G496" s="40"/>
      <c r="H496" s="40"/>
      <c r="I496" s="40"/>
      <c r="J496" s="40"/>
      <c r="K496" s="40"/>
      <c r="L496" s="40"/>
      <c r="M496" s="40"/>
      <c r="N496" s="47"/>
      <c r="O496" s="40"/>
      <c r="P496" s="40"/>
      <c r="Q496" s="40"/>
      <c r="R496" s="55"/>
      <c r="S496" s="41"/>
      <c r="T496" s="40"/>
    </row>
    <row r="497" spans="1:20" ht="24">
      <c r="A497" s="40" t="s">
        <v>655</v>
      </c>
      <c r="B497" s="40"/>
      <c r="C497" s="41"/>
      <c r="D497" s="40"/>
      <c r="E497" s="40" t="s">
        <v>3012</v>
      </c>
      <c r="F497" s="47">
        <f>LEN(G497)</f>
        <v>0</v>
      </c>
      <c r="G497" s="40"/>
      <c r="H497" s="40"/>
      <c r="I497" s="40"/>
      <c r="J497" s="40"/>
      <c r="K497" s="40"/>
      <c r="L497" s="40"/>
      <c r="M497" s="40"/>
      <c r="N497" s="47"/>
      <c r="O497" s="40"/>
      <c r="P497" s="40"/>
      <c r="Q497" s="40"/>
      <c r="R497" s="55"/>
      <c r="S497" s="41"/>
      <c r="T497" s="40"/>
    </row>
    <row r="498" spans="1:20" ht="24">
      <c r="A498" s="40" t="s">
        <v>655</v>
      </c>
      <c r="B498" s="40"/>
      <c r="C498" s="41"/>
      <c r="D498" s="40"/>
      <c r="E498" s="40" t="s">
        <v>3012</v>
      </c>
      <c r="F498" s="47">
        <f>LEN(G498)</f>
        <v>0</v>
      </c>
      <c r="G498" s="40"/>
      <c r="H498" s="40"/>
      <c r="I498" s="40"/>
      <c r="J498" s="40"/>
      <c r="K498" s="40"/>
      <c r="L498" s="40"/>
      <c r="M498" s="40"/>
      <c r="N498" s="47"/>
      <c r="O498" s="40"/>
      <c r="P498" s="40"/>
      <c r="Q498" s="40"/>
      <c r="R498" s="55"/>
      <c r="S498" s="41"/>
      <c r="T498" s="40"/>
    </row>
    <row r="499" spans="1:20" ht="24">
      <c r="A499" s="40" t="s">
        <v>655</v>
      </c>
      <c r="B499" s="40"/>
      <c r="C499" s="41"/>
      <c r="D499" s="40"/>
      <c r="E499" s="40" t="s">
        <v>3012</v>
      </c>
      <c r="F499" s="47">
        <f>LEN(G499)</f>
        <v>0</v>
      </c>
      <c r="G499" s="40"/>
      <c r="H499" s="40"/>
      <c r="I499" s="40"/>
      <c r="J499" s="40"/>
      <c r="K499" s="40"/>
      <c r="L499" s="40"/>
      <c r="M499" s="40"/>
      <c r="N499" s="47"/>
      <c r="O499" s="40"/>
      <c r="P499" s="40"/>
      <c r="Q499" s="40"/>
      <c r="R499" s="55"/>
      <c r="S499" s="41"/>
      <c r="T499" s="40"/>
    </row>
    <row r="500" spans="1:20" ht="24">
      <c r="A500" s="40" t="s">
        <v>655</v>
      </c>
      <c r="B500" s="40"/>
      <c r="C500" s="41"/>
      <c r="D500" s="40"/>
      <c r="E500" s="40" t="s">
        <v>3012</v>
      </c>
      <c r="F500" s="47">
        <f>LEN(G500)</f>
        <v>0</v>
      </c>
      <c r="G500" s="40"/>
      <c r="H500" s="40"/>
      <c r="I500" s="40"/>
      <c r="J500" s="40"/>
      <c r="K500" s="40"/>
      <c r="L500" s="40"/>
      <c r="M500" s="40"/>
      <c r="N500" s="47"/>
      <c r="O500" s="40"/>
      <c r="P500" s="40"/>
      <c r="Q500" s="40"/>
      <c r="R500" s="55"/>
      <c r="S500" s="41"/>
      <c r="T500" s="40"/>
    </row>
    <row r="501" spans="1:20" ht="24">
      <c r="A501" s="40" t="s">
        <v>655</v>
      </c>
      <c r="B501" s="40"/>
      <c r="C501" s="41"/>
      <c r="D501" s="40"/>
      <c r="E501" s="40" t="s">
        <v>3012</v>
      </c>
      <c r="F501" s="47">
        <f>LEN(G501)</f>
        <v>0</v>
      </c>
      <c r="G501" s="40"/>
      <c r="H501" s="40"/>
      <c r="I501" s="40"/>
      <c r="J501" s="40"/>
      <c r="K501" s="40"/>
      <c r="L501" s="40"/>
      <c r="M501" s="40"/>
      <c r="N501" s="47"/>
      <c r="O501" s="40"/>
      <c r="P501" s="40"/>
      <c r="Q501" s="40"/>
      <c r="R501" s="55"/>
      <c r="S501" s="41"/>
      <c r="T501" s="40"/>
    </row>
    <row r="502" spans="1:20" ht="24">
      <c r="A502" s="40" t="s">
        <v>655</v>
      </c>
      <c r="B502" s="40"/>
      <c r="C502" s="41"/>
      <c r="D502" s="40"/>
      <c r="E502" s="40" t="s">
        <v>3012</v>
      </c>
      <c r="F502" s="47">
        <f>LEN(G502)</f>
        <v>0</v>
      </c>
      <c r="G502" s="40"/>
      <c r="H502" s="40"/>
      <c r="I502" s="40"/>
      <c r="J502" s="40"/>
      <c r="K502" s="40"/>
      <c r="L502" s="40"/>
      <c r="M502" s="40"/>
      <c r="N502" s="47"/>
      <c r="O502" s="40"/>
      <c r="P502" s="40"/>
      <c r="Q502" s="40"/>
      <c r="R502" s="55"/>
      <c r="S502" s="41"/>
      <c r="T502" s="40"/>
    </row>
    <row r="503" spans="1:20" ht="24">
      <c r="A503" s="40" t="s">
        <v>655</v>
      </c>
      <c r="B503" s="40"/>
      <c r="C503" s="41"/>
      <c r="D503" s="40"/>
      <c r="E503" s="40" t="s">
        <v>3012</v>
      </c>
      <c r="F503" s="47">
        <f>LEN(G503)</f>
        <v>0</v>
      </c>
      <c r="G503" s="40"/>
      <c r="H503" s="40"/>
      <c r="I503" s="40"/>
      <c r="J503" s="40"/>
      <c r="K503" s="40"/>
      <c r="L503" s="40"/>
      <c r="M503" s="40"/>
      <c r="N503" s="47"/>
      <c r="O503" s="40"/>
      <c r="P503" s="40"/>
      <c r="Q503" s="40"/>
      <c r="R503" s="55"/>
      <c r="S503" s="41"/>
      <c r="T503" s="40"/>
    </row>
    <row r="504" spans="1:20" ht="24">
      <c r="A504" s="40" t="s">
        <v>655</v>
      </c>
      <c r="B504" s="40"/>
      <c r="C504" s="41"/>
      <c r="D504" s="40"/>
      <c r="E504" s="40" t="s">
        <v>3012</v>
      </c>
      <c r="F504" s="47">
        <f>LEN(G504)</f>
        <v>0</v>
      </c>
      <c r="G504" s="40"/>
      <c r="H504" s="40"/>
      <c r="I504" s="40"/>
      <c r="J504" s="40"/>
      <c r="K504" s="40"/>
      <c r="L504" s="40"/>
      <c r="M504" s="40"/>
      <c r="N504" s="47"/>
      <c r="O504" s="40"/>
      <c r="P504" s="40"/>
      <c r="Q504" s="40"/>
      <c r="R504" s="55"/>
      <c r="S504" s="41"/>
      <c r="T504" s="40"/>
    </row>
    <row r="505" spans="1:20" ht="24">
      <c r="A505" s="40" t="s">
        <v>655</v>
      </c>
      <c r="B505" s="40"/>
      <c r="C505" s="41"/>
      <c r="D505" s="40"/>
      <c r="E505" s="40" t="s">
        <v>3012</v>
      </c>
      <c r="F505" s="47">
        <f>LEN(G505)</f>
        <v>0</v>
      </c>
      <c r="G505" s="40"/>
      <c r="H505" s="40"/>
      <c r="I505" s="40"/>
      <c r="J505" s="40"/>
      <c r="K505" s="40"/>
      <c r="L505" s="40"/>
      <c r="M505" s="40"/>
      <c r="N505" s="47"/>
      <c r="O505" s="40"/>
      <c r="P505" s="40"/>
      <c r="Q505" s="40"/>
      <c r="R505" s="55"/>
      <c r="S505" s="41"/>
      <c r="T505" s="40"/>
    </row>
    <row r="506" spans="1:20" ht="24">
      <c r="A506" s="40" t="s">
        <v>655</v>
      </c>
      <c r="B506" s="40"/>
      <c r="C506" s="41"/>
      <c r="D506" s="40"/>
      <c r="E506" s="40" t="s">
        <v>3012</v>
      </c>
      <c r="F506" s="47">
        <f>LEN(G506)</f>
        <v>0</v>
      </c>
      <c r="G506" s="40"/>
      <c r="H506" s="40"/>
      <c r="I506" s="40"/>
      <c r="J506" s="40"/>
      <c r="K506" s="40"/>
      <c r="L506" s="40"/>
      <c r="M506" s="40"/>
      <c r="N506" s="47"/>
      <c r="O506" s="40"/>
      <c r="P506" s="40"/>
      <c r="Q506" s="40"/>
      <c r="R506" s="55"/>
      <c r="S506" s="41"/>
      <c r="T506" s="40"/>
    </row>
    <row r="507" spans="1:20" ht="24">
      <c r="A507" s="40" t="s">
        <v>655</v>
      </c>
      <c r="B507" s="40"/>
      <c r="C507" s="41"/>
      <c r="D507" s="40"/>
      <c r="E507" s="40" t="s">
        <v>3012</v>
      </c>
      <c r="F507" s="47">
        <f>LEN(G507)</f>
        <v>0</v>
      </c>
      <c r="G507" s="40"/>
      <c r="H507" s="40"/>
      <c r="I507" s="40"/>
      <c r="J507" s="40"/>
      <c r="K507" s="40"/>
      <c r="L507" s="40"/>
      <c r="M507" s="40"/>
      <c r="N507" s="47"/>
      <c r="O507" s="40"/>
      <c r="P507" s="40"/>
      <c r="Q507" s="40"/>
      <c r="R507" s="55"/>
      <c r="S507" s="41"/>
      <c r="T507" s="40"/>
    </row>
    <row r="508" spans="1:20" ht="24">
      <c r="A508" s="40" t="s">
        <v>655</v>
      </c>
      <c r="B508" s="40"/>
      <c r="C508" s="41"/>
      <c r="D508" s="40"/>
      <c r="E508" s="40" t="s">
        <v>3012</v>
      </c>
      <c r="F508" s="47">
        <f>LEN(G508)</f>
        <v>0</v>
      </c>
      <c r="G508" s="40"/>
      <c r="H508" s="40"/>
      <c r="I508" s="40"/>
      <c r="J508" s="40"/>
      <c r="K508" s="40"/>
      <c r="L508" s="40"/>
      <c r="M508" s="40"/>
      <c r="N508" s="47"/>
      <c r="O508" s="40"/>
      <c r="P508" s="40"/>
      <c r="Q508" s="40"/>
      <c r="R508" s="55"/>
      <c r="S508" s="41"/>
      <c r="T508" s="40"/>
    </row>
    <row r="509" spans="1:20" ht="24">
      <c r="A509" s="40" t="s">
        <v>655</v>
      </c>
      <c r="B509" s="40"/>
      <c r="C509" s="41"/>
      <c r="D509" s="40"/>
      <c r="E509" s="40" t="s">
        <v>3012</v>
      </c>
      <c r="F509" s="47">
        <f>LEN(G509)</f>
        <v>0</v>
      </c>
      <c r="G509" s="40"/>
      <c r="H509" s="40"/>
      <c r="I509" s="40"/>
      <c r="J509" s="40"/>
      <c r="K509" s="40"/>
      <c r="L509" s="40"/>
      <c r="M509" s="40"/>
      <c r="N509" s="47"/>
      <c r="O509" s="40"/>
      <c r="P509" s="40"/>
      <c r="Q509" s="40"/>
      <c r="R509" s="55"/>
      <c r="S509" s="41"/>
      <c r="T509" s="40"/>
    </row>
    <row r="510" spans="1:20" ht="24">
      <c r="A510" s="40" t="s">
        <v>655</v>
      </c>
      <c r="B510" s="40"/>
      <c r="C510" s="41"/>
      <c r="D510" s="40"/>
      <c r="E510" s="40" t="s">
        <v>3012</v>
      </c>
      <c r="F510" s="47">
        <f>LEN(G510)</f>
        <v>0</v>
      </c>
      <c r="G510" s="40"/>
      <c r="H510" s="40"/>
      <c r="I510" s="40"/>
      <c r="J510" s="40"/>
      <c r="K510" s="40"/>
      <c r="L510" s="40"/>
      <c r="M510" s="40"/>
      <c r="N510" s="47"/>
      <c r="O510" s="40"/>
      <c r="P510" s="40"/>
      <c r="Q510" s="40"/>
      <c r="R510" s="55"/>
      <c r="S510" s="41"/>
      <c r="T510" s="40"/>
    </row>
    <row r="511" spans="1:20" ht="24">
      <c r="A511" s="40" t="s">
        <v>655</v>
      </c>
      <c r="B511" s="40"/>
      <c r="C511" s="41"/>
      <c r="D511" s="40"/>
      <c r="E511" s="40" t="s">
        <v>3012</v>
      </c>
      <c r="F511" s="47">
        <f>LEN(G511)</f>
        <v>0</v>
      </c>
      <c r="G511" s="40"/>
      <c r="H511" s="40"/>
      <c r="I511" s="40"/>
      <c r="J511" s="40"/>
      <c r="K511" s="40"/>
      <c r="L511" s="40"/>
      <c r="M511" s="40"/>
      <c r="N511" s="47"/>
      <c r="O511" s="40"/>
      <c r="P511" s="40"/>
      <c r="Q511" s="40"/>
      <c r="R511" s="55"/>
      <c r="S511" s="41"/>
      <c r="T511" s="40"/>
    </row>
    <row r="512" spans="1:20" ht="24">
      <c r="A512" s="40" t="s">
        <v>655</v>
      </c>
      <c r="B512" s="40"/>
      <c r="C512" s="41"/>
      <c r="D512" s="40"/>
      <c r="E512" s="40" t="s">
        <v>3012</v>
      </c>
      <c r="F512" s="47">
        <f>LEN(G512)</f>
        <v>0</v>
      </c>
      <c r="G512" s="40"/>
      <c r="H512" s="40"/>
      <c r="I512" s="40"/>
      <c r="J512" s="40"/>
      <c r="K512" s="40"/>
      <c r="L512" s="40"/>
      <c r="M512" s="40"/>
      <c r="N512" s="47"/>
      <c r="O512" s="40"/>
      <c r="P512" s="40"/>
      <c r="Q512" s="40"/>
      <c r="R512" s="55"/>
      <c r="S512" s="41"/>
      <c r="T512" s="40"/>
    </row>
    <row r="513" spans="1:20" ht="24">
      <c r="A513" s="40" t="s">
        <v>655</v>
      </c>
      <c r="B513" s="40"/>
      <c r="C513" s="41"/>
      <c r="D513" s="40"/>
      <c r="E513" s="40" t="s">
        <v>3012</v>
      </c>
      <c r="F513" s="47">
        <f>LEN(G513)</f>
        <v>0</v>
      </c>
      <c r="G513" s="40"/>
      <c r="H513" s="40"/>
      <c r="I513" s="40"/>
      <c r="J513" s="40"/>
      <c r="K513" s="40"/>
      <c r="L513" s="40"/>
      <c r="M513" s="40"/>
      <c r="N513" s="47"/>
      <c r="O513" s="40"/>
      <c r="P513" s="40"/>
      <c r="Q513" s="40"/>
      <c r="R513" s="55"/>
      <c r="S513" s="41"/>
      <c r="T513" s="40"/>
    </row>
    <row r="514" spans="1:20" ht="24">
      <c r="A514" s="40" t="s">
        <v>655</v>
      </c>
      <c r="B514" s="40"/>
      <c r="C514" s="41"/>
      <c r="D514" s="40"/>
      <c r="E514" s="40" t="s">
        <v>3012</v>
      </c>
      <c r="F514" s="47">
        <f>LEN(G514)</f>
        <v>0</v>
      </c>
      <c r="G514" s="40"/>
      <c r="H514" s="40"/>
      <c r="I514" s="40"/>
      <c r="J514" s="40"/>
      <c r="K514" s="40"/>
      <c r="L514" s="40"/>
      <c r="M514" s="40"/>
      <c r="N514" s="47"/>
      <c r="O514" s="40"/>
      <c r="P514" s="40"/>
      <c r="Q514" s="40"/>
      <c r="R514" s="55"/>
      <c r="S514" s="41"/>
      <c r="T514" s="40"/>
    </row>
    <row r="515" spans="1:20" ht="24">
      <c r="A515" s="40" t="s">
        <v>655</v>
      </c>
      <c r="B515" s="40"/>
      <c r="C515" s="41"/>
      <c r="D515" s="40"/>
      <c r="E515" s="40" t="s">
        <v>3012</v>
      </c>
      <c r="F515" s="47">
        <f>LEN(G515)</f>
        <v>0</v>
      </c>
      <c r="G515" s="40"/>
      <c r="H515" s="40"/>
      <c r="I515" s="40"/>
      <c r="J515" s="40"/>
      <c r="K515" s="40"/>
      <c r="L515" s="40"/>
      <c r="M515" s="40"/>
      <c r="N515" s="47"/>
      <c r="O515" s="40"/>
      <c r="P515" s="40"/>
      <c r="Q515" s="40"/>
      <c r="R515" s="55"/>
      <c r="S515" s="41"/>
      <c r="T515" s="40"/>
    </row>
    <row r="516" spans="1:20" ht="24">
      <c r="A516" s="40" t="s">
        <v>655</v>
      </c>
      <c r="B516" s="40"/>
      <c r="C516" s="41"/>
      <c r="D516" s="40"/>
      <c r="E516" s="40" t="s">
        <v>3012</v>
      </c>
      <c r="F516" s="47">
        <f>LEN(G516)</f>
        <v>0</v>
      </c>
      <c r="G516" s="40"/>
      <c r="H516" s="40"/>
      <c r="I516" s="40"/>
      <c r="J516" s="40"/>
      <c r="K516" s="40"/>
      <c r="L516" s="40"/>
      <c r="M516" s="40"/>
      <c r="N516" s="47"/>
      <c r="O516" s="40"/>
      <c r="P516" s="40"/>
      <c r="Q516" s="40"/>
      <c r="R516" s="55"/>
      <c r="S516" s="41"/>
      <c r="T516" s="40"/>
    </row>
    <row r="517" spans="1:20" ht="24">
      <c r="A517" s="40" t="s">
        <v>655</v>
      </c>
      <c r="B517" s="40"/>
      <c r="C517" s="41"/>
      <c r="D517" s="40"/>
      <c r="E517" s="40" t="s">
        <v>3012</v>
      </c>
      <c r="F517" s="47">
        <f>LEN(G517)</f>
        <v>0</v>
      </c>
      <c r="G517" s="40"/>
      <c r="H517" s="40"/>
      <c r="I517" s="40"/>
      <c r="J517" s="40"/>
      <c r="K517" s="40"/>
      <c r="L517" s="40"/>
      <c r="M517" s="40"/>
      <c r="N517" s="47"/>
      <c r="O517" s="40"/>
      <c r="P517" s="40"/>
      <c r="Q517" s="40"/>
      <c r="R517" s="55"/>
      <c r="S517" s="41"/>
      <c r="T517" s="40"/>
    </row>
    <row r="518" spans="1:20" ht="24">
      <c r="A518" s="40" t="s">
        <v>655</v>
      </c>
      <c r="B518" s="40"/>
      <c r="C518" s="41"/>
      <c r="D518" s="40"/>
      <c r="E518" s="40" t="s">
        <v>3012</v>
      </c>
      <c r="F518" s="47">
        <f>LEN(G518)</f>
        <v>0</v>
      </c>
      <c r="G518" s="40"/>
      <c r="H518" s="40"/>
      <c r="I518" s="40"/>
      <c r="J518" s="40"/>
      <c r="K518" s="40"/>
      <c r="L518" s="40"/>
      <c r="M518" s="40"/>
      <c r="N518" s="47"/>
      <c r="O518" s="40"/>
      <c r="P518" s="40"/>
      <c r="Q518" s="40"/>
      <c r="R518" s="55"/>
      <c r="S518" s="41"/>
      <c r="T518" s="40"/>
    </row>
    <row r="519" spans="1:20" ht="24">
      <c r="A519" s="40" t="s">
        <v>655</v>
      </c>
      <c r="B519" s="40"/>
      <c r="C519" s="41"/>
      <c r="D519" s="40"/>
      <c r="E519" s="40" t="s">
        <v>3012</v>
      </c>
      <c r="F519" s="47">
        <f>LEN(G519)</f>
        <v>0</v>
      </c>
      <c r="G519" s="40"/>
      <c r="H519" s="40"/>
      <c r="I519" s="40"/>
      <c r="J519" s="40"/>
      <c r="K519" s="40"/>
      <c r="L519" s="40"/>
      <c r="M519" s="40"/>
      <c r="N519" s="47"/>
      <c r="O519" s="40"/>
      <c r="P519" s="40"/>
      <c r="Q519" s="40"/>
      <c r="R519" s="55"/>
      <c r="S519" s="41"/>
      <c r="T519" s="40"/>
    </row>
    <row r="520" spans="1:20" ht="24">
      <c r="A520" s="40" t="s">
        <v>655</v>
      </c>
      <c r="B520" s="40"/>
      <c r="C520" s="41"/>
      <c r="D520" s="40"/>
      <c r="E520" s="40" t="s">
        <v>3012</v>
      </c>
      <c r="F520" s="47">
        <f>LEN(G520)</f>
        <v>0</v>
      </c>
      <c r="G520" s="40"/>
      <c r="H520" s="40"/>
      <c r="I520" s="40"/>
      <c r="J520" s="40"/>
      <c r="K520" s="40"/>
      <c r="L520" s="40"/>
      <c r="M520" s="40"/>
      <c r="N520" s="47"/>
      <c r="O520" s="40"/>
      <c r="P520" s="40"/>
      <c r="Q520" s="40"/>
      <c r="R520" s="55"/>
      <c r="S520" s="41"/>
      <c r="T520" s="40"/>
    </row>
    <row r="521" spans="1:20" ht="24">
      <c r="A521" s="40" t="s">
        <v>655</v>
      </c>
      <c r="B521" s="40"/>
      <c r="C521" s="41"/>
      <c r="D521" s="40"/>
      <c r="E521" s="40" t="s">
        <v>3012</v>
      </c>
      <c r="F521" s="47">
        <f>LEN(G521)</f>
        <v>0</v>
      </c>
      <c r="G521" s="40"/>
      <c r="H521" s="40"/>
      <c r="I521" s="40"/>
      <c r="J521" s="40"/>
      <c r="K521" s="40"/>
      <c r="L521" s="40"/>
      <c r="M521" s="40"/>
      <c r="N521" s="47"/>
      <c r="O521" s="40"/>
      <c r="P521" s="40"/>
      <c r="Q521" s="40"/>
      <c r="R521" s="55"/>
      <c r="S521" s="41"/>
      <c r="T521" s="40"/>
    </row>
    <row r="522" spans="1:20" ht="24">
      <c r="A522" s="40" t="s">
        <v>655</v>
      </c>
      <c r="B522" s="40"/>
      <c r="C522" s="41"/>
      <c r="D522" s="40"/>
      <c r="E522" s="40" t="s">
        <v>3012</v>
      </c>
      <c r="F522" s="47">
        <f>LEN(G522)</f>
        <v>0</v>
      </c>
      <c r="G522" s="40"/>
      <c r="H522" s="40"/>
      <c r="I522" s="40"/>
      <c r="J522" s="40"/>
      <c r="K522" s="40"/>
      <c r="L522" s="40"/>
      <c r="M522" s="40"/>
      <c r="N522" s="47"/>
      <c r="O522" s="40"/>
      <c r="P522" s="40"/>
      <c r="Q522" s="40"/>
      <c r="R522" s="55"/>
      <c r="S522" s="41"/>
      <c r="T522" s="40"/>
    </row>
    <row r="523" spans="1:20" ht="24">
      <c r="A523" s="40" t="s">
        <v>655</v>
      </c>
      <c r="B523" s="40"/>
      <c r="C523" s="41"/>
      <c r="D523" s="40"/>
      <c r="E523" s="40" t="s">
        <v>3012</v>
      </c>
      <c r="F523" s="47">
        <f>LEN(G523)</f>
        <v>0</v>
      </c>
      <c r="G523" s="40"/>
      <c r="H523" s="40"/>
      <c r="I523" s="40"/>
      <c r="J523" s="40"/>
      <c r="K523" s="40"/>
      <c r="L523" s="40"/>
      <c r="M523" s="40"/>
      <c r="N523" s="47"/>
      <c r="O523" s="40"/>
      <c r="P523" s="40"/>
      <c r="Q523" s="40"/>
      <c r="R523" s="55"/>
      <c r="S523" s="41"/>
      <c r="T523" s="40"/>
    </row>
    <row r="524" spans="1:20" ht="24">
      <c r="A524" s="40" t="s">
        <v>655</v>
      </c>
      <c r="B524" s="40"/>
      <c r="C524" s="41"/>
      <c r="D524" s="40"/>
      <c r="E524" s="40" t="s">
        <v>3012</v>
      </c>
      <c r="F524" s="47">
        <f>LEN(G524)</f>
        <v>0</v>
      </c>
      <c r="G524" s="40"/>
      <c r="H524" s="40"/>
      <c r="I524" s="40"/>
      <c r="J524" s="40"/>
      <c r="K524" s="40"/>
      <c r="L524" s="40"/>
      <c r="M524" s="40"/>
      <c r="N524" s="47"/>
      <c r="O524" s="40"/>
      <c r="P524" s="40"/>
      <c r="Q524" s="40"/>
      <c r="R524" s="55"/>
      <c r="S524" s="41"/>
      <c r="T524" s="40"/>
    </row>
    <row r="525" spans="1:20" ht="24">
      <c r="A525" s="40" t="s">
        <v>655</v>
      </c>
      <c r="B525" s="40"/>
      <c r="C525" s="41"/>
      <c r="D525" s="40"/>
      <c r="E525" s="40" t="s">
        <v>3012</v>
      </c>
      <c r="F525" s="47">
        <f>LEN(G525)</f>
        <v>0</v>
      </c>
      <c r="G525" s="40"/>
      <c r="H525" s="40"/>
      <c r="I525" s="40"/>
      <c r="J525" s="40"/>
      <c r="K525" s="40"/>
      <c r="L525" s="40"/>
      <c r="M525" s="40"/>
      <c r="N525" s="47"/>
      <c r="O525" s="40"/>
      <c r="P525" s="40"/>
      <c r="Q525" s="40"/>
      <c r="R525" s="55"/>
      <c r="S525" s="41"/>
      <c r="T525" s="40"/>
    </row>
    <row r="526" spans="1:20" ht="24">
      <c r="A526" s="40" t="s">
        <v>655</v>
      </c>
      <c r="B526" s="40"/>
      <c r="C526" s="41"/>
      <c r="D526" s="40"/>
      <c r="E526" s="40" t="s">
        <v>3012</v>
      </c>
      <c r="F526" s="47">
        <f>LEN(G526)</f>
        <v>0</v>
      </c>
      <c r="G526" s="40"/>
      <c r="H526" s="40"/>
      <c r="I526" s="40"/>
      <c r="J526" s="40"/>
      <c r="K526" s="40"/>
      <c r="L526" s="40"/>
      <c r="M526" s="40"/>
      <c r="N526" s="47"/>
      <c r="O526" s="40"/>
      <c r="P526" s="40"/>
      <c r="Q526" s="40"/>
      <c r="R526" s="55"/>
      <c r="S526" s="41"/>
      <c r="T526" s="40"/>
    </row>
    <row r="527" spans="1:20" ht="24">
      <c r="A527" s="40" t="s">
        <v>655</v>
      </c>
      <c r="B527" s="40"/>
      <c r="C527" s="41"/>
      <c r="D527" s="40"/>
      <c r="E527" s="40" t="s">
        <v>3012</v>
      </c>
      <c r="F527" s="47">
        <f>LEN(G527)</f>
        <v>0</v>
      </c>
      <c r="G527" s="40"/>
      <c r="H527" s="40"/>
      <c r="I527" s="40"/>
      <c r="J527" s="40"/>
      <c r="K527" s="40"/>
      <c r="L527" s="40"/>
      <c r="M527" s="40"/>
      <c r="N527" s="47"/>
      <c r="O527" s="40"/>
      <c r="P527" s="40"/>
      <c r="Q527" s="40"/>
      <c r="R527" s="55"/>
      <c r="S527" s="41"/>
      <c r="T527" s="40"/>
    </row>
    <row r="528" spans="1:20" ht="24">
      <c r="A528" s="40" t="s">
        <v>655</v>
      </c>
      <c r="B528" s="40"/>
      <c r="C528" s="41"/>
      <c r="D528" s="40"/>
      <c r="E528" s="40" t="s">
        <v>3012</v>
      </c>
      <c r="F528" s="47">
        <f>LEN(G528)</f>
        <v>0</v>
      </c>
      <c r="G528" s="40"/>
      <c r="H528" s="40"/>
      <c r="I528" s="40"/>
      <c r="J528" s="40"/>
      <c r="K528" s="40"/>
      <c r="L528" s="40"/>
      <c r="M528" s="40"/>
      <c r="N528" s="47"/>
      <c r="O528" s="40"/>
      <c r="P528" s="40"/>
      <c r="Q528" s="40"/>
      <c r="R528" s="55"/>
      <c r="S528" s="41"/>
      <c r="T528" s="40"/>
    </row>
    <row r="529" spans="1:20" ht="24">
      <c r="A529" s="40" t="s">
        <v>655</v>
      </c>
      <c r="B529" s="40"/>
      <c r="C529" s="41"/>
      <c r="D529" s="40"/>
      <c r="E529" s="40" t="s">
        <v>3012</v>
      </c>
      <c r="F529" s="47">
        <f>LEN(G529)</f>
        <v>0</v>
      </c>
      <c r="G529" s="40"/>
      <c r="H529" s="40"/>
      <c r="I529" s="40"/>
      <c r="J529" s="40"/>
      <c r="K529" s="40"/>
      <c r="L529" s="40"/>
      <c r="M529" s="40"/>
      <c r="N529" s="47"/>
      <c r="O529" s="40"/>
      <c r="P529" s="40"/>
      <c r="Q529" s="40"/>
      <c r="R529" s="55"/>
      <c r="S529" s="41"/>
      <c r="T529" s="40"/>
    </row>
    <row r="530" spans="1:20" ht="24">
      <c r="A530" s="40" t="s">
        <v>655</v>
      </c>
      <c r="B530" s="40"/>
      <c r="C530" s="41"/>
      <c r="D530" s="40"/>
      <c r="E530" s="40" t="s">
        <v>3012</v>
      </c>
      <c r="F530" s="47">
        <f>LEN(G530)</f>
        <v>0</v>
      </c>
      <c r="G530" s="40"/>
      <c r="H530" s="40"/>
      <c r="I530" s="40"/>
      <c r="J530" s="40"/>
      <c r="K530" s="40"/>
      <c r="L530" s="40"/>
      <c r="M530" s="40"/>
      <c r="N530" s="47"/>
      <c r="O530" s="40"/>
      <c r="P530" s="40"/>
      <c r="Q530" s="40"/>
      <c r="R530" s="55"/>
      <c r="S530" s="41"/>
      <c r="T530" s="40"/>
    </row>
    <row r="531" spans="1:20" ht="24">
      <c r="A531" s="40" t="s">
        <v>655</v>
      </c>
      <c r="B531" s="40"/>
      <c r="C531" s="41"/>
      <c r="D531" s="40"/>
      <c r="E531" s="40" t="s">
        <v>3012</v>
      </c>
      <c r="F531" s="47">
        <f>LEN(G531)</f>
        <v>0</v>
      </c>
      <c r="G531" s="40"/>
      <c r="H531" s="40"/>
      <c r="I531" s="40"/>
      <c r="J531" s="40"/>
      <c r="K531" s="40"/>
      <c r="L531" s="40"/>
      <c r="M531" s="40"/>
      <c r="N531" s="47"/>
      <c r="O531" s="40"/>
      <c r="P531" s="40"/>
      <c r="Q531" s="40"/>
      <c r="R531" s="55"/>
      <c r="S531" s="41"/>
      <c r="T531" s="40"/>
    </row>
    <row r="532" spans="1:20" ht="24">
      <c r="A532" s="40" t="s">
        <v>655</v>
      </c>
      <c r="B532" s="40"/>
      <c r="C532" s="41"/>
      <c r="D532" s="40"/>
      <c r="E532" s="40" t="s">
        <v>3012</v>
      </c>
      <c r="F532" s="47">
        <f>LEN(G532)</f>
        <v>0</v>
      </c>
      <c r="G532" s="40"/>
      <c r="H532" s="40"/>
      <c r="I532" s="40"/>
      <c r="J532" s="40"/>
      <c r="K532" s="40"/>
      <c r="L532" s="40"/>
      <c r="M532" s="40"/>
      <c r="N532" s="47"/>
      <c r="O532" s="40"/>
      <c r="P532" s="40"/>
      <c r="Q532" s="40"/>
      <c r="R532" s="55"/>
      <c r="S532" s="41"/>
      <c r="T532" s="40"/>
    </row>
    <row r="533" spans="1:20" ht="24">
      <c r="A533" s="40" t="s">
        <v>655</v>
      </c>
      <c r="B533" s="40"/>
      <c r="C533" s="41"/>
      <c r="D533" s="40"/>
      <c r="E533" s="40" t="s">
        <v>3012</v>
      </c>
      <c r="F533" s="47">
        <f>LEN(G533)</f>
        <v>0</v>
      </c>
      <c r="G533" s="40"/>
      <c r="H533" s="40"/>
      <c r="I533" s="40"/>
      <c r="J533" s="40"/>
      <c r="K533" s="40"/>
      <c r="L533" s="40"/>
      <c r="M533" s="40"/>
      <c r="N533" s="47"/>
      <c r="O533" s="40"/>
      <c r="P533" s="40"/>
      <c r="Q533" s="40"/>
      <c r="R533" s="55"/>
      <c r="S533" s="41"/>
      <c r="T533" s="40"/>
    </row>
    <row r="534" spans="1:20" ht="24">
      <c r="A534" s="40" t="s">
        <v>655</v>
      </c>
      <c r="B534" s="40"/>
      <c r="C534" s="41"/>
      <c r="D534" s="40"/>
      <c r="E534" s="40" t="s">
        <v>3012</v>
      </c>
      <c r="F534" s="47">
        <f>LEN(G534)</f>
        <v>0</v>
      </c>
      <c r="G534" s="40"/>
      <c r="H534" s="40"/>
      <c r="I534" s="40"/>
      <c r="J534" s="40"/>
      <c r="K534" s="40"/>
      <c r="L534" s="40"/>
      <c r="M534" s="40"/>
      <c r="N534" s="47"/>
      <c r="O534" s="40"/>
      <c r="P534" s="40"/>
      <c r="Q534" s="40"/>
      <c r="R534" s="55"/>
      <c r="S534" s="41"/>
      <c r="T534" s="40"/>
    </row>
    <row r="535" spans="1:20" ht="24">
      <c r="A535" s="40" t="s">
        <v>655</v>
      </c>
      <c r="B535" s="40"/>
      <c r="C535" s="41"/>
      <c r="D535" s="40"/>
      <c r="E535" s="40" t="s">
        <v>3012</v>
      </c>
      <c r="F535" s="47">
        <f>LEN(G535)</f>
        <v>0</v>
      </c>
      <c r="G535" s="40"/>
      <c r="H535" s="40"/>
      <c r="I535" s="40"/>
      <c r="J535" s="40"/>
      <c r="K535" s="40"/>
      <c r="L535" s="40"/>
      <c r="M535" s="40"/>
      <c r="N535" s="47"/>
      <c r="O535" s="40"/>
      <c r="P535" s="40"/>
      <c r="Q535" s="40"/>
      <c r="R535" s="55"/>
      <c r="S535" s="41"/>
      <c r="T535" s="40"/>
    </row>
    <row r="536" spans="1:20" ht="24">
      <c r="A536" s="40" t="s">
        <v>655</v>
      </c>
      <c r="B536" s="40"/>
      <c r="C536" s="41"/>
      <c r="D536" s="40"/>
      <c r="E536" s="40" t="s">
        <v>3012</v>
      </c>
      <c r="F536" s="47">
        <f>LEN(G536)</f>
        <v>0</v>
      </c>
      <c r="G536" s="40"/>
      <c r="H536" s="40"/>
      <c r="I536" s="40"/>
      <c r="J536" s="40"/>
      <c r="K536" s="40"/>
      <c r="L536" s="40"/>
      <c r="M536" s="40"/>
      <c r="N536" s="47"/>
      <c r="O536" s="40"/>
      <c r="P536" s="40"/>
      <c r="Q536" s="40"/>
      <c r="R536" s="55"/>
      <c r="S536" s="41"/>
      <c r="T536" s="40"/>
    </row>
    <row r="537" spans="1:20" ht="24">
      <c r="A537" s="40" t="s">
        <v>655</v>
      </c>
      <c r="B537" s="40"/>
      <c r="C537" s="41"/>
      <c r="D537" s="40"/>
      <c r="E537" s="40" t="s">
        <v>3012</v>
      </c>
      <c r="F537" s="47">
        <f>LEN(G537)</f>
        <v>0</v>
      </c>
      <c r="G537" s="40"/>
      <c r="H537" s="40"/>
      <c r="I537" s="40"/>
      <c r="J537" s="40"/>
      <c r="K537" s="40"/>
      <c r="L537" s="40"/>
      <c r="M537" s="40"/>
      <c r="N537" s="47"/>
      <c r="O537" s="40"/>
      <c r="P537" s="40"/>
      <c r="Q537" s="40"/>
      <c r="R537" s="55"/>
      <c r="S537" s="41"/>
      <c r="T537" s="40"/>
    </row>
    <row r="538" spans="1:20" ht="24">
      <c r="A538" s="40" t="s">
        <v>655</v>
      </c>
      <c r="B538" s="40"/>
      <c r="C538" s="41"/>
      <c r="D538" s="40"/>
      <c r="E538" s="40" t="s">
        <v>3012</v>
      </c>
      <c r="F538" s="47">
        <f>LEN(G538)</f>
        <v>0</v>
      </c>
      <c r="G538" s="40"/>
      <c r="H538" s="40"/>
      <c r="I538" s="40"/>
      <c r="J538" s="40"/>
      <c r="K538" s="40"/>
      <c r="L538" s="40"/>
      <c r="M538" s="40"/>
      <c r="N538" s="47"/>
      <c r="O538" s="40"/>
      <c r="P538" s="40"/>
      <c r="Q538" s="40"/>
      <c r="R538" s="55"/>
      <c r="S538" s="41"/>
      <c r="T538" s="40"/>
    </row>
    <row r="539" spans="1:20" ht="24">
      <c r="A539" s="40" t="s">
        <v>655</v>
      </c>
      <c r="B539" s="40"/>
      <c r="C539" s="41"/>
      <c r="D539" s="40"/>
      <c r="E539" s="40" t="s">
        <v>3012</v>
      </c>
      <c r="F539" s="47">
        <f>LEN(G539)</f>
        <v>0</v>
      </c>
      <c r="G539" s="40"/>
      <c r="H539" s="40"/>
      <c r="I539" s="40"/>
      <c r="J539" s="40"/>
      <c r="K539" s="40"/>
      <c r="L539" s="40"/>
      <c r="M539" s="40"/>
      <c r="N539" s="47"/>
      <c r="O539" s="40"/>
      <c r="P539" s="40"/>
      <c r="Q539" s="40"/>
      <c r="R539" s="55"/>
      <c r="S539" s="41"/>
      <c r="T539" s="40"/>
    </row>
    <row r="540" spans="1:20" ht="24">
      <c r="A540" s="40" t="s">
        <v>655</v>
      </c>
      <c r="B540" s="40"/>
      <c r="C540" s="41"/>
      <c r="D540" s="40"/>
      <c r="E540" s="40" t="s">
        <v>3012</v>
      </c>
      <c r="F540" s="47">
        <f>LEN(G540)</f>
        <v>0</v>
      </c>
      <c r="G540" s="40"/>
      <c r="H540" s="40"/>
      <c r="I540" s="40"/>
      <c r="J540" s="40"/>
      <c r="K540" s="40"/>
      <c r="L540" s="40"/>
      <c r="M540" s="40"/>
      <c r="N540" s="47"/>
      <c r="O540" s="40"/>
      <c r="P540" s="40"/>
      <c r="Q540" s="40"/>
      <c r="R540" s="55"/>
      <c r="S540" s="41"/>
      <c r="T540" s="40"/>
    </row>
    <row r="541" spans="1:20" ht="24">
      <c r="A541" s="40" t="s">
        <v>655</v>
      </c>
      <c r="B541" s="40"/>
      <c r="C541" s="41"/>
      <c r="D541" s="40"/>
      <c r="E541" s="40" t="s">
        <v>3012</v>
      </c>
      <c r="F541" s="47">
        <f>LEN(G541)</f>
        <v>0</v>
      </c>
      <c r="G541" s="40"/>
      <c r="H541" s="40"/>
      <c r="I541" s="40"/>
      <c r="J541" s="40"/>
      <c r="K541" s="40"/>
      <c r="L541" s="40"/>
      <c r="M541" s="40"/>
      <c r="N541" s="47"/>
      <c r="O541" s="40"/>
      <c r="P541" s="40"/>
      <c r="Q541" s="40"/>
      <c r="R541" s="55"/>
      <c r="S541" s="41"/>
      <c r="T541" s="40"/>
    </row>
    <row r="542" spans="1:20" ht="24">
      <c r="A542" s="40" t="s">
        <v>655</v>
      </c>
      <c r="B542" s="40"/>
      <c r="C542" s="41"/>
      <c r="D542" s="40"/>
      <c r="E542" s="40" t="s">
        <v>3012</v>
      </c>
      <c r="F542" s="47">
        <f>LEN(G542)</f>
        <v>0</v>
      </c>
      <c r="G542" s="40"/>
      <c r="H542" s="40"/>
      <c r="I542" s="40"/>
      <c r="J542" s="40"/>
      <c r="K542" s="40"/>
      <c r="L542" s="40"/>
      <c r="M542" s="40"/>
      <c r="N542" s="47"/>
      <c r="O542" s="40"/>
      <c r="P542" s="40"/>
      <c r="Q542" s="40"/>
      <c r="R542" s="55"/>
      <c r="S542" s="41"/>
      <c r="T542" s="40"/>
    </row>
    <row r="543" spans="1:20" ht="24">
      <c r="A543" s="40" t="s">
        <v>655</v>
      </c>
      <c r="B543" s="40"/>
      <c r="C543" s="41"/>
      <c r="D543" s="40"/>
      <c r="E543" s="40" t="s">
        <v>3012</v>
      </c>
      <c r="F543" s="47">
        <f>LEN(G543)</f>
        <v>0</v>
      </c>
      <c r="G543" s="40"/>
      <c r="H543" s="40"/>
      <c r="I543" s="40"/>
      <c r="J543" s="40"/>
      <c r="K543" s="40"/>
      <c r="L543" s="40"/>
      <c r="M543" s="40"/>
      <c r="N543" s="47"/>
      <c r="O543" s="40"/>
      <c r="P543" s="40"/>
      <c r="Q543" s="40"/>
      <c r="R543" s="55"/>
      <c r="S543" s="41"/>
      <c r="T543" s="40"/>
    </row>
    <row r="544" spans="1:20" ht="24">
      <c r="A544" s="40" t="s">
        <v>655</v>
      </c>
      <c r="B544" s="40"/>
      <c r="C544" s="41"/>
      <c r="D544" s="40"/>
      <c r="E544" s="40" t="s">
        <v>3012</v>
      </c>
      <c r="F544" s="47">
        <f>LEN(G544)</f>
        <v>0</v>
      </c>
      <c r="G544" s="40"/>
      <c r="H544" s="40"/>
      <c r="I544" s="40"/>
      <c r="J544" s="40"/>
      <c r="K544" s="40"/>
      <c r="L544" s="40"/>
      <c r="M544" s="40"/>
      <c r="N544" s="47"/>
      <c r="O544" s="40"/>
      <c r="P544" s="40"/>
      <c r="Q544" s="40"/>
      <c r="R544" s="55"/>
      <c r="S544" s="41"/>
      <c r="T544" s="40"/>
    </row>
    <row r="545" spans="1:20" ht="24">
      <c r="A545" s="40" t="s">
        <v>655</v>
      </c>
      <c r="B545" s="40"/>
      <c r="C545" s="41"/>
      <c r="D545" s="40"/>
      <c r="E545" s="40" t="s">
        <v>3012</v>
      </c>
      <c r="F545" s="47">
        <f>LEN(G545)</f>
        <v>0</v>
      </c>
      <c r="G545" s="40"/>
      <c r="H545" s="40"/>
      <c r="I545" s="40"/>
      <c r="J545" s="40"/>
      <c r="K545" s="40"/>
      <c r="L545" s="40"/>
      <c r="M545" s="40"/>
      <c r="N545" s="47"/>
      <c r="O545" s="40"/>
      <c r="P545" s="40"/>
      <c r="Q545" s="40"/>
      <c r="R545" s="55"/>
      <c r="S545" s="41"/>
      <c r="T545" s="40"/>
    </row>
    <row r="546" spans="1:20" ht="24">
      <c r="A546" s="40" t="s">
        <v>655</v>
      </c>
      <c r="B546" s="40"/>
      <c r="C546" s="41"/>
      <c r="D546" s="40"/>
      <c r="E546" s="40" t="s">
        <v>3012</v>
      </c>
      <c r="F546" s="47">
        <f>LEN(G546)</f>
        <v>0</v>
      </c>
      <c r="G546" s="40"/>
      <c r="H546" s="40"/>
      <c r="I546" s="40"/>
      <c r="J546" s="40"/>
      <c r="K546" s="40"/>
      <c r="L546" s="40"/>
      <c r="M546" s="40"/>
      <c r="N546" s="47"/>
      <c r="O546" s="40"/>
      <c r="P546" s="40"/>
      <c r="Q546" s="40"/>
      <c r="R546" s="55"/>
      <c r="S546" s="41"/>
      <c r="T546" s="40"/>
    </row>
    <row r="547" spans="1:20" ht="24">
      <c r="A547" s="40" t="s">
        <v>655</v>
      </c>
      <c r="B547" s="40"/>
      <c r="C547" s="41"/>
      <c r="D547" s="40"/>
      <c r="E547" s="40" t="s">
        <v>3012</v>
      </c>
      <c r="F547" s="47">
        <f>LEN(G547)</f>
        <v>0</v>
      </c>
      <c r="G547" s="40"/>
      <c r="H547" s="40"/>
      <c r="I547" s="40"/>
      <c r="J547" s="40"/>
      <c r="K547" s="40"/>
      <c r="L547" s="40"/>
      <c r="M547" s="40"/>
      <c r="N547" s="47"/>
      <c r="O547" s="40"/>
      <c r="P547" s="40"/>
      <c r="Q547" s="40"/>
      <c r="R547" s="55"/>
      <c r="S547" s="41"/>
      <c r="T547" s="40"/>
    </row>
    <row r="548" spans="1:20" ht="24">
      <c r="A548" s="40" t="s">
        <v>655</v>
      </c>
      <c r="B548" s="40"/>
      <c r="C548" s="41"/>
      <c r="D548" s="40"/>
      <c r="E548" s="40" t="s">
        <v>3012</v>
      </c>
      <c r="F548" s="47">
        <f>LEN(G548)</f>
        <v>0</v>
      </c>
      <c r="G548" s="40"/>
      <c r="H548" s="40"/>
      <c r="I548" s="40"/>
      <c r="J548" s="40"/>
      <c r="K548" s="40"/>
      <c r="L548" s="40"/>
      <c r="M548" s="40"/>
      <c r="N548" s="47"/>
      <c r="O548" s="40"/>
      <c r="P548" s="40"/>
      <c r="Q548" s="40"/>
      <c r="R548" s="55"/>
      <c r="S548" s="41"/>
      <c r="T548" s="40"/>
    </row>
    <row r="549" spans="1:20" ht="24">
      <c r="A549" s="40" t="s">
        <v>655</v>
      </c>
      <c r="B549" s="40"/>
      <c r="C549" s="41"/>
      <c r="D549" s="40"/>
      <c r="E549" s="40" t="s">
        <v>3012</v>
      </c>
      <c r="F549" s="47">
        <f>LEN(G549)</f>
        <v>0</v>
      </c>
      <c r="G549" s="40"/>
      <c r="H549" s="40"/>
      <c r="I549" s="40"/>
      <c r="J549" s="40"/>
      <c r="K549" s="40"/>
      <c r="L549" s="40"/>
      <c r="M549" s="40"/>
      <c r="N549" s="47"/>
      <c r="O549" s="40"/>
      <c r="P549" s="40"/>
      <c r="Q549" s="40"/>
      <c r="R549" s="55"/>
      <c r="S549" s="41"/>
      <c r="T549" s="40"/>
    </row>
    <row r="550" spans="1:20" ht="24">
      <c r="A550" s="40" t="s">
        <v>655</v>
      </c>
      <c r="B550" s="40"/>
      <c r="C550" s="41"/>
      <c r="D550" s="40"/>
      <c r="E550" s="40" t="s">
        <v>3012</v>
      </c>
      <c r="F550" s="47">
        <f>LEN(G550)</f>
        <v>0</v>
      </c>
      <c r="G550" s="40"/>
      <c r="H550" s="40"/>
      <c r="I550" s="40"/>
      <c r="J550" s="40"/>
      <c r="K550" s="40"/>
      <c r="L550" s="40"/>
      <c r="M550" s="40"/>
      <c r="N550" s="47"/>
      <c r="O550" s="40"/>
      <c r="P550" s="40"/>
      <c r="Q550" s="40"/>
      <c r="R550" s="55"/>
      <c r="S550" s="41"/>
      <c r="T550" s="40"/>
    </row>
    <row r="551" spans="1:20" ht="24">
      <c r="A551" s="40" t="s">
        <v>655</v>
      </c>
      <c r="B551" s="40"/>
      <c r="C551" s="41"/>
      <c r="D551" s="40"/>
      <c r="E551" s="40" t="s">
        <v>3012</v>
      </c>
      <c r="F551" s="47">
        <f>LEN(G551)</f>
        <v>0</v>
      </c>
      <c r="G551" s="40"/>
      <c r="H551" s="40"/>
      <c r="I551" s="40"/>
      <c r="J551" s="40"/>
      <c r="K551" s="40"/>
      <c r="L551" s="40"/>
      <c r="M551" s="40"/>
      <c r="N551" s="47"/>
      <c r="O551" s="40"/>
      <c r="P551" s="40"/>
      <c r="Q551" s="40"/>
      <c r="R551" s="55"/>
      <c r="S551" s="41"/>
      <c r="T551" s="40"/>
    </row>
    <row r="552" spans="1:20" ht="24">
      <c r="A552" s="40" t="s">
        <v>655</v>
      </c>
      <c r="B552" s="40"/>
      <c r="C552" s="41"/>
      <c r="D552" s="40"/>
      <c r="E552" s="40" t="s">
        <v>3012</v>
      </c>
      <c r="F552" s="47">
        <f>LEN(G552)</f>
        <v>0</v>
      </c>
      <c r="G552" s="40"/>
      <c r="H552" s="40"/>
      <c r="I552" s="40"/>
      <c r="J552" s="40"/>
      <c r="K552" s="40"/>
      <c r="L552" s="40"/>
      <c r="M552" s="40"/>
      <c r="N552" s="47"/>
      <c r="O552" s="40"/>
      <c r="P552" s="40"/>
      <c r="Q552" s="40"/>
      <c r="R552" s="55"/>
      <c r="S552" s="41"/>
      <c r="T552" s="40"/>
    </row>
    <row r="553" spans="1:20" ht="24">
      <c r="A553" s="40" t="s">
        <v>655</v>
      </c>
      <c r="B553" s="40"/>
      <c r="C553" s="41"/>
      <c r="D553" s="40"/>
      <c r="E553" s="40" t="s">
        <v>3012</v>
      </c>
      <c r="F553" s="47">
        <f>LEN(G553)</f>
        <v>0</v>
      </c>
      <c r="G553" s="40"/>
      <c r="H553" s="40"/>
      <c r="I553" s="40"/>
      <c r="J553" s="40"/>
      <c r="K553" s="40"/>
      <c r="L553" s="40"/>
      <c r="M553" s="40"/>
      <c r="N553" s="47"/>
      <c r="O553" s="40"/>
      <c r="P553" s="40"/>
      <c r="Q553" s="40"/>
      <c r="R553" s="55"/>
      <c r="S553" s="41"/>
      <c r="T553" s="40"/>
    </row>
    <row r="554" spans="1:20" ht="24">
      <c r="A554" s="40" t="s">
        <v>655</v>
      </c>
      <c r="B554" s="40"/>
      <c r="C554" s="41"/>
      <c r="D554" s="40"/>
      <c r="E554" s="40" t="s">
        <v>3012</v>
      </c>
      <c r="F554" s="47">
        <f>LEN(G554)</f>
        <v>0</v>
      </c>
      <c r="G554" s="40"/>
      <c r="H554" s="40"/>
      <c r="I554" s="40"/>
      <c r="J554" s="40"/>
      <c r="K554" s="40"/>
      <c r="L554" s="40"/>
      <c r="M554" s="40"/>
      <c r="N554" s="47"/>
      <c r="O554" s="40"/>
      <c r="P554" s="40"/>
      <c r="Q554" s="40"/>
      <c r="R554" s="55"/>
      <c r="S554" s="41"/>
      <c r="T554" s="40"/>
    </row>
    <row r="555" spans="1:20" ht="24">
      <c r="A555" s="40" t="s">
        <v>655</v>
      </c>
      <c r="B555" s="40"/>
      <c r="C555" s="41"/>
      <c r="D555" s="40"/>
      <c r="E555" s="40" t="s">
        <v>3012</v>
      </c>
      <c r="F555" s="47">
        <f>LEN(G555)</f>
        <v>0</v>
      </c>
      <c r="G555" s="40"/>
      <c r="H555" s="40"/>
      <c r="I555" s="40"/>
      <c r="J555" s="40"/>
      <c r="K555" s="40"/>
      <c r="L555" s="40"/>
      <c r="M555" s="40"/>
      <c r="N555" s="47"/>
      <c r="O555" s="40"/>
      <c r="P555" s="40"/>
      <c r="Q555" s="40"/>
      <c r="R555" s="55"/>
      <c r="S555" s="41"/>
      <c r="T555" s="40"/>
    </row>
    <row r="556" spans="1:20" ht="24">
      <c r="A556" s="40" t="s">
        <v>655</v>
      </c>
      <c r="B556" s="40"/>
      <c r="C556" s="41"/>
      <c r="D556" s="40"/>
      <c r="E556" s="40" t="s">
        <v>3012</v>
      </c>
      <c r="F556" s="47">
        <f>LEN(G556)</f>
        <v>0</v>
      </c>
      <c r="G556" s="40"/>
      <c r="H556" s="40"/>
      <c r="I556" s="40"/>
      <c r="J556" s="40"/>
      <c r="K556" s="40"/>
      <c r="L556" s="40"/>
      <c r="M556" s="40"/>
      <c r="N556" s="47"/>
      <c r="O556" s="40"/>
      <c r="P556" s="40"/>
      <c r="Q556" s="40"/>
      <c r="R556" s="55"/>
      <c r="S556" s="41"/>
      <c r="T556" s="40"/>
    </row>
    <row r="557" spans="1:20" ht="24">
      <c r="A557" s="40" t="s">
        <v>655</v>
      </c>
      <c r="B557" s="40"/>
      <c r="C557" s="41"/>
      <c r="D557" s="40"/>
      <c r="E557" s="40" t="s">
        <v>3012</v>
      </c>
      <c r="F557" s="47">
        <f>LEN(G557)</f>
        <v>0</v>
      </c>
      <c r="G557" s="40"/>
      <c r="H557" s="40"/>
      <c r="I557" s="40"/>
      <c r="J557" s="40"/>
      <c r="K557" s="40"/>
      <c r="L557" s="40"/>
      <c r="M557" s="40"/>
      <c r="N557" s="47"/>
      <c r="O557" s="40"/>
      <c r="P557" s="40"/>
      <c r="Q557" s="40"/>
      <c r="R557" s="55"/>
      <c r="S557" s="41"/>
      <c r="T557" s="40"/>
    </row>
    <row r="558" spans="1:20" ht="24">
      <c r="A558" s="40" t="s">
        <v>655</v>
      </c>
      <c r="B558" s="40"/>
      <c r="C558" s="41"/>
      <c r="D558" s="40"/>
      <c r="E558" s="40" t="s">
        <v>3012</v>
      </c>
      <c r="F558" s="47">
        <f>LEN(G558)</f>
        <v>0</v>
      </c>
      <c r="G558" s="40"/>
      <c r="H558" s="40"/>
      <c r="I558" s="40"/>
      <c r="J558" s="40"/>
      <c r="K558" s="40"/>
      <c r="L558" s="40"/>
      <c r="M558" s="40"/>
      <c r="N558" s="47"/>
      <c r="O558" s="40"/>
      <c r="P558" s="40"/>
      <c r="Q558" s="40"/>
      <c r="R558" s="55"/>
      <c r="S558" s="41"/>
      <c r="T558" s="40"/>
    </row>
    <row r="559" spans="1:20" ht="24">
      <c r="A559" s="40" t="s">
        <v>655</v>
      </c>
      <c r="B559" s="40"/>
      <c r="C559" s="41"/>
      <c r="D559" s="40"/>
      <c r="E559" s="40" t="s">
        <v>3012</v>
      </c>
      <c r="F559" s="47">
        <f>LEN(G559)</f>
        <v>0</v>
      </c>
      <c r="G559" s="40"/>
      <c r="H559" s="40"/>
      <c r="I559" s="40"/>
      <c r="J559" s="40"/>
      <c r="K559" s="40"/>
      <c r="L559" s="40"/>
      <c r="M559" s="40"/>
      <c r="N559" s="47"/>
      <c r="O559" s="40"/>
      <c r="P559" s="40"/>
      <c r="Q559" s="40"/>
      <c r="R559" s="55"/>
      <c r="S559" s="41"/>
      <c r="T559" s="40"/>
    </row>
    <row r="560" spans="1:20" ht="24">
      <c r="A560" s="40" t="s">
        <v>655</v>
      </c>
      <c r="B560" s="40"/>
      <c r="C560" s="41"/>
      <c r="D560" s="40"/>
      <c r="E560" s="40" t="s">
        <v>3012</v>
      </c>
      <c r="F560" s="47">
        <f>LEN(G560)</f>
        <v>0</v>
      </c>
      <c r="G560" s="40"/>
      <c r="H560" s="40"/>
      <c r="I560" s="40"/>
      <c r="J560" s="40"/>
      <c r="K560" s="40"/>
      <c r="L560" s="40"/>
      <c r="M560" s="40"/>
      <c r="N560" s="47"/>
      <c r="O560" s="40"/>
      <c r="P560" s="40"/>
      <c r="Q560" s="40"/>
      <c r="R560" s="55"/>
      <c r="S560" s="41"/>
      <c r="T560" s="40"/>
    </row>
    <row r="561" spans="1:20" ht="24">
      <c r="A561" s="40" t="s">
        <v>655</v>
      </c>
      <c r="B561" s="40"/>
      <c r="C561" s="41"/>
      <c r="D561" s="40"/>
      <c r="E561" s="40" t="s">
        <v>3012</v>
      </c>
      <c r="F561" s="47">
        <f>LEN(G561)</f>
        <v>0</v>
      </c>
      <c r="G561" s="40"/>
      <c r="H561" s="40"/>
      <c r="I561" s="40"/>
      <c r="J561" s="40"/>
      <c r="K561" s="40"/>
      <c r="L561" s="40"/>
      <c r="M561" s="40"/>
      <c r="N561" s="47"/>
      <c r="O561" s="40"/>
      <c r="P561" s="40"/>
      <c r="Q561" s="40"/>
      <c r="R561" s="55"/>
      <c r="S561" s="41"/>
      <c r="T561" s="40"/>
    </row>
    <row r="562" spans="1:20" ht="24">
      <c r="A562" s="40" t="s">
        <v>655</v>
      </c>
      <c r="B562" s="40"/>
      <c r="C562" s="41"/>
      <c r="D562" s="40"/>
      <c r="E562" s="40" t="s">
        <v>3012</v>
      </c>
      <c r="F562" s="47">
        <f>LEN(G562)</f>
        <v>0</v>
      </c>
      <c r="G562" s="40"/>
      <c r="H562" s="40"/>
      <c r="I562" s="40"/>
      <c r="J562" s="40"/>
      <c r="K562" s="40"/>
      <c r="L562" s="40"/>
      <c r="M562" s="40"/>
      <c r="N562" s="47"/>
      <c r="O562" s="40"/>
      <c r="P562" s="40"/>
      <c r="Q562" s="40"/>
      <c r="R562" s="55"/>
      <c r="S562" s="41"/>
      <c r="T562" s="40"/>
    </row>
    <row r="563" spans="1:20" ht="24">
      <c r="A563" s="40" t="s">
        <v>655</v>
      </c>
      <c r="B563" s="40"/>
      <c r="C563" s="41"/>
      <c r="D563" s="40"/>
      <c r="E563" s="40" t="s">
        <v>3012</v>
      </c>
      <c r="F563" s="47">
        <f>LEN(G563)</f>
        <v>0</v>
      </c>
      <c r="G563" s="40"/>
      <c r="H563" s="40"/>
      <c r="I563" s="40"/>
      <c r="J563" s="40"/>
      <c r="K563" s="40"/>
      <c r="L563" s="40"/>
      <c r="M563" s="40"/>
      <c r="N563" s="47"/>
      <c r="O563" s="40"/>
      <c r="P563" s="40"/>
      <c r="Q563" s="40"/>
      <c r="R563" s="55"/>
      <c r="S563" s="41"/>
      <c r="T563" s="40"/>
    </row>
    <row r="564" spans="1:20" ht="24">
      <c r="A564" s="40" t="s">
        <v>655</v>
      </c>
      <c r="B564" s="40"/>
      <c r="C564" s="41"/>
      <c r="D564" s="40"/>
      <c r="E564" s="40" t="s">
        <v>3012</v>
      </c>
      <c r="F564" s="47">
        <f>LEN(G564)</f>
        <v>0</v>
      </c>
      <c r="G564" s="40"/>
      <c r="H564" s="40"/>
      <c r="I564" s="40"/>
      <c r="J564" s="40"/>
      <c r="K564" s="40"/>
      <c r="L564" s="40"/>
      <c r="M564" s="40"/>
      <c r="N564" s="47"/>
      <c r="O564" s="40"/>
      <c r="P564" s="40"/>
      <c r="Q564" s="40"/>
      <c r="R564" s="55"/>
      <c r="S564" s="41"/>
      <c r="T564" s="40"/>
    </row>
    <row r="565" spans="1:20" ht="24">
      <c r="A565" s="40" t="s">
        <v>655</v>
      </c>
      <c r="B565" s="40"/>
      <c r="C565" s="41"/>
      <c r="D565" s="40"/>
      <c r="E565" s="40" t="s">
        <v>3012</v>
      </c>
      <c r="F565" s="47">
        <f>LEN(G565)</f>
        <v>0</v>
      </c>
      <c r="G565" s="40"/>
      <c r="H565" s="40"/>
      <c r="I565" s="40"/>
      <c r="J565" s="40"/>
      <c r="K565" s="40"/>
      <c r="L565" s="40"/>
      <c r="M565" s="40"/>
      <c r="N565" s="47"/>
      <c r="O565" s="40"/>
      <c r="P565" s="40"/>
      <c r="Q565" s="40"/>
      <c r="R565" s="55"/>
      <c r="S565" s="41"/>
      <c r="T565" s="40"/>
    </row>
    <row r="566" spans="1:20" ht="24">
      <c r="A566" s="40" t="s">
        <v>655</v>
      </c>
      <c r="B566" s="40"/>
      <c r="C566" s="41"/>
      <c r="D566" s="40"/>
      <c r="E566" s="40" t="s">
        <v>3012</v>
      </c>
      <c r="F566" s="47">
        <f>LEN(G566)</f>
        <v>0</v>
      </c>
      <c r="G566" s="40"/>
      <c r="H566" s="40"/>
      <c r="I566" s="40"/>
      <c r="J566" s="40"/>
      <c r="K566" s="40"/>
      <c r="L566" s="40"/>
      <c r="M566" s="40"/>
      <c r="N566" s="47"/>
      <c r="O566" s="40"/>
      <c r="P566" s="40"/>
      <c r="Q566" s="40"/>
      <c r="R566" s="55"/>
      <c r="S566" s="41"/>
      <c r="T566" s="40"/>
    </row>
    <row r="567" spans="1:20" ht="24">
      <c r="A567" s="40" t="s">
        <v>655</v>
      </c>
      <c r="B567" s="40"/>
      <c r="C567" s="41"/>
      <c r="D567" s="40"/>
      <c r="E567" s="40" t="s">
        <v>3012</v>
      </c>
      <c r="F567" s="47">
        <f>LEN(G567)</f>
        <v>0</v>
      </c>
      <c r="G567" s="40"/>
      <c r="H567" s="40"/>
      <c r="I567" s="40"/>
      <c r="J567" s="40"/>
      <c r="K567" s="40"/>
      <c r="L567" s="40"/>
      <c r="M567" s="40"/>
      <c r="N567" s="47"/>
      <c r="O567" s="40"/>
      <c r="P567" s="40"/>
      <c r="Q567" s="40"/>
      <c r="R567" s="55"/>
      <c r="S567" s="41"/>
      <c r="T567" s="40"/>
    </row>
    <row r="568" spans="1:20" ht="24">
      <c r="A568" s="40" t="s">
        <v>655</v>
      </c>
      <c r="B568" s="40"/>
      <c r="C568" s="41"/>
      <c r="D568" s="40"/>
      <c r="E568" s="40" t="s">
        <v>3012</v>
      </c>
      <c r="F568" s="47">
        <f>LEN(G568)</f>
        <v>0</v>
      </c>
      <c r="G568" s="40"/>
      <c r="H568" s="40"/>
      <c r="I568" s="40"/>
      <c r="J568" s="40"/>
      <c r="K568" s="40"/>
      <c r="L568" s="40"/>
      <c r="M568" s="40"/>
      <c r="N568" s="47"/>
      <c r="O568" s="40"/>
      <c r="P568" s="40"/>
      <c r="Q568" s="40"/>
      <c r="R568" s="55"/>
      <c r="S568" s="41"/>
      <c r="T568" s="40"/>
    </row>
    <row r="569" spans="1:20" ht="24">
      <c r="A569" s="40" t="s">
        <v>655</v>
      </c>
      <c r="B569" s="40"/>
      <c r="C569" s="41"/>
      <c r="D569" s="40"/>
      <c r="E569" s="40" t="s">
        <v>3012</v>
      </c>
      <c r="F569" s="47">
        <f>LEN(G569)</f>
        <v>0</v>
      </c>
      <c r="G569" s="40"/>
      <c r="H569" s="40"/>
      <c r="I569" s="40"/>
      <c r="J569" s="40"/>
      <c r="K569" s="40"/>
      <c r="L569" s="40"/>
      <c r="M569" s="40"/>
      <c r="N569" s="47"/>
      <c r="O569" s="40"/>
      <c r="P569" s="40"/>
      <c r="Q569" s="40"/>
      <c r="R569" s="55"/>
      <c r="S569" s="41"/>
      <c r="T569" s="40"/>
    </row>
    <row r="570" spans="1:20" ht="24">
      <c r="A570" s="40" t="s">
        <v>655</v>
      </c>
      <c r="B570" s="40"/>
      <c r="C570" s="41"/>
      <c r="D570" s="40"/>
      <c r="E570" s="40" t="s">
        <v>3012</v>
      </c>
      <c r="F570" s="47">
        <f>LEN(G570)</f>
        <v>0</v>
      </c>
      <c r="G570" s="40"/>
      <c r="H570" s="40"/>
      <c r="I570" s="40"/>
      <c r="J570" s="40"/>
      <c r="K570" s="40"/>
      <c r="L570" s="40"/>
      <c r="M570" s="40"/>
      <c r="N570" s="47"/>
      <c r="O570" s="40"/>
      <c r="P570" s="40"/>
      <c r="Q570" s="40"/>
      <c r="R570" s="55"/>
      <c r="S570" s="41"/>
      <c r="T570" s="40"/>
    </row>
    <row r="571" spans="1:20" ht="24">
      <c r="A571" s="40" t="s">
        <v>655</v>
      </c>
      <c r="B571" s="40"/>
      <c r="C571" s="41"/>
      <c r="D571" s="40"/>
      <c r="E571" s="40" t="s">
        <v>3012</v>
      </c>
      <c r="F571" s="47">
        <f>LEN(G571)</f>
        <v>0</v>
      </c>
      <c r="G571" s="40"/>
      <c r="H571" s="40"/>
      <c r="I571" s="40"/>
      <c r="J571" s="40"/>
      <c r="K571" s="40"/>
      <c r="L571" s="40"/>
      <c r="M571" s="40"/>
      <c r="N571" s="47"/>
      <c r="O571" s="40"/>
      <c r="P571" s="40"/>
      <c r="Q571" s="40"/>
      <c r="R571" s="55"/>
      <c r="S571" s="41"/>
      <c r="T571" s="40"/>
    </row>
    <row r="572" spans="1:20" ht="24">
      <c r="A572" s="40" t="s">
        <v>655</v>
      </c>
      <c r="B572" s="40"/>
      <c r="C572" s="41"/>
      <c r="D572" s="40"/>
      <c r="E572" s="40" t="s">
        <v>3012</v>
      </c>
      <c r="F572" s="47">
        <f>LEN(G572)</f>
        <v>0</v>
      </c>
      <c r="G572" s="40"/>
      <c r="H572" s="40"/>
      <c r="I572" s="40"/>
      <c r="J572" s="40"/>
      <c r="K572" s="40"/>
      <c r="L572" s="40"/>
      <c r="M572" s="40"/>
      <c r="N572" s="47"/>
      <c r="O572" s="40"/>
      <c r="P572" s="40"/>
      <c r="Q572" s="40"/>
      <c r="R572" s="55"/>
      <c r="S572" s="41"/>
      <c r="T572" s="40"/>
    </row>
    <row r="573" spans="1:20" ht="24">
      <c r="A573" s="40" t="s">
        <v>655</v>
      </c>
      <c r="B573" s="40"/>
      <c r="C573" s="41"/>
      <c r="D573" s="40"/>
      <c r="E573" s="40" t="s">
        <v>3012</v>
      </c>
      <c r="F573" s="47">
        <f>LEN(G573)</f>
        <v>0</v>
      </c>
      <c r="G573" s="40"/>
      <c r="H573" s="40"/>
      <c r="I573" s="40"/>
      <c r="J573" s="40"/>
      <c r="K573" s="40"/>
      <c r="L573" s="40"/>
      <c r="M573" s="40"/>
      <c r="N573" s="47"/>
      <c r="O573" s="40"/>
      <c r="P573" s="40"/>
      <c r="Q573" s="40"/>
      <c r="R573" s="55"/>
      <c r="S573" s="41"/>
      <c r="T573" s="40"/>
    </row>
    <row r="574" spans="1:20" ht="24">
      <c r="A574" s="40" t="s">
        <v>655</v>
      </c>
      <c r="B574" s="40"/>
      <c r="C574" s="41"/>
      <c r="D574" s="40"/>
      <c r="E574" s="40" t="s">
        <v>3012</v>
      </c>
      <c r="F574" s="47">
        <f>LEN(G574)</f>
        <v>0</v>
      </c>
      <c r="G574" s="40"/>
      <c r="H574" s="40"/>
      <c r="I574" s="40"/>
      <c r="J574" s="40"/>
      <c r="K574" s="40"/>
      <c r="L574" s="40"/>
      <c r="M574" s="40"/>
      <c r="N574" s="47"/>
      <c r="O574" s="40"/>
      <c r="P574" s="40"/>
      <c r="Q574" s="40"/>
      <c r="R574" s="55"/>
      <c r="S574" s="41"/>
      <c r="T574" s="40"/>
    </row>
    <row r="575" spans="1:20" ht="24">
      <c r="A575" s="40" t="s">
        <v>655</v>
      </c>
      <c r="B575" s="40"/>
      <c r="C575" s="41"/>
      <c r="D575" s="40"/>
      <c r="E575" s="40" t="s">
        <v>3012</v>
      </c>
      <c r="F575" s="47">
        <f>LEN(G575)</f>
        <v>0</v>
      </c>
      <c r="G575" s="40"/>
      <c r="H575" s="40"/>
      <c r="I575" s="40"/>
      <c r="J575" s="40"/>
      <c r="K575" s="40"/>
      <c r="L575" s="40"/>
      <c r="M575" s="40"/>
      <c r="N575" s="47"/>
      <c r="O575" s="40"/>
      <c r="P575" s="40"/>
      <c r="Q575" s="40"/>
      <c r="R575" s="55"/>
      <c r="S575" s="41"/>
      <c r="T575" s="40"/>
    </row>
    <row r="576" spans="1:20" ht="24">
      <c r="A576" s="40" t="s">
        <v>655</v>
      </c>
      <c r="B576" s="40"/>
      <c r="C576" s="41"/>
      <c r="D576" s="40"/>
      <c r="E576" s="40" t="s">
        <v>3012</v>
      </c>
      <c r="F576" s="47">
        <f>LEN(G576)</f>
        <v>0</v>
      </c>
      <c r="G576" s="40"/>
      <c r="H576" s="40"/>
      <c r="I576" s="40"/>
      <c r="J576" s="40"/>
      <c r="K576" s="40"/>
      <c r="L576" s="40"/>
      <c r="M576" s="40"/>
      <c r="N576" s="47"/>
      <c r="O576" s="40"/>
      <c r="P576" s="40"/>
      <c r="Q576" s="40"/>
      <c r="R576" s="55"/>
      <c r="S576" s="41"/>
      <c r="T576" s="40"/>
    </row>
    <row r="577" spans="1:20" ht="24">
      <c r="A577" s="40" t="s">
        <v>655</v>
      </c>
      <c r="B577" s="40"/>
      <c r="C577" s="41"/>
      <c r="D577" s="40"/>
      <c r="E577" s="40" t="s">
        <v>3012</v>
      </c>
      <c r="F577" s="47">
        <f>LEN(G577)</f>
        <v>0</v>
      </c>
      <c r="G577" s="40"/>
      <c r="H577" s="40"/>
      <c r="I577" s="40"/>
      <c r="J577" s="40"/>
      <c r="K577" s="40"/>
      <c r="L577" s="40"/>
      <c r="M577" s="40"/>
      <c r="N577" s="47"/>
      <c r="O577" s="40"/>
      <c r="P577" s="40"/>
      <c r="Q577" s="40"/>
      <c r="R577" s="55"/>
      <c r="S577" s="41"/>
      <c r="T577" s="40"/>
    </row>
    <row r="578" spans="1:20" ht="24">
      <c r="A578" s="40" t="s">
        <v>655</v>
      </c>
      <c r="B578" s="40"/>
      <c r="C578" s="41"/>
      <c r="D578" s="40"/>
      <c r="E578" s="40" t="s">
        <v>3012</v>
      </c>
      <c r="F578" s="47">
        <f>LEN(G578)</f>
        <v>0</v>
      </c>
      <c r="G578" s="40"/>
      <c r="H578" s="40"/>
      <c r="I578" s="40"/>
      <c r="J578" s="40"/>
      <c r="K578" s="40"/>
      <c r="L578" s="40"/>
      <c r="M578" s="40"/>
      <c r="N578" s="47"/>
      <c r="O578" s="40"/>
      <c r="P578" s="40"/>
      <c r="Q578" s="40"/>
      <c r="R578" s="55"/>
      <c r="S578" s="41"/>
      <c r="T578" s="40"/>
    </row>
    <row r="579" spans="1:20" ht="24">
      <c r="A579" s="40" t="s">
        <v>655</v>
      </c>
      <c r="B579" s="40"/>
      <c r="C579" s="41"/>
      <c r="D579" s="40"/>
      <c r="E579" s="40" t="s">
        <v>3012</v>
      </c>
      <c r="F579" s="47">
        <f>LEN(G579)</f>
        <v>0</v>
      </c>
      <c r="G579" s="40"/>
      <c r="H579" s="40"/>
      <c r="I579" s="40"/>
      <c r="J579" s="40"/>
      <c r="K579" s="40"/>
      <c r="L579" s="40"/>
      <c r="M579" s="40"/>
      <c r="N579" s="47"/>
      <c r="O579" s="40"/>
      <c r="P579" s="40"/>
      <c r="Q579" s="40"/>
      <c r="R579" s="55"/>
      <c r="S579" s="41"/>
      <c r="T579" s="40"/>
    </row>
    <row r="580" spans="1:20" ht="24">
      <c r="A580" s="40" t="s">
        <v>655</v>
      </c>
      <c r="B580" s="40"/>
      <c r="C580" s="41"/>
      <c r="D580" s="40"/>
      <c r="E580" s="40" t="s">
        <v>3012</v>
      </c>
      <c r="F580" s="47">
        <f>LEN(G580)</f>
        <v>0</v>
      </c>
      <c r="G580" s="40"/>
      <c r="H580" s="40"/>
      <c r="I580" s="40"/>
      <c r="J580" s="40"/>
      <c r="K580" s="40"/>
      <c r="L580" s="40"/>
      <c r="M580" s="40"/>
      <c r="N580" s="47"/>
      <c r="O580" s="40"/>
      <c r="P580" s="40"/>
      <c r="Q580" s="40"/>
      <c r="R580" s="55"/>
      <c r="S580" s="41"/>
      <c r="T580" s="40"/>
    </row>
    <row r="581" spans="1:20" ht="24">
      <c r="A581" s="40" t="s">
        <v>655</v>
      </c>
      <c r="B581" s="40"/>
      <c r="C581" s="41"/>
      <c r="D581" s="40"/>
      <c r="E581" s="40" t="s">
        <v>3012</v>
      </c>
      <c r="F581" s="47">
        <f>LEN(G581)</f>
        <v>0</v>
      </c>
      <c r="G581" s="40"/>
      <c r="H581" s="40"/>
      <c r="I581" s="40"/>
      <c r="J581" s="40"/>
      <c r="K581" s="40"/>
      <c r="L581" s="40"/>
      <c r="M581" s="40"/>
      <c r="N581" s="47"/>
      <c r="O581" s="40"/>
      <c r="P581" s="40"/>
      <c r="Q581" s="40"/>
      <c r="R581" s="55"/>
      <c r="S581" s="41"/>
      <c r="T581" s="40"/>
    </row>
    <row r="582" spans="1:20" ht="24">
      <c r="A582" s="40" t="s">
        <v>655</v>
      </c>
      <c r="B582" s="40"/>
      <c r="C582" s="41"/>
      <c r="D582" s="40"/>
      <c r="E582" s="40" t="s">
        <v>3012</v>
      </c>
      <c r="F582" s="47">
        <f>LEN(G582)</f>
        <v>0</v>
      </c>
      <c r="G582" s="40"/>
      <c r="H582" s="40"/>
      <c r="I582" s="40"/>
      <c r="J582" s="40"/>
      <c r="K582" s="40"/>
      <c r="L582" s="40"/>
      <c r="M582" s="40"/>
      <c r="N582" s="47"/>
      <c r="O582" s="40"/>
      <c r="P582" s="40"/>
      <c r="Q582" s="40"/>
      <c r="R582" s="55"/>
      <c r="S582" s="41"/>
      <c r="T582" s="40"/>
    </row>
    <row r="583" spans="1:20" ht="24">
      <c r="A583" s="40" t="s">
        <v>655</v>
      </c>
      <c r="B583" s="40"/>
      <c r="C583" s="41"/>
      <c r="D583" s="40"/>
      <c r="E583" s="40" t="s">
        <v>3012</v>
      </c>
      <c r="F583" s="47">
        <f>LEN(G583)</f>
        <v>0</v>
      </c>
      <c r="G583" s="40"/>
      <c r="H583" s="40"/>
      <c r="I583" s="40"/>
      <c r="J583" s="40"/>
      <c r="K583" s="40"/>
      <c r="L583" s="40"/>
      <c r="M583" s="40"/>
      <c r="N583" s="47"/>
      <c r="O583" s="40"/>
      <c r="P583" s="40"/>
      <c r="Q583" s="40"/>
      <c r="R583" s="55"/>
      <c r="S583" s="41"/>
      <c r="T583" s="40"/>
    </row>
    <row r="584" spans="1:20" ht="24">
      <c r="A584" s="40" t="s">
        <v>655</v>
      </c>
      <c r="B584" s="40"/>
      <c r="C584" s="41"/>
      <c r="D584" s="40"/>
      <c r="E584" s="40" t="s">
        <v>3012</v>
      </c>
      <c r="F584" s="47">
        <f>LEN(G584)</f>
        <v>0</v>
      </c>
      <c r="G584" s="40"/>
      <c r="H584" s="40"/>
      <c r="I584" s="40"/>
      <c r="J584" s="40"/>
      <c r="K584" s="40"/>
      <c r="L584" s="40"/>
      <c r="M584" s="40"/>
      <c r="N584" s="47"/>
      <c r="O584" s="40"/>
      <c r="P584" s="40"/>
      <c r="Q584" s="40"/>
      <c r="R584" s="55"/>
      <c r="S584" s="41"/>
      <c r="T584" s="40"/>
    </row>
    <row r="585" spans="1:20" ht="24">
      <c r="A585" s="40" t="s">
        <v>655</v>
      </c>
      <c r="B585" s="40"/>
      <c r="C585" s="41"/>
      <c r="D585" s="40"/>
      <c r="E585" s="40" t="s">
        <v>3012</v>
      </c>
      <c r="F585" s="47">
        <f>LEN(G585)</f>
        <v>0</v>
      </c>
      <c r="G585" s="40"/>
      <c r="H585" s="40"/>
      <c r="I585" s="40"/>
      <c r="J585" s="40"/>
      <c r="K585" s="40"/>
      <c r="L585" s="40"/>
      <c r="M585" s="40"/>
      <c r="N585" s="47"/>
      <c r="O585" s="40"/>
      <c r="P585" s="40"/>
      <c r="Q585" s="40"/>
      <c r="R585" s="55"/>
      <c r="S585" s="41"/>
      <c r="T585" s="40"/>
    </row>
    <row r="586" spans="1:20" ht="24">
      <c r="A586" s="40" t="s">
        <v>655</v>
      </c>
      <c r="B586" s="40"/>
      <c r="C586" s="41"/>
      <c r="D586" s="40"/>
      <c r="E586" s="40" t="s">
        <v>3012</v>
      </c>
      <c r="F586" s="47">
        <f>LEN(G586)</f>
        <v>0</v>
      </c>
      <c r="G586" s="40"/>
      <c r="H586" s="40"/>
      <c r="I586" s="40"/>
      <c r="J586" s="40"/>
      <c r="K586" s="40"/>
      <c r="L586" s="40"/>
      <c r="M586" s="40"/>
      <c r="N586" s="47"/>
      <c r="O586" s="40"/>
      <c r="P586" s="40"/>
      <c r="Q586" s="40"/>
      <c r="R586" s="55"/>
      <c r="S586" s="41"/>
      <c r="T586" s="40"/>
    </row>
    <row r="587" spans="1:20" ht="24">
      <c r="A587" s="40" t="s">
        <v>655</v>
      </c>
      <c r="B587" s="40"/>
      <c r="C587" s="41"/>
      <c r="D587" s="40"/>
      <c r="E587" s="40" t="s">
        <v>3012</v>
      </c>
      <c r="F587" s="47">
        <f>LEN(G587)</f>
        <v>0</v>
      </c>
      <c r="G587" s="40"/>
      <c r="H587" s="40"/>
      <c r="I587" s="40"/>
      <c r="J587" s="40"/>
      <c r="K587" s="40"/>
      <c r="L587" s="40"/>
      <c r="M587" s="40"/>
      <c r="N587" s="47"/>
      <c r="O587" s="40"/>
      <c r="P587" s="40"/>
      <c r="Q587" s="40"/>
      <c r="R587" s="55"/>
      <c r="S587" s="41"/>
      <c r="T587" s="40"/>
    </row>
    <row r="588" spans="1:20" ht="24">
      <c r="A588" s="40" t="s">
        <v>655</v>
      </c>
      <c r="B588" s="40"/>
      <c r="C588" s="41"/>
      <c r="D588" s="40"/>
      <c r="E588" s="40" t="s">
        <v>3012</v>
      </c>
      <c r="F588" s="47">
        <f>LEN(G588)</f>
        <v>0</v>
      </c>
      <c r="G588" s="40"/>
      <c r="H588" s="40"/>
      <c r="I588" s="40"/>
      <c r="J588" s="40"/>
      <c r="K588" s="40"/>
      <c r="L588" s="40"/>
      <c r="M588" s="40"/>
      <c r="N588" s="47"/>
      <c r="O588" s="40"/>
      <c r="P588" s="40"/>
      <c r="Q588" s="40"/>
      <c r="R588" s="55"/>
      <c r="S588" s="41"/>
      <c r="T588" s="40"/>
    </row>
    <row r="589" spans="1:20" ht="24">
      <c r="A589" s="40" t="s">
        <v>655</v>
      </c>
      <c r="B589" s="40"/>
      <c r="C589" s="41"/>
      <c r="D589" s="40"/>
      <c r="E589" s="40" t="s">
        <v>3012</v>
      </c>
      <c r="F589" s="47">
        <f>LEN(G589)</f>
        <v>0</v>
      </c>
      <c r="G589" s="40"/>
      <c r="H589" s="40"/>
      <c r="I589" s="40"/>
      <c r="J589" s="40"/>
      <c r="K589" s="40"/>
      <c r="L589" s="40"/>
      <c r="M589" s="40"/>
      <c r="N589" s="47"/>
      <c r="O589" s="40"/>
      <c r="P589" s="40"/>
      <c r="Q589" s="40"/>
      <c r="R589" s="55"/>
      <c r="S589" s="41"/>
      <c r="T589" s="40"/>
    </row>
    <row r="590" spans="1:20" ht="24">
      <c r="A590" s="40" t="s">
        <v>655</v>
      </c>
      <c r="B590" s="40"/>
      <c r="C590" s="41"/>
      <c r="D590" s="40"/>
      <c r="E590" s="40" t="s">
        <v>3012</v>
      </c>
      <c r="F590" s="47">
        <f>LEN(G590)</f>
        <v>0</v>
      </c>
      <c r="G590" s="40"/>
      <c r="H590" s="40"/>
      <c r="I590" s="40"/>
      <c r="J590" s="40"/>
      <c r="K590" s="40"/>
      <c r="L590" s="40"/>
      <c r="M590" s="40"/>
      <c r="N590" s="47"/>
      <c r="O590" s="40"/>
      <c r="P590" s="40"/>
      <c r="Q590" s="40"/>
      <c r="R590" s="55"/>
      <c r="S590" s="41"/>
      <c r="T590" s="40"/>
    </row>
    <row r="591" spans="1:20" ht="24">
      <c r="A591" s="40" t="s">
        <v>655</v>
      </c>
      <c r="B591" s="40"/>
      <c r="C591" s="41"/>
      <c r="D591" s="40"/>
      <c r="E591" s="40" t="s">
        <v>3012</v>
      </c>
      <c r="F591" s="47">
        <f>LEN(G591)</f>
        <v>0</v>
      </c>
      <c r="G591" s="40"/>
      <c r="H591" s="40"/>
      <c r="I591" s="40"/>
      <c r="J591" s="40"/>
      <c r="K591" s="40"/>
      <c r="L591" s="40"/>
      <c r="M591" s="40"/>
      <c r="N591" s="47"/>
      <c r="O591" s="40"/>
      <c r="P591" s="40"/>
      <c r="Q591" s="40"/>
      <c r="R591" s="55"/>
      <c r="S591" s="41"/>
      <c r="T591" s="40"/>
    </row>
    <row r="592" spans="1:20" ht="24">
      <c r="A592" s="40" t="s">
        <v>655</v>
      </c>
      <c r="B592" s="40"/>
      <c r="C592" s="41"/>
      <c r="D592" s="40"/>
      <c r="E592" s="40" t="s">
        <v>3012</v>
      </c>
      <c r="F592" s="47">
        <f>LEN(G592)</f>
        <v>0</v>
      </c>
      <c r="G592" s="40"/>
      <c r="H592" s="40"/>
      <c r="I592" s="40"/>
      <c r="J592" s="40"/>
      <c r="K592" s="40"/>
      <c r="L592" s="40"/>
      <c r="M592" s="40"/>
      <c r="N592" s="47"/>
      <c r="O592" s="40"/>
      <c r="P592" s="40"/>
      <c r="Q592" s="40"/>
      <c r="R592" s="55"/>
      <c r="S592" s="41"/>
      <c r="T592" s="40"/>
    </row>
    <row r="593" spans="1:20" ht="24">
      <c r="A593" s="40" t="s">
        <v>655</v>
      </c>
      <c r="B593" s="40"/>
      <c r="C593" s="41"/>
      <c r="D593" s="40"/>
      <c r="E593" s="40" t="s">
        <v>3012</v>
      </c>
      <c r="F593" s="47">
        <f>LEN(G593)</f>
        <v>0</v>
      </c>
      <c r="G593" s="40"/>
      <c r="H593" s="40"/>
      <c r="I593" s="40"/>
      <c r="J593" s="40"/>
      <c r="K593" s="40"/>
      <c r="L593" s="40"/>
      <c r="M593" s="40"/>
      <c r="N593" s="47"/>
      <c r="O593" s="40"/>
      <c r="P593" s="40"/>
      <c r="Q593" s="40"/>
      <c r="R593" s="55"/>
      <c r="S593" s="41"/>
      <c r="T593" s="40"/>
    </row>
    <row r="594" spans="1:20" ht="24">
      <c r="A594" s="40" t="s">
        <v>655</v>
      </c>
      <c r="B594" s="40"/>
      <c r="C594" s="41"/>
      <c r="D594" s="40"/>
      <c r="E594" s="40" t="s">
        <v>3012</v>
      </c>
      <c r="F594" s="47">
        <f>LEN(G594)</f>
        <v>0</v>
      </c>
      <c r="G594" s="40"/>
      <c r="H594" s="40"/>
      <c r="I594" s="40"/>
      <c r="J594" s="40"/>
      <c r="K594" s="40"/>
      <c r="L594" s="40"/>
      <c r="M594" s="40"/>
      <c r="N594" s="47"/>
      <c r="O594" s="40"/>
      <c r="P594" s="40"/>
      <c r="Q594" s="40"/>
      <c r="R594" s="55"/>
      <c r="S594" s="41"/>
      <c r="T594" s="40"/>
    </row>
    <row r="595" spans="1:20" ht="24">
      <c r="A595" s="40" t="s">
        <v>655</v>
      </c>
      <c r="B595" s="40"/>
      <c r="C595" s="41"/>
      <c r="D595" s="40"/>
      <c r="E595" s="40" t="s">
        <v>3012</v>
      </c>
      <c r="F595" s="47">
        <f>LEN(G595)</f>
        <v>0</v>
      </c>
      <c r="G595" s="40"/>
      <c r="H595" s="40"/>
      <c r="I595" s="40"/>
      <c r="J595" s="40"/>
      <c r="K595" s="40"/>
      <c r="L595" s="40"/>
      <c r="M595" s="40"/>
      <c r="N595" s="47"/>
      <c r="O595" s="40"/>
      <c r="P595" s="40"/>
      <c r="Q595" s="40"/>
      <c r="R595" s="55"/>
      <c r="S595" s="41"/>
      <c r="T595" s="40"/>
    </row>
    <row r="596" spans="1:20" ht="24">
      <c r="A596" s="40" t="s">
        <v>655</v>
      </c>
      <c r="B596" s="40"/>
      <c r="C596" s="41"/>
      <c r="D596" s="40"/>
      <c r="E596" s="40" t="s">
        <v>3012</v>
      </c>
      <c r="F596" s="47">
        <f>LEN(G596)</f>
        <v>0</v>
      </c>
      <c r="G596" s="40"/>
      <c r="H596" s="40"/>
      <c r="I596" s="40"/>
      <c r="J596" s="40"/>
      <c r="K596" s="40"/>
      <c r="L596" s="40"/>
      <c r="M596" s="40"/>
      <c r="N596" s="47"/>
      <c r="O596" s="40"/>
      <c r="P596" s="40"/>
      <c r="Q596" s="40"/>
      <c r="R596" s="55"/>
      <c r="S596" s="41"/>
      <c r="T596" s="40"/>
    </row>
    <row r="597" spans="1:20" ht="24">
      <c r="A597" s="40" t="s">
        <v>655</v>
      </c>
      <c r="B597" s="40"/>
      <c r="C597" s="41"/>
      <c r="D597" s="40"/>
      <c r="E597" s="40" t="s">
        <v>3012</v>
      </c>
      <c r="F597" s="47">
        <f>LEN(G597)</f>
        <v>0</v>
      </c>
      <c r="G597" s="40"/>
      <c r="H597" s="40"/>
      <c r="I597" s="40"/>
      <c r="J597" s="40"/>
      <c r="K597" s="40"/>
      <c r="L597" s="40"/>
      <c r="M597" s="40"/>
      <c r="N597" s="47"/>
      <c r="O597" s="40"/>
      <c r="P597" s="40"/>
      <c r="Q597" s="40"/>
      <c r="R597" s="55"/>
      <c r="S597" s="41"/>
      <c r="T597" s="40"/>
    </row>
    <row r="598" spans="1:20" ht="24">
      <c r="A598" s="40" t="s">
        <v>655</v>
      </c>
      <c r="B598" s="40"/>
      <c r="C598" s="41"/>
      <c r="D598" s="40"/>
      <c r="E598" s="40" t="s">
        <v>3012</v>
      </c>
      <c r="F598" s="47">
        <f>LEN(G598)</f>
        <v>0</v>
      </c>
      <c r="G598" s="40"/>
      <c r="H598" s="40"/>
      <c r="I598" s="40"/>
      <c r="J598" s="40"/>
      <c r="K598" s="40"/>
      <c r="L598" s="40"/>
      <c r="M598" s="40"/>
      <c r="N598" s="47"/>
      <c r="O598" s="40"/>
      <c r="P598" s="40"/>
      <c r="Q598" s="40"/>
      <c r="R598" s="55"/>
      <c r="S598" s="41"/>
      <c r="T598" s="40"/>
    </row>
    <row r="599" spans="1:20" ht="24">
      <c r="A599" s="40" t="s">
        <v>655</v>
      </c>
      <c r="B599" s="40"/>
      <c r="C599" s="41"/>
      <c r="D599" s="40"/>
      <c r="E599" s="40" t="s">
        <v>3012</v>
      </c>
      <c r="F599" s="47">
        <f>LEN(G599)</f>
        <v>0</v>
      </c>
      <c r="G599" s="40"/>
      <c r="H599" s="40"/>
      <c r="I599" s="40"/>
      <c r="J599" s="40"/>
      <c r="K599" s="40"/>
      <c r="L599" s="40"/>
      <c r="M599" s="40"/>
      <c r="N599" s="47"/>
      <c r="O599" s="40"/>
      <c r="P599" s="40"/>
      <c r="Q599" s="40"/>
      <c r="R599" s="55"/>
      <c r="S599" s="41"/>
      <c r="T599" s="40"/>
    </row>
    <row r="600" spans="1:20" ht="24">
      <c r="A600" s="40" t="s">
        <v>655</v>
      </c>
      <c r="B600" s="40"/>
      <c r="C600" s="41"/>
      <c r="D600" s="40"/>
      <c r="E600" s="40" t="s">
        <v>3012</v>
      </c>
      <c r="F600" s="47">
        <f>LEN(G600)</f>
        <v>0</v>
      </c>
      <c r="G600" s="40"/>
      <c r="H600" s="40"/>
      <c r="I600" s="40"/>
      <c r="J600" s="40"/>
      <c r="K600" s="40"/>
      <c r="L600" s="40"/>
      <c r="M600" s="40"/>
      <c r="N600" s="47"/>
      <c r="O600" s="40"/>
      <c r="P600" s="40"/>
      <c r="Q600" s="40"/>
      <c r="R600" s="55"/>
      <c r="S600" s="41"/>
      <c r="T600" s="40"/>
    </row>
    <row r="601" spans="1:20" ht="24">
      <c r="A601" s="40" t="s">
        <v>655</v>
      </c>
      <c r="B601" s="40"/>
      <c r="C601" s="41"/>
      <c r="D601" s="40"/>
      <c r="E601" s="40" t="s">
        <v>3012</v>
      </c>
      <c r="F601" s="47">
        <f>LEN(G601)</f>
        <v>0</v>
      </c>
      <c r="G601" s="40"/>
      <c r="H601" s="40"/>
      <c r="I601" s="40"/>
      <c r="J601" s="40"/>
      <c r="K601" s="40"/>
      <c r="L601" s="40"/>
      <c r="M601" s="40"/>
      <c r="N601" s="47"/>
      <c r="O601" s="40"/>
      <c r="P601" s="40"/>
      <c r="Q601" s="40"/>
      <c r="R601" s="55"/>
      <c r="S601" s="41"/>
      <c r="T601" s="40"/>
    </row>
    <row r="602" spans="1:20" ht="24">
      <c r="A602" s="40" t="s">
        <v>655</v>
      </c>
      <c r="B602" s="40"/>
      <c r="C602" s="41"/>
      <c r="D602" s="40"/>
      <c r="E602" s="40" t="s">
        <v>3012</v>
      </c>
      <c r="F602" s="47">
        <f>LEN(G602)</f>
        <v>0</v>
      </c>
      <c r="G602" s="40"/>
      <c r="H602" s="40"/>
      <c r="I602" s="40"/>
      <c r="J602" s="40"/>
      <c r="K602" s="40"/>
      <c r="L602" s="40"/>
      <c r="M602" s="40"/>
      <c r="N602" s="47"/>
      <c r="O602" s="40"/>
      <c r="P602" s="40"/>
      <c r="Q602" s="40"/>
      <c r="R602" s="55"/>
      <c r="S602" s="41"/>
      <c r="T602" s="40"/>
    </row>
    <row r="603" spans="1:20" ht="24">
      <c r="A603" s="40" t="s">
        <v>655</v>
      </c>
      <c r="B603" s="40"/>
      <c r="C603" s="41"/>
      <c r="D603" s="40"/>
      <c r="E603" s="40" t="s">
        <v>3012</v>
      </c>
      <c r="F603" s="47">
        <f>LEN(G603)</f>
        <v>0</v>
      </c>
      <c r="G603" s="40"/>
      <c r="H603" s="40"/>
      <c r="I603" s="40"/>
      <c r="J603" s="40"/>
      <c r="K603" s="40"/>
      <c r="L603" s="40"/>
      <c r="M603" s="40"/>
      <c r="N603" s="47"/>
      <c r="O603" s="40"/>
      <c r="P603" s="40"/>
      <c r="Q603" s="40"/>
      <c r="R603" s="55"/>
      <c r="S603" s="41"/>
      <c r="T603" s="40"/>
    </row>
    <row r="604" spans="1:20" ht="24">
      <c r="A604" s="40" t="s">
        <v>655</v>
      </c>
      <c r="B604" s="40"/>
      <c r="C604" s="41"/>
      <c r="D604" s="40"/>
      <c r="E604" s="40" t="s">
        <v>3012</v>
      </c>
      <c r="F604" s="47">
        <f>LEN(G604)</f>
        <v>0</v>
      </c>
      <c r="G604" s="40"/>
      <c r="H604" s="40"/>
      <c r="I604" s="40"/>
      <c r="J604" s="40"/>
      <c r="K604" s="40"/>
      <c r="L604" s="40"/>
      <c r="M604" s="40"/>
      <c r="N604" s="47"/>
      <c r="O604" s="40"/>
      <c r="P604" s="40"/>
      <c r="Q604" s="40"/>
      <c r="R604" s="55"/>
      <c r="S604" s="41"/>
      <c r="T604" s="40"/>
    </row>
    <row r="605" spans="1:20" ht="24">
      <c r="A605" s="40" t="s">
        <v>655</v>
      </c>
      <c r="B605" s="40"/>
      <c r="C605" s="41"/>
      <c r="D605" s="40"/>
      <c r="E605" s="40" t="s">
        <v>3012</v>
      </c>
      <c r="F605" s="47">
        <f>LEN(G605)</f>
        <v>0</v>
      </c>
      <c r="G605" s="40"/>
      <c r="H605" s="40"/>
      <c r="I605" s="40"/>
      <c r="J605" s="40"/>
      <c r="K605" s="40"/>
      <c r="L605" s="40"/>
      <c r="M605" s="40"/>
      <c r="N605" s="47"/>
      <c r="O605" s="40"/>
      <c r="P605" s="40"/>
      <c r="Q605" s="40"/>
      <c r="R605" s="55"/>
      <c r="S605" s="41"/>
      <c r="T605" s="40"/>
    </row>
    <row r="606" spans="1:20" ht="24">
      <c r="A606" s="40" t="s">
        <v>655</v>
      </c>
      <c r="B606" s="40"/>
      <c r="C606" s="41"/>
      <c r="D606" s="40"/>
      <c r="E606" s="40" t="s">
        <v>3012</v>
      </c>
      <c r="F606" s="47">
        <f>LEN(G606)</f>
        <v>0</v>
      </c>
      <c r="G606" s="40"/>
      <c r="H606" s="40"/>
      <c r="I606" s="40"/>
      <c r="J606" s="40"/>
      <c r="K606" s="40"/>
      <c r="L606" s="40"/>
      <c r="M606" s="40"/>
      <c r="N606" s="47"/>
      <c r="O606" s="40"/>
      <c r="P606" s="40"/>
      <c r="Q606" s="40"/>
      <c r="R606" s="55"/>
      <c r="S606" s="41"/>
      <c r="T606" s="40"/>
    </row>
    <row r="607" spans="1:20" ht="24">
      <c r="A607" s="40" t="s">
        <v>655</v>
      </c>
      <c r="B607" s="40"/>
      <c r="C607" s="41"/>
      <c r="D607" s="40"/>
      <c r="E607" s="40" t="s">
        <v>3012</v>
      </c>
      <c r="F607" s="47">
        <f>LEN(G607)</f>
        <v>0</v>
      </c>
      <c r="G607" s="40"/>
      <c r="H607" s="40"/>
      <c r="I607" s="40"/>
      <c r="J607" s="40"/>
      <c r="K607" s="40"/>
      <c r="L607" s="40"/>
      <c r="M607" s="40"/>
      <c r="N607" s="47"/>
      <c r="O607" s="40"/>
      <c r="P607" s="40"/>
      <c r="Q607" s="40"/>
      <c r="R607" s="55"/>
      <c r="S607" s="41"/>
      <c r="T607" s="40"/>
    </row>
    <row r="608" spans="1:20" ht="24">
      <c r="A608" s="40" t="s">
        <v>655</v>
      </c>
      <c r="B608" s="40"/>
      <c r="C608" s="41"/>
      <c r="D608" s="40"/>
      <c r="E608" s="40" t="s">
        <v>3012</v>
      </c>
      <c r="F608" s="47">
        <f>LEN(G608)</f>
        <v>0</v>
      </c>
      <c r="G608" s="40"/>
      <c r="H608" s="40"/>
      <c r="I608" s="40"/>
      <c r="J608" s="40"/>
      <c r="K608" s="40"/>
      <c r="L608" s="40"/>
      <c r="M608" s="40"/>
      <c r="N608" s="47"/>
      <c r="O608" s="40"/>
      <c r="P608" s="40"/>
      <c r="Q608" s="40"/>
      <c r="R608" s="55"/>
      <c r="S608" s="41"/>
      <c r="T608" s="40"/>
    </row>
    <row r="609" spans="1:20" ht="24">
      <c r="A609" s="40" t="s">
        <v>655</v>
      </c>
      <c r="B609" s="40"/>
      <c r="C609" s="41"/>
      <c r="D609" s="40"/>
      <c r="E609" s="40" t="s">
        <v>3012</v>
      </c>
      <c r="F609" s="47">
        <f>LEN(G609)</f>
        <v>0</v>
      </c>
      <c r="G609" s="40"/>
      <c r="H609" s="40"/>
      <c r="I609" s="40"/>
      <c r="J609" s="40"/>
      <c r="K609" s="40"/>
      <c r="L609" s="40"/>
      <c r="M609" s="40"/>
      <c r="N609" s="47"/>
      <c r="O609" s="40"/>
      <c r="P609" s="40"/>
      <c r="Q609" s="40"/>
      <c r="R609" s="55"/>
      <c r="S609" s="41"/>
      <c r="T609" s="40"/>
    </row>
    <row r="610" spans="1:20" ht="24">
      <c r="A610" s="40" t="s">
        <v>655</v>
      </c>
      <c r="B610" s="40"/>
      <c r="C610" s="41"/>
      <c r="D610" s="40"/>
      <c r="E610" s="40" t="s">
        <v>3012</v>
      </c>
      <c r="F610" s="47">
        <f>LEN(G610)</f>
        <v>0</v>
      </c>
      <c r="G610" s="40"/>
      <c r="H610" s="40"/>
      <c r="I610" s="40"/>
      <c r="J610" s="40"/>
      <c r="K610" s="40"/>
      <c r="L610" s="40"/>
      <c r="M610" s="40"/>
      <c r="N610" s="47"/>
      <c r="O610" s="40"/>
      <c r="P610" s="40"/>
      <c r="Q610" s="40"/>
      <c r="R610" s="55"/>
      <c r="S610" s="41"/>
      <c r="T610" s="40"/>
    </row>
    <row r="611" spans="1:20" ht="24">
      <c r="A611" s="40" t="s">
        <v>655</v>
      </c>
      <c r="B611" s="40"/>
      <c r="C611" s="41"/>
      <c r="D611" s="40"/>
      <c r="E611" s="40" t="s">
        <v>3012</v>
      </c>
      <c r="F611" s="47">
        <f>LEN(G611)</f>
        <v>0</v>
      </c>
      <c r="G611" s="40"/>
      <c r="H611" s="40"/>
      <c r="I611" s="40"/>
      <c r="J611" s="40"/>
      <c r="K611" s="40"/>
      <c r="L611" s="40"/>
      <c r="M611" s="40"/>
      <c r="N611" s="47"/>
      <c r="O611" s="40"/>
      <c r="P611" s="40"/>
      <c r="Q611" s="40"/>
      <c r="R611" s="55"/>
      <c r="S611" s="41"/>
      <c r="T611" s="40"/>
    </row>
    <row r="612" spans="1:20" ht="24">
      <c r="A612" s="40" t="s">
        <v>655</v>
      </c>
      <c r="B612" s="40"/>
      <c r="C612" s="41"/>
      <c r="D612" s="40"/>
      <c r="E612" s="40" t="s">
        <v>3012</v>
      </c>
      <c r="F612" s="47">
        <f>LEN(G612)</f>
        <v>0</v>
      </c>
      <c r="G612" s="40"/>
      <c r="H612" s="40"/>
      <c r="I612" s="40"/>
      <c r="J612" s="40"/>
      <c r="K612" s="40"/>
      <c r="L612" s="40"/>
      <c r="M612" s="40"/>
      <c r="N612" s="47"/>
      <c r="O612" s="40"/>
      <c r="P612" s="40"/>
      <c r="Q612" s="40"/>
      <c r="R612" s="55"/>
      <c r="S612" s="41"/>
      <c r="T612" s="40"/>
    </row>
    <row r="613" spans="1:20" ht="24">
      <c r="A613" s="40" t="s">
        <v>655</v>
      </c>
      <c r="B613" s="40"/>
      <c r="C613" s="41"/>
      <c r="D613" s="40"/>
      <c r="E613" s="40" t="s">
        <v>3012</v>
      </c>
      <c r="F613" s="47">
        <f>LEN(G613)</f>
        <v>0</v>
      </c>
      <c r="G613" s="40"/>
      <c r="H613" s="40"/>
      <c r="I613" s="40"/>
      <c r="J613" s="40"/>
      <c r="K613" s="40"/>
      <c r="L613" s="40"/>
      <c r="M613" s="40"/>
      <c r="N613" s="47"/>
      <c r="O613" s="40"/>
      <c r="P613" s="40"/>
      <c r="Q613" s="40"/>
      <c r="R613" s="55"/>
      <c r="S613" s="41"/>
      <c r="T613" s="40"/>
    </row>
    <row r="614" spans="1:20" ht="24">
      <c r="A614" s="40" t="s">
        <v>655</v>
      </c>
      <c r="B614" s="40"/>
      <c r="C614" s="41"/>
      <c r="D614" s="40"/>
      <c r="E614" s="40" t="s">
        <v>3012</v>
      </c>
      <c r="F614" s="47">
        <f>LEN(G614)</f>
        <v>0</v>
      </c>
      <c r="G614" s="40"/>
      <c r="H614" s="40"/>
      <c r="I614" s="40"/>
      <c r="J614" s="40"/>
      <c r="K614" s="40"/>
      <c r="L614" s="40"/>
      <c r="M614" s="40"/>
      <c r="N614" s="47"/>
      <c r="O614" s="40"/>
      <c r="P614" s="40"/>
      <c r="Q614" s="40"/>
      <c r="R614" s="55"/>
      <c r="S614" s="41"/>
      <c r="T614" s="40"/>
    </row>
    <row r="615" spans="1:20" ht="24">
      <c r="A615" s="40" t="s">
        <v>655</v>
      </c>
      <c r="B615" s="40"/>
      <c r="C615" s="41"/>
      <c r="D615" s="40"/>
      <c r="E615" s="40" t="s">
        <v>3012</v>
      </c>
      <c r="F615" s="47">
        <f>LEN(G615)</f>
        <v>0</v>
      </c>
      <c r="G615" s="40"/>
      <c r="H615" s="40"/>
      <c r="I615" s="40"/>
      <c r="J615" s="40"/>
      <c r="K615" s="40"/>
      <c r="L615" s="40"/>
      <c r="M615" s="40"/>
      <c r="N615" s="47"/>
      <c r="O615" s="40"/>
      <c r="P615" s="40"/>
      <c r="Q615" s="40"/>
      <c r="R615" s="55"/>
      <c r="S615" s="41"/>
      <c r="T615" s="40"/>
    </row>
    <row r="616" spans="1:20" ht="24">
      <c r="A616" s="40" t="s">
        <v>655</v>
      </c>
      <c r="B616" s="40"/>
      <c r="C616" s="41"/>
      <c r="D616" s="40"/>
      <c r="E616" s="40" t="s">
        <v>3012</v>
      </c>
      <c r="F616" s="47">
        <f>LEN(G616)</f>
        <v>0</v>
      </c>
      <c r="G616" s="40"/>
      <c r="H616" s="40"/>
      <c r="I616" s="40"/>
      <c r="J616" s="40"/>
      <c r="K616" s="40"/>
      <c r="L616" s="40"/>
      <c r="M616" s="40"/>
      <c r="N616" s="47"/>
      <c r="O616" s="40"/>
      <c r="P616" s="40"/>
      <c r="Q616" s="40"/>
      <c r="R616" s="55"/>
      <c r="S616" s="41"/>
      <c r="T616" s="40"/>
    </row>
    <row r="617" spans="1:20" ht="24">
      <c r="A617" s="40" t="s">
        <v>655</v>
      </c>
      <c r="B617" s="40"/>
      <c r="C617" s="41"/>
      <c r="D617" s="40"/>
      <c r="E617" s="40" t="s">
        <v>3012</v>
      </c>
      <c r="F617" s="47">
        <f>LEN(G617)</f>
        <v>0</v>
      </c>
      <c r="G617" s="40"/>
      <c r="H617" s="40"/>
      <c r="I617" s="40"/>
      <c r="J617" s="40"/>
      <c r="K617" s="40"/>
      <c r="L617" s="40"/>
      <c r="M617" s="40"/>
      <c r="N617" s="47"/>
      <c r="O617" s="40"/>
      <c r="P617" s="40"/>
      <c r="Q617" s="40"/>
      <c r="R617" s="55"/>
      <c r="S617" s="41"/>
      <c r="T617" s="40"/>
    </row>
    <row r="618" spans="1:20" ht="24">
      <c r="A618" s="40" t="s">
        <v>655</v>
      </c>
      <c r="B618" s="40"/>
      <c r="C618" s="41"/>
      <c r="D618" s="40"/>
      <c r="E618" s="40" t="s">
        <v>3012</v>
      </c>
      <c r="F618" s="47">
        <f>LEN(G618)</f>
        <v>0</v>
      </c>
      <c r="G618" s="40"/>
      <c r="H618" s="40"/>
      <c r="I618" s="40"/>
      <c r="J618" s="40"/>
      <c r="K618" s="40"/>
      <c r="L618" s="40"/>
      <c r="M618" s="40"/>
      <c r="N618" s="47"/>
      <c r="O618" s="40"/>
      <c r="P618" s="40"/>
      <c r="Q618" s="40"/>
      <c r="R618" s="55"/>
      <c r="S618" s="41"/>
      <c r="T618" s="40"/>
    </row>
    <row r="619" spans="1:20" ht="24">
      <c r="A619" s="40" t="s">
        <v>655</v>
      </c>
      <c r="B619" s="40"/>
      <c r="C619" s="41"/>
      <c r="D619" s="40"/>
      <c r="E619" s="40" t="s">
        <v>3012</v>
      </c>
      <c r="F619" s="47">
        <f>LEN(G619)</f>
        <v>0</v>
      </c>
      <c r="G619" s="40"/>
      <c r="H619" s="40"/>
      <c r="I619" s="40"/>
      <c r="J619" s="40"/>
      <c r="K619" s="40"/>
      <c r="L619" s="40"/>
      <c r="M619" s="40"/>
      <c r="N619" s="47"/>
      <c r="O619" s="40"/>
      <c r="P619" s="40"/>
      <c r="Q619" s="40"/>
      <c r="R619" s="55"/>
      <c r="S619" s="41"/>
      <c r="T619" s="40"/>
    </row>
    <row r="620" spans="1:20" ht="24">
      <c r="A620" s="40" t="s">
        <v>655</v>
      </c>
      <c r="B620" s="40"/>
      <c r="C620" s="41"/>
      <c r="D620" s="40"/>
      <c r="E620" s="40" t="s">
        <v>3012</v>
      </c>
      <c r="F620" s="47">
        <f>LEN(G620)</f>
        <v>0</v>
      </c>
      <c r="G620" s="40"/>
      <c r="H620" s="40"/>
      <c r="I620" s="40"/>
      <c r="J620" s="40"/>
      <c r="K620" s="40"/>
      <c r="L620" s="40"/>
      <c r="M620" s="40"/>
      <c r="N620" s="47"/>
      <c r="O620" s="40"/>
      <c r="P620" s="40"/>
      <c r="Q620" s="40"/>
      <c r="R620" s="55"/>
      <c r="S620" s="41"/>
      <c r="T620" s="40"/>
    </row>
    <row r="621" spans="1:20" ht="24">
      <c r="A621" s="40" t="s">
        <v>655</v>
      </c>
      <c r="B621" s="40"/>
      <c r="C621" s="41"/>
      <c r="D621" s="40"/>
      <c r="E621" s="40" t="s">
        <v>3012</v>
      </c>
      <c r="F621" s="47">
        <f>LEN(G621)</f>
        <v>0</v>
      </c>
      <c r="G621" s="40"/>
      <c r="H621" s="40"/>
      <c r="I621" s="40"/>
      <c r="J621" s="40"/>
      <c r="K621" s="40"/>
      <c r="L621" s="40"/>
      <c r="M621" s="40"/>
      <c r="N621" s="47"/>
      <c r="O621" s="40"/>
      <c r="P621" s="40"/>
      <c r="Q621" s="40"/>
      <c r="R621" s="55"/>
      <c r="S621" s="41"/>
      <c r="T621" s="40"/>
    </row>
    <row r="622" spans="1:20" ht="24">
      <c r="A622" s="40" t="s">
        <v>655</v>
      </c>
      <c r="B622" s="40"/>
      <c r="C622" s="41"/>
      <c r="D622" s="40"/>
      <c r="E622" s="40" t="s">
        <v>3012</v>
      </c>
      <c r="F622" s="47">
        <f>LEN(G622)</f>
        <v>0</v>
      </c>
      <c r="G622" s="40"/>
      <c r="H622" s="40"/>
      <c r="I622" s="40"/>
      <c r="J622" s="40"/>
      <c r="K622" s="40"/>
      <c r="L622" s="40"/>
      <c r="M622" s="40"/>
      <c r="N622" s="47"/>
      <c r="O622" s="40"/>
      <c r="P622" s="40"/>
      <c r="Q622" s="40"/>
      <c r="R622" s="55"/>
      <c r="S622" s="41"/>
      <c r="T622" s="40"/>
    </row>
    <row r="623" spans="1:20" ht="24">
      <c r="A623" s="40" t="s">
        <v>655</v>
      </c>
      <c r="B623" s="40"/>
      <c r="C623" s="41"/>
      <c r="D623" s="40"/>
      <c r="E623" s="40" t="s">
        <v>3012</v>
      </c>
      <c r="F623" s="47">
        <f>LEN(G623)</f>
        <v>0</v>
      </c>
      <c r="G623" s="40"/>
      <c r="H623" s="40"/>
      <c r="I623" s="40"/>
      <c r="J623" s="40"/>
      <c r="K623" s="40"/>
      <c r="L623" s="40"/>
      <c r="M623" s="40"/>
      <c r="N623" s="47"/>
      <c r="O623" s="40"/>
      <c r="P623" s="40"/>
      <c r="Q623" s="40"/>
      <c r="R623" s="55"/>
      <c r="S623" s="41"/>
      <c r="T623" s="40"/>
    </row>
    <row r="624" spans="1:20" ht="24">
      <c r="A624" s="40" t="s">
        <v>655</v>
      </c>
      <c r="B624" s="40"/>
      <c r="C624" s="41"/>
      <c r="D624" s="40"/>
      <c r="E624" s="40" t="s">
        <v>3012</v>
      </c>
      <c r="F624" s="47">
        <f>LEN(G624)</f>
        <v>0</v>
      </c>
      <c r="G624" s="40"/>
      <c r="H624" s="40"/>
      <c r="I624" s="40"/>
      <c r="J624" s="40"/>
      <c r="K624" s="40"/>
      <c r="L624" s="40"/>
      <c r="M624" s="40"/>
      <c r="N624" s="47"/>
      <c r="O624" s="40"/>
      <c r="P624" s="40"/>
      <c r="Q624" s="40"/>
      <c r="R624" s="55"/>
      <c r="S624" s="41"/>
      <c r="T624" s="40"/>
    </row>
    <row r="625" spans="1:20" ht="24">
      <c r="A625" s="40" t="s">
        <v>655</v>
      </c>
      <c r="B625" s="40"/>
      <c r="C625" s="41"/>
      <c r="D625" s="40"/>
      <c r="E625" s="40" t="s">
        <v>3012</v>
      </c>
      <c r="F625" s="47">
        <f>LEN(G625)</f>
        <v>0</v>
      </c>
      <c r="G625" s="40"/>
      <c r="H625" s="40"/>
      <c r="I625" s="40"/>
      <c r="J625" s="40"/>
      <c r="K625" s="40"/>
      <c r="L625" s="40"/>
      <c r="M625" s="40"/>
      <c r="N625" s="47"/>
      <c r="O625" s="40"/>
      <c r="P625" s="40"/>
      <c r="Q625" s="40"/>
      <c r="R625" s="55"/>
      <c r="S625" s="41"/>
      <c r="T625" s="40"/>
    </row>
    <row r="626" spans="1:20" ht="24">
      <c r="A626" s="40" t="s">
        <v>655</v>
      </c>
      <c r="B626" s="40"/>
      <c r="C626" s="41"/>
      <c r="D626" s="40"/>
      <c r="E626" s="40" t="s">
        <v>3012</v>
      </c>
      <c r="F626" s="47">
        <f>LEN(G626)</f>
        <v>0</v>
      </c>
      <c r="G626" s="40"/>
      <c r="H626" s="40"/>
      <c r="I626" s="40"/>
      <c r="J626" s="40"/>
      <c r="K626" s="40"/>
      <c r="L626" s="40"/>
      <c r="M626" s="40"/>
      <c r="N626" s="47"/>
      <c r="O626" s="40"/>
      <c r="P626" s="40"/>
      <c r="Q626" s="40"/>
      <c r="R626" s="55"/>
      <c r="S626" s="41"/>
      <c r="T626" s="40"/>
    </row>
    <row r="627" spans="1:20" ht="24">
      <c r="A627" s="40" t="s">
        <v>655</v>
      </c>
      <c r="B627" s="40"/>
      <c r="C627" s="41"/>
      <c r="D627" s="40"/>
      <c r="E627" s="40" t="s">
        <v>3012</v>
      </c>
      <c r="F627" s="47">
        <f>LEN(G627)</f>
        <v>0</v>
      </c>
      <c r="G627" s="40"/>
      <c r="H627" s="40"/>
      <c r="I627" s="40"/>
      <c r="J627" s="40"/>
      <c r="K627" s="40"/>
      <c r="L627" s="40"/>
      <c r="M627" s="40"/>
      <c r="N627" s="47"/>
      <c r="O627" s="40"/>
      <c r="P627" s="40"/>
      <c r="Q627" s="40"/>
      <c r="R627" s="55"/>
      <c r="S627" s="41"/>
      <c r="T627" s="40"/>
    </row>
    <row r="628" spans="1:20" ht="24">
      <c r="A628" s="40" t="s">
        <v>655</v>
      </c>
      <c r="B628" s="40"/>
      <c r="C628" s="41"/>
      <c r="D628" s="40"/>
      <c r="E628" s="40" t="s">
        <v>3012</v>
      </c>
      <c r="F628" s="47">
        <f>LEN(G628)</f>
        <v>0</v>
      </c>
      <c r="G628" s="40"/>
      <c r="H628" s="40"/>
      <c r="I628" s="40"/>
      <c r="J628" s="40"/>
      <c r="K628" s="40"/>
      <c r="L628" s="40"/>
      <c r="M628" s="40"/>
      <c r="N628" s="47"/>
      <c r="O628" s="40"/>
      <c r="P628" s="40"/>
      <c r="Q628" s="40"/>
      <c r="R628" s="55"/>
      <c r="S628" s="41"/>
      <c r="T628" s="40"/>
    </row>
    <row r="629" spans="1:20" ht="24">
      <c r="A629" s="40" t="s">
        <v>655</v>
      </c>
      <c r="B629" s="40"/>
      <c r="C629" s="41"/>
      <c r="D629" s="40"/>
      <c r="E629" s="40" t="s">
        <v>3012</v>
      </c>
      <c r="F629" s="47">
        <f>LEN(G629)</f>
        <v>0</v>
      </c>
      <c r="G629" s="40"/>
      <c r="H629" s="40"/>
      <c r="I629" s="40"/>
      <c r="J629" s="40"/>
      <c r="K629" s="40"/>
      <c r="L629" s="40"/>
      <c r="M629" s="40"/>
      <c r="N629" s="47"/>
      <c r="O629" s="40"/>
      <c r="P629" s="40"/>
      <c r="Q629" s="40"/>
      <c r="R629" s="55"/>
      <c r="S629" s="41"/>
      <c r="T629" s="40"/>
    </row>
    <row r="630" spans="1:20" ht="24">
      <c r="A630" s="40" t="s">
        <v>655</v>
      </c>
      <c r="B630" s="40"/>
      <c r="C630" s="41"/>
      <c r="D630" s="40"/>
      <c r="E630" s="40" t="s">
        <v>3012</v>
      </c>
      <c r="F630" s="47">
        <f>LEN(G630)</f>
        <v>0</v>
      </c>
      <c r="G630" s="40"/>
      <c r="H630" s="40"/>
      <c r="I630" s="40"/>
      <c r="J630" s="40"/>
      <c r="K630" s="40"/>
      <c r="L630" s="40"/>
      <c r="M630" s="40"/>
      <c r="N630" s="47"/>
      <c r="O630" s="40"/>
      <c r="P630" s="40"/>
      <c r="Q630" s="40"/>
      <c r="R630" s="55"/>
      <c r="S630" s="41"/>
      <c r="T630" s="40"/>
    </row>
    <row r="631" spans="1:20" ht="24">
      <c r="A631" s="40" t="s">
        <v>655</v>
      </c>
      <c r="B631" s="40"/>
      <c r="C631" s="41"/>
      <c r="D631" s="40"/>
      <c r="E631" s="40" t="s">
        <v>3012</v>
      </c>
      <c r="F631" s="47">
        <f>LEN(G631)</f>
        <v>0</v>
      </c>
      <c r="G631" s="40"/>
      <c r="H631" s="40"/>
      <c r="I631" s="40"/>
      <c r="J631" s="40"/>
      <c r="K631" s="40"/>
      <c r="L631" s="40"/>
      <c r="M631" s="40"/>
      <c r="N631" s="47"/>
      <c r="O631" s="40"/>
      <c r="P631" s="40"/>
      <c r="Q631" s="40"/>
      <c r="R631" s="55"/>
      <c r="S631" s="41"/>
      <c r="T631" s="40"/>
    </row>
    <row r="632" spans="1:20" ht="24">
      <c r="A632" s="40" t="s">
        <v>655</v>
      </c>
      <c r="B632" s="40"/>
      <c r="C632" s="41"/>
      <c r="D632" s="40"/>
      <c r="E632" s="40" t="s">
        <v>3012</v>
      </c>
      <c r="F632" s="47">
        <f>LEN(G632)</f>
        <v>0</v>
      </c>
      <c r="G632" s="40"/>
      <c r="H632" s="40"/>
      <c r="I632" s="40"/>
      <c r="J632" s="40"/>
      <c r="K632" s="40"/>
      <c r="L632" s="40"/>
      <c r="M632" s="40"/>
      <c r="N632" s="47"/>
      <c r="O632" s="40"/>
      <c r="P632" s="40"/>
      <c r="Q632" s="40"/>
      <c r="R632" s="55"/>
      <c r="S632" s="41"/>
      <c r="T632" s="40"/>
    </row>
    <row r="633" spans="1:20" ht="24">
      <c r="A633" s="40" t="s">
        <v>655</v>
      </c>
      <c r="B633" s="40"/>
      <c r="C633" s="41"/>
      <c r="D633" s="40"/>
      <c r="E633" s="40" t="s">
        <v>3012</v>
      </c>
      <c r="F633" s="47">
        <f>LEN(G633)</f>
        <v>0</v>
      </c>
      <c r="G633" s="40"/>
      <c r="H633" s="40"/>
      <c r="I633" s="40"/>
      <c r="J633" s="40"/>
      <c r="K633" s="40"/>
      <c r="L633" s="40"/>
      <c r="M633" s="40"/>
      <c r="N633" s="47"/>
      <c r="O633" s="40"/>
      <c r="P633" s="40"/>
      <c r="Q633" s="40"/>
      <c r="R633" s="55"/>
      <c r="S633" s="41"/>
      <c r="T633" s="40"/>
    </row>
    <row r="634" spans="1:20" ht="24">
      <c r="A634" s="40" t="s">
        <v>655</v>
      </c>
      <c r="B634" s="40"/>
      <c r="C634" s="41"/>
      <c r="D634" s="40"/>
      <c r="E634" s="40" t="s">
        <v>3012</v>
      </c>
      <c r="F634" s="47">
        <f>LEN(G634)</f>
        <v>0</v>
      </c>
      <c r="G634" s="40"/>
      <c r="H634" s="40"/>
      <c r="I634" s="40"/>
      <c r="J634" s="40"/>
      <c r="K634" s="40"/>
      <c r="L634" s="40"/>
      <c r="M634" s="40"/>
      <c r="N634" s="47"/>
      <c r="O634" s="40"/>
      <c r="P634" s="40"/>
      <c r="Q634" s="40"/>
      <c r="R634" s="55"/>
      <c r="S634" s="41"/>
      <c r="T634" s="40"/>
    </row>
    <row r="635" spans="1:20" ht="24">
      <c r="A635" s="40" t="s">
        <v>655</v>
      </c>
      <c r="B635" s="40"/>
      <c r="C635" s="41"/>
      <c r="D635" s="40"/>
      <c r="E635" s="40" t="s">
        <v>3012</v>
      </c>
      <c r="F635" s="47">
        <f>LEN(G635)</f>
        <v>0</v>
      </c>
      <c r="G635" s="40"/>
      <c r="H635" s="40"/>
      <c r="I635" s="40"/>
      <c r="J635" s="40"/>
      <c r="K635" s="40"/>
      <c r="L635" s="40"/>
      <c r="M635" s="40"/>
      <c r="N635" s="47"/>
      <c r="O635" s="40"/>
      <c r="P635" s="40"/>
      <c r="Q635" s="40"/>
      <c r="R635" s="55"/>
      <c r="S635" s="41"/>
      <c r="T635" s="40"/>
    </row>
    <row r="636" spans="1:20" ht="24">
      <c r="A636" s="40" t="s">
        <v>655</v>
      </c>
      <c r="B636" s="40"/>
      <c r="C636" s="41"/>
      <c r="D636" s="40"/>
      <c r="E636" s="40" t="s">
        <v>3012</v>
      </c>
      <c r="F636" s="47">
        <f>LEN(G636)</f>
        <v>0</v>
      </c>
      <c r="G636" s="40"/>
      <c r="H636" s="40"/>
      <c r="I636" s="40"/>
      <c r="J636" s="40"/>
      <c r="K636" s="40"/>
      <c r="L636" s="40"/>
      <c r="M636" s="40"/>
      <c r="N636" s="47"/>
      <c r="O636" s="40"/>
      <c r="P636" s="40"/>
      <c r="Q636" s="40"/>
      <c r="R636" s="55"/>
      <c r="S636" s="41"/>
      <c r="T636" s="40"/>
    </row>
    <row r="637" spans="1:20" ht="24">
      <c r="A637" s="40" t="s">
        <v>655</v>
      </c>
      <c r="B637" s="40"/>
      <c r="C637" s="41"/>
      <c r="D637" s="40"/>
      <c r="E637" s="40" t="s">
        <v>3012</v>
      </c>
      <c r="F637" s="47">
        <f>LEN(G637)</f>
        <v>0</v>
      </c>
      <c r="G637" s="40"/>
      <c r="H637" s="40"/>
      <c r="I637" s="40"/>
      <c r="J637" s="40"/>
      <c r="K637" s="40"/>
      <c r="L637" s="40"/>
      <c r="M637" s="40"/>
      <c r="N637" s="47"/>
      <c r="O637" s="40"/>
      <c r="P637" s="40"/>
      <c r="Q637" s="40"/>
      <c r="R637" s="55"/>
      <c r="S637" s="41"/>
      <c r="T637" s="40"/>
    </row>
    <row r="638" spans="1:20" ht="24">
      <c r="A638" s="40" t="s">
        <v>655</v>
      </c>
      <c r="B638" s="40"/>
      <c r="C638" s="41"/>
      <c r="D638" s="40"/>
      <c r="E638" s="40" t="s">
        <v>3012</v>
      </c>
      <c r="F638" s="47">
        <f>LEN(G638)</f>
        <v>0</v>
      </c>
      <c r="G638" s="40"/>
      <c r="H638" s="40"/>
      <c r="I638" s="40"/>
      <c r="J638" s="40"/>
      <c r="K638" s="40"/>
      <c r="L638" s="40"/>
      <c r="M638" s="40"/>
      <c r="N638" s="47"/>
      <c r="O638" s="40"/>
      <c r="P638" s="40"/>
      <c r="Q638" s="40"/>
      <c r="R638" s="55"/>
      <c r="S638" s="41"/>
      <c r="T638" s="40"/>
    </row>
    <row r="639" spans="1:20" ht="24">
      <c r="A639" s="40" t="s">
        <v>655</v>
      </c>
      <c r="B639" s="40"/>
      <c r="C639" s="41"/>
      <c r="D639" s="40"/>
      <c r="E639" s="40" t="s">
        <v>3012</v>
      </c>
      <c r="F639" s="47">
        <f>LEN(G639)</f>
        <v>0</v>
      </c>
      <c r="G639" s="40"/>
      <c r="H639" s="40"/>
      <c r="I639" s="40"/>
      <c r="J639" s="40"/>
      <c r="K639" s="40"/>
      <c r="L639" s="40"/>
      <c r="M639" s="40"/>
      <c r="N639" s="47"/>
      <c r="O639" s="40"/>
      <c r="P639" s="40"/>
      <c r="Q639" s="40"/>
      <c r="R639" s="55"/>
      <c r="S639" s="41"/>
      <c r="T639" s="40"/>
    </row>
    <row r="640" spans="1:20" ht="24">
      <c r="A640" s="40" t="s">
        <v>655</v>
      </c>
      <c r="B640" s="40"/>
      <c r="C640" s="41"/>
      <c r="D640" s="40"/>
      <c r="E640" s="40" t="s">
        <v>3012</v>
      </c>
      <c r="F640" s="47">
        <f>LEN(G640)</f>
        <v>0</v>
      </c>
      <c r="G640" s="40"/>
      <c r="H640" s="40"/>
      <c r="I640" s="40"/>
      <c r="J640" s="40"/>
      <c r="K640" s="40"/>
      <c r="L640" s="40"/>
      <c r="M640" s="40"/>
      <c r="N640" s="47"/>
      <c r="O640" s="40"/>
      <c r="P640" s="40"/>
      <c r="Q640" s="40"/>
      <c r="R640" s="55"/>
      <c r="S640" s="41"/>
      <c r="T640" s="40"/>
    </row>
    <row r="641" spans="1:20" ht="24">
      <c r="A641" s="40" t="s">
        <v>655</v>
      </c>
      <c r="B641" s="40"/>
      <c r="C641" s="41"/>
      <c r="D641" s="40"/>
      <c r="E641" s="40" t="s">
        <v>3012</v>
      </c>
      <c r="F641" s="47">
        <f>LEN(G641)</f>
        <v>0</v>
      </c>
      <c r="G641" s="40"/>
      <c r="H641" s="40"/>
      <c r="I641" s="40"/>
      <c r="J641" s="40"/>
      <c r="K641" s="40"/>
      <c r="L641" s="40"/>
      <c r="M641" s="40"/>
      <c r="N641" s="47"/>
      <c r="O641" s="40"/>
      <c r="P641" s="40"/>
      <c r="Q641" s="40"/>
      <c r="R641" s="55"/>
      <c r="S641" s="41"/>
      <c r="T641" s="40"/>
    </row>
    <row r="642" spans="1:20" ht="24">
      <c r="A642" s="40" t="s">
        <v>655</v>
      </c>
      <c r="B642" s="40"/>
      <c r="C642" s="41"/>
      <c r="D642" s="40"/>
      <c r="E642" s="40" t="s">
        <v>3012</v>
      </c>
      <c r="F642" s="47">
        <f>LEN(G642)</f>
        <v>0</v>
      </c>
      <c r="G642" s="40"/>
      <c r="H642" s="40"/>
      <c r="I642" s="40"/>
      <c r="J642" s="40"/>
      <c r="K642" s="40"/>
      <c r="L642" s="40"/>
      <c r="M642" s="40"/>
      <c r="N642" s="47"/>
      <c r="O642" s="40"/>
      <c r="P642" s="40"/>
      <c r="Q642" s="40"/>
      <c r="R642" s="55"/>
      <c r="S642" s="41"/>
      <c r="T642" s="40"/>
    </row>
    <row r="643" spans="1:20" ht="24">
      <c r="A643" s="40" t="s">
        <v>655</v>
      </c>
      <c r="B643" s="40"/>
      <c r="C643" s="41"/>
      <c r="D643" s="40"/>
      <c r="E643" s="40" t="s">
        <v>3012</v>
      </c>
      <c r="F643" s="47">
        <f>LEN(G643)</f>
        <v>0</v>
      </c>
      <c r="G643" s="40"/>
      <c r="H643" s="40"/>
      <c r="I643" s="40"/>
      <c r="J643" s="40"/>
      <c r="K643" s="40"/>
      <c r="L643" s="40"/>
      <c r="M643" s="40"/>
      <c r="N643" s="47"/>
      <c r="O643" s="40"/>
      <c r="P643" s="40"/>
      <c r="Q643" s="40"/>
      <c r="R643" s="55"/>
      <c r="S643" s="41"/>
      <c r="T643" s="40"/>
    </row>
    <row r="644" spans="1:20" ht="24">
      <c r="A644" s="40" t="s">
        <v>655</v>
      </c>
      <c r="B644" s="40"/>
      <c r="C644" s="41"/>
      <c r="D644" s="40"/>
      <c r="E644" s="40" t="s">
        <v>3012</v>
      </c>
      <c r="F644" s="47">
        <f>LEN(G644)</f>
        <v>0</v>
      </c>
      <c r="G644" s="40"/>
      <c r="H644" s="40"/>
      <c r="I644" s="40"/>
      <c r="J644" s="40"/>
      <c r="K644" s="40"/>
      <c r="L644" s="40"/>
      <c r="M644" s="40"/>
      <c r="N644" s="47"/>
      <c r="O644" s="40"/>
      <c r="P644" s="40"/>
      <c r="Q644" s="40"/>
      <c r="R644" s="55"/>
      <c r="S644" s="41"/>
      <c r="T644" s="40"/>
    </row>
    <row r="645" spans="1:20" ht="24">
      <c r="A645" s="40" t="s">
        <v>655</v>
      </c>
      <c r="B645" s="40"/>
      <c r="C645" s="41"/>
      <c r="D645" s="40"/>
      <c r="E645" s="40" t="s">
        <v>3012</v>
      </c>
      <c r="F645" s="47">
        <f>LEN(G645)</f>
        <v>0</v>
      </c>
      <c r="G645" s="40"/>
      <c r="H645" s="40"/>
      <c r="I645" s="40"/>
      <c r="J645" s="40"/>
      <c r="K645" s="40"/>
      <c r="L645" s="40"/>
      <c r="M645" s="40"/>
      <c r="N645" s="47"/>
      <c r="O645" s="40"/>
      <c r="P645" s="40"/>
      <c r="Q645" s="40"/>
      <c r="R645" s="55"/>
      <c r="S645" s="41"/>
      <c r="T645" s="40"/>
    </row>
    <row r="646" spans="1:20" ht="24">
      <c r="A646" s="40" t="s">
        <v>655</v>
      </c>
      <c r="B646" s="40"/>
      <c r="C646" s="41"/>
      <c r="D646" s="40"/>
      <c r="E646" s="40" t="s">
        <v>3012</v>
      </c>
      <c r="F646" s="47">
        <f>LEN(G646)</f>
        <v>0</v>
      </c>
      <c r="G646" s="40"/>
      <c r="H646" s="40"/>
      <c r="I646" s="40"/>
      <c r="J646" s="40"/>
      <c r="K646" s="40"/>
      <c r="L646" s="40"/>
      <c r="M646" s="40"/>
      <c r="N646" s="47"/>
      <c r="O646" s="40"/>
      <c r="P646" s="40"/>
      <c r="Q646" s="40"/>
      <c r="R646" s="55"/>
      <c r="S646" s="41"/>
      <c r="T646" s="40"/>
    </row>
    <row r="647" spans="1:20" ht="24">
      <c r="A647" s="40" t="s">
        <v>655</v>
      </c>
      <c r="B647" s="40"/>
      <c r="C647" s="41"/>
      <c r="D647" s="40"/>
      <c r="E647" s="40" t="s">
        <v>3012</v>
      </c>
      <c r="F647" s="47">
        <f>LEN(G647)</f>
        <v>0</v>
      </c>
      <c r="G647" s="40"/>
      <c r="H647" s="40"/>
      <c r="I647" s="40"/>
      <c r="J647" s="40"/>
      <c r="K647" s="40"/>
      <c r="L647" s="40"/>
      <c r="M647" s="40"/>
      <c r="N647" s="47"/>
      <c r="O647" s="40"/>
      <c r="P647" s="40"/>
      <c r="Q647" s="40"/>
      <c r="R647" s="55"/>
      <c r="S647" s="41"/>
      <c r="T647" s="40"/>
    </row>
    <row r="648" spans="1:20" ht="24">
      <c r="A648" s="40" t="s">
        <v>655</v>
      </c>
      <c r="B648" s="40"/>
      <c r="C648" s="41"/>
      <c r="D648" s="40"/>
      <c r="E648" s="40" t="s">
        <v>3012</v>
      </c>
      <c r="F648" s="47">
        <f>LEN(G648)</f>
        <v>0</v>
      </c>
      <c r="G648" s="40"/>
      <c r="H648" s="40"/>
      <c r="I648" s="40"/>
      <c r="J648" s="40"/>
      <c r="K648" s="40"/>
      <c r="L648" s="40"/>
      <c r="M648" s="40"/>
      <c r="N648" s="47"/>
      <c r="O648" s="40"/>
      <c r="P648" s="40"/>
      <c r="Q648" s="40"/>
      <c r="R648" s="55"/>
      <c r="S648" s="41"/>
      <c r="T648" s="40"/>
    </row>
    <row r="649" spans="1:20" ht="24">
      <c r="A649" s="40" t="s">
        <v>655</v>
      </c>
      <c r="B649" s="40"/>
      <c r="C649" s="41"/>
      <c r="D649" s="40"/>
      <c r="E649" s="40" t="s">
        <v>3012</v>
      </c>
      <c r="F649" s="47">
        <f>LEN(G649)</f>
        <v>0</v>
      </c>
      <c r="G649" s="40"/>
      <c r="H649" s="40"/>
      <c r="I649" s="40"/>
      <c r="J649" s="40"/>
      <c r="K649" s="40"/>
      <c r="L649" s="40"/>
      <c r="M649" s="40"/>
      <c r="N649" s="47"/>
      <c r="O649" s="40"/>
      <c r="P649" s="40"/>
      <c r="Q649" s="40"/>
      <c r="R649" s="55"/>
      <c r="S649" s="41"/>
      <c r="T649" s="40"/>
    </row>
    <row r="650" spans="1:20" ht="24">
      <c r="A650" s="40" t="s">
        <v>655</v>
      </c>
      <c r="B650" s="40"/>
      <c r="C650" s="41"/>
      <c r="D650" s="40"/>
      <c r="E650" s="40" t="s">
        <v>3012</v>
      </c>
      <c r="F650" s="47">
        <f>LEN(G650)</f>
        <v>0</v>
      </c>
      <c r="G650" s="40"/>
      <c r="H650" s="40"/>
      <c r="I650" s="40"/>
      <c r="J650" s="40"/>
      <c r="K650" s="40"/>
      <c r="L650" s="40"/>
      <c r="M650" s="40"/>
      <c r="N650" s="47"/>
      <c r="O650" s="40"/>
      <c r="P650" s="40"/>
      <c r="Q650" s="40"/>
      <c r="R650" s="55"/>
      <c r="S650" s="41"/>
      <c r="T650" s="40"/>
    </row>
    <row r="651" spans="1:20" ht="24">
      <c r="A651" s="40" t="s">
        <v>655</v>
      </c>
      <c r="B651" s="40"/>
      <c r="C651" s="41"/>
      <c r="D651" s="40"/>
      <c r="E651" s="40" t="s">
        <v>3012</v>
      </c>
      <c r="F651" s="47">
        <f>LEN(G651)</f>
        <v>0</v>
      </c>
      <c r="G651" s="40"/>
      <c r="H651" s="40"/>
      <c r="I651" s="40"/>
      <c r="J651" s="40"/>
      <c r="K651" s="40"/>
      <c r="L651" s="40"/>
      <c r="M651" s="40"/>
      <c r="N651" s="47"/>
      <c r="O651" s="40"/>
      <c r="P651" s="40"/>
      <c r="Q651" s="40"/>
      <c r="R651" s="55"/>
      <c r="S651" s="41"/>
      <c r="T651" s="40"/>
    </row>
    <row r="652" spans="1:20" ht="24">
      <c r="A652" s="40" t="s">
        <v>655</v>
      </c>
      <c r="B652" s="40"/>
      <c r="C652" s="41"/>
      <c r="D652" s="40"/>
      <c r="E652" s="40" t="s">
        <v>3012</v>
      </c>
      <c r="F652" s="47">
        <f>LEN(G652)</f>
        <v>0</v>
      </c>
      <c r="G652" s="40"/>
      <c r="H652" s="40"/>
      <c r="I652" s="40"/>
      <c r="J652" s="40"/>
      <c r="K652" s="40"/>
      <c r="L652" s="40"/>
      <c r="M652" s="40"/>
      <c r="N652" s="47"/>
      <c r="O652" s="40"/>
      <c r="P652" s="40"/>
      <c r="Q652" s="40"/>
      <c r="R652" s="55"/>
      <c r="S652" s="41"/>
      <c r="T652" s="40"/>
    </row>
    <row r="653" spans="1:20" ht="24">
      <c r="A653" s="40" t="s">
        <v>655</v>
      </c>
      <c r="B653" s="40"/>
      <c r="C653" s="41"/>
      <c r="D653" s="40"/>
      <c r="E653" s="40" t="s">
        <v>3012</v>
      </c>
      <c r="F653" s="47">
        <f>LEN(G653)</f>
        <v>0</v>
      </c>
      <c r="G653" s="40"/>
      <c r="H653" s="40"/>
      <c r="I653" s="40"/>
      <c r="J653" s="40"/>
      <c r="K653" s="40"/>
      <c r="L653" s="40"/>
      <c r="M653" s="40"/>
      <c r="N653" s="47"/>
      <c r="O653" s="40"/>
      <c r="P653" s="40"/>
      <c r="Q653" s="40"/>
      <c r="R653" s="55"/>
      <c r="S653" s="41"/>
      <c r="T653" s="40"/>
    </row>
    <row r="654" spans="1:20" ht="24">
      <c r="A654" s="40" t="s">
        <v>655</v>
      </c>
      <c r="B654" s="40"/>
      <c r="C654" s="41"/>
      <c r="D654" s="40"/>
      <c r="E654" s="40" t="s">
        <v>3012</v>
      </c>
      <c r="F654" s="47">
        <f>LEN(G654)</f>
        <v>0</v>
      </c>
      <c r="G654" s="40"/>
      <c r="H654" s="40"/>
      <c r="I654" s="40"/>
      <c r="J654" s="40"/>
      <c r="K654" s="40"/>
      <c r="L654" s="40"/>
      <c r="M654" s="40"/>
      <c r="N654" s="47"/>
      <c r="O654" s="40"/>
      <c r="P654" s="40"/>
      <c r="Q654" s="40"/>
      <c r="R654" s="55"/>
      <c r="S654" s="41"/>
      <c r="T654" s="40"/>
    </row>
    <row r="655" spans="1:20" ht="24">
      <c r="A655" s="40" t="s">
        <v>655</v>
      </c>
      <c r="B655" s="40"/>
      <c r="C655" s="41"/>
      <c r="D655" s="40"/>
      <c r="E655" s="40" t="s">
        <v>3012</v>
      </c>
      <c r="F655" s="47">
        <f>LEN(G655)</f>
        <v>0</v>
      </c>
      <c r="G655" s="40"/>
      <c r="H655" s="40"/>
      <c r="I655" s="40"/>
      <c r="J655" s="40"/>
      <c r="K655" s="40"/>
      <c r="L655" s="40"/>
      <c r="M655" s="40"/>
      <c r="N655" s="47"/>
      <c r="O655" s="40"/>
      <c r="P655" s="40"/>
      <c r="Q655" s="40"/>
      <c r="R655" s="55"/>
      <c r="S655" s="41"/>
      <c r="T655" s="40"/>
    </row>
    <row r="656" spans="1:20" ht="24">
      <c r="A656" s="40" t="s">
        <v>655</v>
      </c>
      <c r="B656" s="40"/>
      <c r="C656" s="41"/>
      <c r="D656" s="40"/>
      <c r="E656" s="40" t="s">
        <v>3012</v>
      </c>
      <c r="F656" s="47">
        <f>LEN(G656)</f>
        <v>0</v>
      </c>
      <c r="G656" s="40"/>
      <c r="H656" s="40"/>
      <c r="I656" s="40"/>
      <c r="J656" s="40"/>
      <c r="K656" s="40"/>
      <c r="L656" s="40"/>
      <c r="M656" s="40"/>
      <c r="N656" s="47"/>
      <c r="O656" s="40"/>
      <c r="P656" s="40"/>
      <c r="Q656" s="40"/>
      <c r="R656" s="55"/>
      <c r="S656" s="41"/>
      <c r="T656" s="40"/>
    </row>
    <row r="657" spans="1:20" ht="24">
      <c r="A657" s="40" t="s">
        <v>655</v>
      </c>
      <c r="B657" s="40"/>
      <c r="C657" s="41"/>
      <c r="D657" s="40"/>
      <c r="E657" s="40" t="s">
        <v>3012</v>
      </c>
      <c r="F657" s="47">
        <f>LEN(G657)</f>
        <v>0</v>
      </c>
      <c r="G657" s="40"/>
      <c r="H657" s="40"/>
      <c r="I657" s="40"/>
      <c r="J657" s="40"/>
      <c r="K657" s="40"/>
      <c r="L657" s="40"/>
      <c r="M657" s="40"/>
      <c r="N657" s="47"/>
      <c r="O657" s="40"/>
      <c r="P657" s="40"/>
      <c r="Q657" s="40"/>
      <c r="R657" s="55"/>
      <c r="S657" s="41"/>
      <c r="T657" s="40"/>
    </row>
    <row r="658" spans="1:20" ht="24">
      <c r="A658" s="40" t="s">
        <v>655</v>
      </c>
      <c r="B658" s="40"/>
      <c r="C658" s="41"/>
      <c r="D658" s="40"/>
      <c r="E658" s="40" t="s">
        <v>3012</v>
      </c>
      <c r="F658" s="47">
        <f>LEN(G658)</f>
        <v>0</v>
      </c>
      <c r="G658" s="40"/>
      <c r="H658" s="40"/>
      <c r="I658" s="40"/>
      <c r="J658" s="40"/>
      <c r="K658" s="40"/>
      <c r="L658" s="40"/>
      <c r="M658" s="40"/>
      <c r="N658" s="47"/>
      <c r="O658" s="40"/>
      <c r="P658" s="40"/>
      <c r="Q658" s="40"/>
      <c r="R658" s="55"/>
      <c r="S658" s="41"/>
      <c r="T658" s="40"/>
    </row>
    <row r="659" spans="1:20" ht="24">
      <c r="A659" s="40" t="s">
        <v>655</v>
      </c>
      <c r="B659" s="40"/>
      <c r="C659" s="41"/>
      <c r="D659" s="40"/>
      <c r="E659" s="40" t="s">
        <v>3012</v>
      </c>
      <c r="F659" s="47">
        <f>LEN(G659)</f>
        <v>0</v>
      </c>
      <c r="G659" s="40"/>
      <c r="H659" s="40"/>
      <c r="I659" s="40"/>
      <c r="J659" s="40"/>
      <c r="K659" s="40"/>
      <c r="L659" s="40"/>
      <c r="M659" s="40"/>
      <c r="N659" s="47"/>
      <c r="O659" s="40"/>
      <c r="P659" s="40"/>
      <c r="Q659" s="40"/>
      <c r="R659" s="55"/>
      <c r="S659" s="41"/>
      <c r="T659" s="40"/>
    </row>
    <row r="660" spans="1:20" ht="24">
      <c r="A660" s="40" t="s">
        <v>655</v>
      </c>
      <c r="B660" s="40"/>
      <c r="C660" s="41"/>
      <c r="D660" s="40"/>
      <c r="E660" s="40" t="s">
        <v>3012</v>
      </c>
      <c r="F660" s="47">
        <f>LEN(G660)</f>
        <v>0</v>
      </c>
      <c r="G660" s="40"/>
      <c r="H660" s="40"/>
      <c r="I660" s="40"/>
      <c r="J660" s="40"/>
      <c r="K660" s="40"/>
      <c r="L660" s="40"/>
      <c r="M660" s="40"/>
      <c r="N660" s="47"/>
      <c r="O660" s="40"/>
      <c r="P660" s="40"/>
      <c r="Q660" s="40"/>
      <c r="R660" s="55"/>
      <c r="S660" s="41"/>
      <c r="T660" s="40"/>
    </row>
    <row r="661" spans="1:20" ht="24">
      <c r="A661" s="40" t="s">
        <v>655</v>
      </c>
      <c r="B661" s="40"/>
      <c r="C661" s="41"/>
      <c r="D661" s="40"/>
      <c r="E661" s="40" t="s">
        <v>3012</v>
      </c>
      <c r="F661" s="47">
        <f>LEN(G661)</f>
        <v>0</v>
      </c>
      <c r="G661" s="40"/>
      <c r="H661" s="40"/>
      <c r="I661" s="40"/>
      <c r="J661" s="40"/>
      <c r="K661" s="40"/>
      <c r="L661" s="40"/>
      <c r="M661" s="40"/>
      <c r="N661" s="47"/>
      <c r="O661" s="40"/>
      <c r="P661" s="40"/>
      <c r="Q661" s="40"/>
      <c r="R661" s="55"/>
      <c r="S661" s="41"/>
      <c r="T661" s="40"/>
    </row>
    <row r="662" spans="1:20" ht="24">
      <c r="A662" s="40" t="s">
        <v>655</v>
      </c>
      <c r="B662" s="40"/>
      <c r="C662" s="41"/>
      <c r="D662" s="40"/>
      <c r="E662" s="40" t="s">
        <v>3012</v>
      </c>
      <c r="F662" s="47">
        <f>LEN(G662)</f>
        <v>0</v>
      </c>
      <c r="G662" s="40"/>
      <c r="H662" s="40"/>
      <c r="I662" s="40"/>
      <c r="J662" s="40"/>
      <c r="K662" s="40"/>
      <c r="L662" s="40"/>
      <c r="M662" s="40"/>
      <c r="N662" s="47"/>
      <c r="O662" s="40"/>
      <c r="P662" s="40"/>
      <c r="Q662" s="40"/>
      <c r="R662" s="55"/>
      <c r="S662" s="41"/>
      <c r="T662" s="40"/>
    </row>
    <row r="663" spans="1:20" ht="24">
      <c r="A663" s="40" t="s">
        <v>655</v>
      </c>
      <c r="B663" s="40"/>
      <c r="C663" s="41"/>
      <c r="D663" s="40"/>
      <c r="E663" s="40" t="s">
        <v>3012</v>
      </c>
      <c r="F663" s="47">
        <f>LEN(G663)</f>
        <v>0</v>
      </c>
      <c r="G663" s="40"/>
      <c r="H663" s="40"/>
      <c r="I663" s="40"/>
      <c r="J663" s="40"/>
      <c r="K663" s="40"/>
      <c r="L663" s="40"/>
      <c r="M663" s="40"/>
      <c r="N663" s="47"/>
      <c r="O663" s="40"/>
      <c r="P663" s="40"/>
      <c r="Q663" s="40"/>
      <c r="R663" s="55"/>
      <c r="S663" s="41"/>
      <c r="T663" s="40"/>
    </row>
    <row r="664" spans="1:20" ht="24">
      <c r="A664" s="40" t="s">
        <v>655</v>
      </c>
      <c r="B664" s="40"/>
      <c r="C664" s="41"/>
      <c r="D664" s="40"/>
      <c r="E664" s="40" t="s">
        <v>3012</v>
      </c>
      <c r="F664" s="47">
        <f>LEN(G664)</f>
        <v>0</v>
      </c>
      <c r="G664" s="40"/>
      <c r="H664" s="40"/>
      <c r="I664" s="40"/>
      <c r="J664" s="40"/>
      <c r="K664" s="40"/>
      <c r="L664" s="40"/>
      <c r="M664" s="40"/>
      <c r="N664" s="47"/>
      <c r="O664" s="40"/>
      <c r="P664" s="40"/>
      <c r="Q664" s="40"/>
      <c r="R664" s="55"/>
      <c r="S664" s="41"/>
      <c r="T664" s="40"/>
    </row>
    <row r="665" spans="1:20" ht="24">
      <c r="A665" s="40" t="s">
        <v>655</v>
      </c>
      <c r="B665" s="40"/>
      <c r="C665" s="41"/>
      <c r="D665" s="40"/>
      <c r="E665" s="40" t="s">
        <v>3012</v>
      </c>
      <c r="F665" s="47">
        <f>LEN(G665)</f>
        <v>0</v>
      </c>
      <c r="G665" s="40"/>
      <c r="H665" s="40"/>
      <c r="I665" s="40"/>
      <c r="J665" s="40"/>
      <c r="K665" s="40"/>
      <c r="L665" s="40"/>
      <c r="M665" s="40"/>
      <c r="N665" s="47"/>
      <c r="O665" s="40"/>
      <c r="P665" s="40"/>
      <c r="Q665" s="40"/>
      <c r="R665" s="55"/>
      <c r="S665" s="41"/>
      <c r="T665" s="40"/>
    </row>
    <row r="666" spans="1:20" ht="24">
      <c r="A666" s="40" t="s">
        <v>655</v>
      </c>
      <c r="B666" s="40"/>
      <c r="C666" s="41"/>
      <c r="D666" s="40"/>
      <c r="E666" s="40" t="s">
        <v>3012</v>
      </c>
      <c r="F666" s="47">
        <f>LEN(G666)</f>
        <v>0</v>
      </c>
      <c r="G666" s="40"/>
      <c r="H666" s="40"/>
      <c r="I666" s="40"/>
      <c r="J666" s="40"/>
      <c r="K666" s="40"/>
      <c r="L666" s="40"/>
      <c r="M666" s="40"/>
      <c r="N666" s="47"/>
      <c r="O666" s="40"/>
      <c r="P666" s="40"/>
      <c r="Q666" s="40"/>
      <c r="R666" s="55"/>
      <c r="S666" s="41"/>
      <c r="T666" s="40"/>
    </row>
    <row r="667" spans="1:20" ht="24">
      <c r="A667" s="40" t="s">
        <v>655</v>
      </c>
      <c r="B667" s="40"/>
      <c r="C667" s="41"/>
      <c r="D667" s="40"/>
      <c r="E667" s="40" t="s">
        <v>3012</v>
      </c>
      <c r="F667" s="47">
        <f>LEN(G667)</f>
        <v>0</v>
      </c>
      <c r="G667" s="40"/>
      <c r="H667" s="40"/>
      <c r="I667" s="40"/>
      <c r="J667" s="40"/>
      <c r="K667" s="40"/>
      <c r="L667" s="40"/>
      <c r="M667" s="40"/>
      <c r="N667" s="47"/>
      <c r="O667" s="40"/>
      <c r="P667" s="40"/>
      <c r="Q667" s="40"/>
      <c r="R667" s="55"/>
      <c r="S667" s="41"/>
      <c r="T667" s="40"/>
    </row>
    <row r="668" spans="1:20" ht="24">
      <c r="A668" s="40" t="s">
        <v>655</v>
      </c>
      <c r="B668" s="40"/>
      <c r="C668" s="41"/>
      <c r="D668" s="40"/>
      <c r="E668" s="40" t="s">
        <v>3012</v>
      </c>
      <c r="F668" s="47">
        <f>LEN(G668)</f>
        <v>0</v>
      </c>
      <c r="G668" s="40"/>
      <c r="H668" s="40"/>
      <c r="I668" s="40"/>
      <c r="J668" s="40"/>
      <c r="K668" s="40"/>
      <c r="L668" s="40"/>
      <c r="M668" s="40"/>
      <c r="N668" s="47"/>
      <c r="O668" s="40"/>
      <c r="P668" s="40"/>
      <c r="Q668" s="40"/>
      <c r="R668" s="55"/>
      <c r="S668" s="41"/>
      <c r="T668" s="40"/>
    </row>
    <row r="669" spans="1:20" ht="24">
      <c r="A669" s="40" t="s">
        <v>655</v>
      </c>
      <c r="B669" s="40"/>
      <c r="C669" s="41"/>
      <c r="D669" s="40"/>
      <c r="E669" s="40" t="s">
        <v>3012</v>
      </c>
      <c r="F669" s="47">
        <f>LEN(G669)</f>
        <v>0</v>
      </c>
      <c r="G669" s="40"/>
      <c r="H669" s="40"/>
      <c r="I669" s="40"/>
      <c r="J669" s="40"/>
      <c r="K669" s="40"/>
      <c r="L669" s="40"/>
      <c r="M669" s="40"/>
      <c r="N669" s="47"/>
      <c r="O669" s="40"/>
      <c r="P669" s="40"/>
      <c r="Q669" s="40"/>
      <c r="R669" s="55"/>
      <c r="S669" s="41"/>
      <c r="T669" s="40"/>
    </row>
    <row r="670" spans="1:20" ht="24">
      <c r="A670" s="40" t="s">
        <v>655</v>
      </c>
      <c r="B670" s="40"/>
      <c r="C670" s="41"/>
      <c r="D670" s="40"/>
      <c r="E670" s="40" t="s">
        <v>3012</v>
      </c>
      <c r="F670" s="47">
        <f>LEN(G670)</f>
        <v>0</v>
      </c>
      <c r="G670" s="40"/>
      <c r="H670" s="40"/>
      <c r="I670" s="40"/>
      <c r="J670" s="40"/>
      <c r="K670" s="40"/>
      <c r="L670" s="40"/>
      <c r="M670" s="40"/>
      <c r="N670" s="47"/>
      <c r="O670" s="40"/>
      <c r="P670" s="40"/>
      <c r="Q670" s="40"/>
      <c r="R670" s="55"/>
      <c r="S670" s="41"/>
      <c r="T670" s="40"/>
    </row>
    <row r="671" spans="1:20" ht="24">
      <c r="A671" s="40" t="s">
        <v>655</v>
      </c>
      <c r="B671" s="40"/>
      <c r="C671" s="41"/>
      <c r="D671" s="40"/>
      <c r="E671" s="40" t="s">
        <v>3012</v>
      </c>
      <c r="F671" s="47">
        <f>LEN(G671)</f>
        <v>0</v>
      </c>
      <c r="G671" s="40"/>
      <c r="H671" s="40"/>
      <c r="I671" s="40"/>
      <c r="J671" s="40"/>
      <c r="K671" s="40"/>
      <c r="L671" s="40"/>
      <c r="M671" s="40"/>
      <c r="N671" s="47"/>
      <c r="O671" s="40"/>
      <c r="P671" s="40"/>
      <c r="Q671" s="40"/>
      <c r="R671" s="55"/>
      <c r="S671" s="41"/>
      <c r="T671" s="40"/>
    </row>
    <row r="672" spans="1:20" ht="24">
      <c r="A672" s="40" t="s">
        <v>655</v>
      </c>
      <c r="B672" s="40"/>
      <c r="C672" s="41"/>
      <c r="D672" s="40"/>
      <c r="E672" s="40" t="s">
        <v>3012</v>
      </c>
      <c r="F672" s="47">
        <f>LEN(G672)</f>
        <v>0</v>
      </c>
      <c r="G672" s="40"/>
      <c r="H672" s="40"/>
      <c r="I672" s="40"/>
      <c r="J672" s="40"/>
      <c r="K672" s="40"/>
      <c r="L672" s="40"/>
      <c r="M672" s="40"/>
      <c r="N672" s="47"/>
      <c r="O672" s="40"/>
      <c r="P672" s="40"/>
      <c r="Q672" s="40"/>
      <c r="R672" s="55"/>
      <c r="S672" s="41"/>
      <c r="T672" s="40"/>
    </row>
    <row r="673" spans="1:20" ht="24">
      <c r="A673" s="40" t="s">
        <v>655</v>
      </c>
      <c r="B673" s="40"/>
      <c r="C673" s="41"/>
      <c r="D673" s="40"/>
      <c r="E673" s="40" t="s">
        <v>3012</v>
      </c>
      <c r="F673" s="47">
        <f>LEN(G673)</f>
        <v>0</v>
      </c>
      <c r="G673" s="40"/>
      <c r="H673" s="40"/>
      <c r="I673" s="40"/>
      <c r="J673" s="40"/>
      <c r="K673" s="40"/>
      <c r="L673" s="40"/>
      <c r="M673" s="40"/>
      <c r="N673" s="47"/>
      <c r="O673" s="40"/>
      <c r="P673" s="40"/>
      <c r="Q673" s="40"/>
      <c r="R673" s="55"/>
      <c r="S673" s="41"/>
      <c r="T673" s="40"/>
    </row>
    <row r="674" spans="1:20" ht="24">
      <c r="A674" s="40" t="s">
        <v>655</v>
      </c>
      <c r="B674" s="40"/>
      <c r="C674" s="41"/>
      <c r="D674" s="40"/>
      <c r="E674" s="40" t="s">
        <v>3012</v>
      </c>
      <c r="F674" s="47">
        <f>LEN(G674)</f>
        <v>0</v>
      </c>
      <c r="G674" s="40"/>
      <c r="H674" s="40"/>
      <c r="I674" s="40"/>
      <c r="J674" s="40"/>
      <c r="K674" s="40"/>
      <c r="L674" s="40"/>
      <c r="M674" s="40"/>
      <c r="N674" s="47"/>
      <c r="O674" s="40"/>
      <c r="P674" s="40"/>
      <c r="Q674" s="40"/>
      <c r="R674" s="55"/>
      <c r="S674" s="41"/>
      <c r="T674" s="40"/>
    </row>
    <row r="675" spans="1:20" ht="24">
      <c r="A675" s="40" t="s">
        <v>655</v>
      </c>
      <c r="B675" s="40"/>
      <c r="C675" s="41"/>
      <c r="D675" s="40"/>
      <c r="E675" s="40" t="s">
        <v>3012</v>
      </c>
      <c r="F675" s="47">
        <f>LEN(G675)</f>
        <v>0</v>
      </c>
      <c r="G675" s="40"/>
      <c r="H675" s="40"/>
      <c r="I675" s="40"/>
      <c r="J675" s="40"/>
      <c r="K675" s="40"/>
      <c r="L675" s="40"/>
      <c r="M675" s="40"/>
      <c r="N675" s="47"/>
      <c r="O675" s="40"/>
      <c r="P675" s="40"/>
      <c r="Q675" s="40"/>
      <c r="R675" s="55"/>
      <c r="S675" s="41"/>
      <c r="T675" s="40"/>
    </row>
    <row r="676" spans="1:20" ht="24">
      <c r="A676" s="40" t="s">
        <v>655</v>
      </c>
      <c r="B676" s="40"/>
      <c r="C676" s="41"/>
      <c r="D676" s="40"/>
      <c r="E676" s="40" t="s">
        <v>3012</v>
      </c>
      <c r="F676" s="47">
        <f>LEN(G676)</f>
        <v>0</v>
      </c>
      <c r="G676" s="40"/>
      <c r="H676" s="40"/>
      <c r="I676" s="40"/>
      <c r="J676" s="40"/>
      <c r="K676" s="40"/>
      <c r="L676" s="40"/>
      <c r="M676" s="40"/>
      <c r="N676" s="47"/>
      <c r="O676" s="40"/>
      <c r="P676" s="40"/>
      <c r="Q676" s="40"/>
      <c r="R676" s="55"/>
      <c r="S676" s="41"/>
      <c r="T676" s="40"/>
    </row>
    <row r="677" spans="1:20" ht="24">
      <c r="A677" s="40" t="s">
        <v>655</v>
      </c>
      <c r="B677" s="40"/>
      <c r="C677" s="41"/>
      <c r="D677" s="40"/>
      <c r="E677" s="40" t="s">
        <v>3012</v>
      </c>
      <c r="F677" s="47">
        <f>LEN(G677)</f>
        <v>0</v>
      </c>
      <c r="G677" s="40"/>
      <c r="H677" s="40"/>
      <c r="I677" s="40"/>
      <c r="J677" s="40"/>
      <c r="K677" s="40"/>
      <c r="L677" s="40"/>
      <c r="M677" s="40"/>
      <c r="N677" s="47"/>
      <c r="O677" s="40"/>
      <c r="P677" s="40"/>
      <c r="Q677" s="40"/>
      <c r="R677" s="55"/>
      <c r="S677" s="41"/>
      <c r="T677" s="40"/>
    </row>
    <row r="678" spans="1:20" ht="24">
      <c r="A678" s="40" t="s">
        <v>655</v>
      </c>
      <c r="B678" s="40"/>
      <c r="C678" s="41"/>
      <c r="D678" s="40"/>
      <c r="E678" s="40" t="s">
        <v>3012</v>
      </c>
      <c r="F678" s="47">
        <f>LEN(G678)</f>
        <v>0</v>
      </c>
      <c r="G678" s="40"/>
      <c r="H678" s="40"/>
      <c r="I678" s="40"/>
      <c r="J678" s="40"/>
      <c r="K678" s="40"/>
      <c r="L678" s="40"/>
      <c r="M678" s="40"/>
      <c r="N678" s="47"/>
      <c r="O678" s="40"/>
      <c r="P678" s="40"/>
      <c r="Q678" s="40"/>
      <c r="R678" s="55"/>
      <c r="S678" s="41"/>
      <c r="T678" s="40"/>
    </row>
    <row r="679" spans="1:20" ht="24">
      <c r="A679" s="40" t="s">
        <v>655</v>
      </c>
      <c r="B679" s="40"/>
      <c r="C679" s="41"/>
      <c r="D679" s="40"/>
      <c r="E679" s="40" t="s">
        <v>3012</v>
      </c>
      <c r="F679" s="47">
        <f>LEN(G679)</f>
        <v>0</v>
      </c>
      <c r="G679" s="40"/>
      <c r="H679" s="40"/>
      <c r="I679" s="40"/>
      <c r="J679" s="40"/>
      <c r="K679" s="40"/>
      <c r="L679" s="40"/>
      <c r="M679" s="40"/>
      <c r="N679" s="47"/>
      <c r="O679" s="40"/>
      <c r="P679" s="40"/>
      <c r="Q679" s="40"/>
      <c r="R679" s="55"/>
      <c r="S679" s="41"/>
      <c r="T679" s="40"/>
    </row>
    <row r="680" spans="1:20" ht="24">
      <c r="A680" s="40" t="s">
        <v>655</v>
      </c>
      <c r="B680" s="40"/>
      <c r="C680" s="41"/>
      <c r="D680" s="40"/>
      <c r="E680" s="40" t="s">
        <v>3012</v>
      </c>
      <c r="F680" s="47">
        <f>LEN(G680)</f>
        <v>0</v>
      </c>
      <c r="G680" s="40"/>
      <c r="H680" s="40"/>
      <c r="I680" s="40"/>
      <c r="J680" s="40"/>
      <c r="K680" s="40"/>
      <c r="L680" s="40"/>
      <c r="M680" s="40"/>
      <c r="N680" s="47"/>
      <c r="O680" s="40"/>
      <c r="P680" s="40"/>
      <c r="Q680" s="40"/>
      <c r="R680" s="55"/>
      <c r="S680" s="41"/>
      <c r="T680" s="40"/>
    </row>
    <row r="681" spans="1:20" ht="24">
      <c r="A681" s="40" t="s">
        <v>655</v>
      </c>
      <c r="B681" s="40"/>
      <c r="C681" s="41"/>
      <c r="D681" s="40"/>
      <c r="E681" s="40" t="s">
        <v>3012</v>
      </c>
      <c r="F681" s="47">
        <f>LEN(G681)</f>
        <v>0</v>
      </c>
      <c r="G681" s="40"/>
      <c r="H681" s="40"/>
      <c r="I681" s="40"/>
      <c r="J681" s="40"/>
      <c r="K681" s="40"/>
      <c r="L681" s="40"/>
      <c r="M681" s="40"/>
      <c r="N681" s="47"/>
      <c r="O681" s="40"/>
      <c r="P681" s="40"/>
      <c r="Q681" s="40"/>
      <c r="R681" s="55"/>
      <c r="S681" s="41"/>
      <c r="T681" s="40"/>
    </row>
    <row r="682" spans="1:20" ht="24">
      <c r="A682" s="40" t="s">
        <v>655</v>
      </c>
      <c r="B682" s="40"/>
      <c r="C682" s="41"/>
      <c r="D682" s="40"/>
      <c r="E682" s="40" t="s">
        <v>3012</v>
      </c>
      <c r="F682" s="47">
        <f>LEN(G682)</f>
        <v>0</v>
      </c>
      <c r="G682" s="40"/>
      <c r="H682" s="40"/>
      <c r="I682" s="40"/>
      <c r="J682" s="40"/>
      <c r="K682" s="40"/>
      <c r="L682" s="40"/>
      <c r="M682" s="40"/>
      <c r="N682" s="47"/>
      <c r="O682" s="40"/>
      <c r="P682" s="40"/>
      <c r="Q682" s="40"/>
      <c r="R682" s="55"/>
      <c r="S682" s="41"/>
      <c r="T682" s="40"/>
    </row>
    <row r="683" spans="1:20" ht="24">
      <c r="A683" s="40" t="s">
        <v>655</v>
      </c>
      <c r="B683" s="40"/>
      <c r="C683" s="41"/>
      <c r="D683" s="40"/>
      <c r="E683" s="40" t="s">
        <v>3012</v>
      </c>
      <c r="F683" s="47">
        <f>LEN(G683)</f>
        <v>0</v>
      </c>
      <c r="G683" s="40"/>
      <c r="H683" s="40"/>
      <c r="I683" s="40"/>
      <c r="J683" s="40"/>
      <c r="K683" s="40"/>
      <c r="L683" s="40"/>
      <c r="M683" s="40"/>
      <c r="N683" s="47"/>
      <c r="O683" s="40"/>
      <c r="P683" s="40"/>
      <c r="Q683" s="40"/>
      <c r="R683" s="55"/>
      <c r="S683" s="41"/>
      <c r="T683" s="40"/>
    </row>
    <row r="684" spans="1:20" ht="24">
      <c r="A684" s="40" t="s">
        <v>655</v>
      </c>
      <c r="B684" s="40"/>
      <c r="C684" s="41"/>
      <c r="D684" s="40"/>
      <c r="E684" s="40" t="s">
        <v>3012</v>
      </c>
      <c r="F684" s="47">
        <f>LEN(G684)</f>
        <v>0</v>
      </c>
      <c r="G684" s="40"/>
      <c r="H684" s="40"/>
      <c r="I684" s="40"/>
      <c r="J684" s="40"/>
      <c r="K684" s="40"/>
      <c r="L684" s="40"/>
      <c r="M684" s="40"/>
      <c r="N684" s="47"/>
      <c r="O684" s="40"/>
      <c r="P684" s="40"/>
      <c r="Q684" s="40"/>
      <c r="R684" s="55"/>
      <c r="S684" s="41"/>
      <c r="T684" s="40"/>
    </row>
    <row r="685" spans="1:20" ht="24">
      <c r="A685" s="40" t="s">
        <v>655</v>
      </c>
      <c r="B685" s="40"/>
      <c r="C685" s="41"/>
      <c r="D685" s="40"/>
      <c r="E685" s="40" t="s">
        <v>3012</v>
      </c>
      <c r="F685" s="47">
        <f>LEN(G685)</f>
        <v>0</v>
      </c>
      <c r="G685" s="40"/>
      <c r="H685" s="40"/>
      <c r="I685" s="40"/>
      <c r="J685" s="40"/>
      <c r="K685" s="40"/>
      <c r="L685" s="40"/>
      <c r="M685" s="40"/>
      <c r="N685" s="47"/>
      <c r="O685" s="40"/>
      <c r="P685" s="40"/>
      <c r="Q685" s="40"/>
      <c r="R685" s="55"/>
      <c r="S685" s="41"/>
      <c r="T685" s="40"/>
    </row>
    <row r="686" spans="1:20" ht="24">
      <c r="A686" s="40" t="s">
        <v>655</v>
      </c>
      <c r="B686" s="40"/>
      <c r="C686" s="41"/>
      <c r="D686" s="40"/>
      <c r="E686" s="40" t="s">
        <v>3012</v>
      </c>
      <c r="F686" s="47">
        <f>LEN(G686)</f>
        <v>0</v>
      </c>
      <c r="G686" s="40"/>
      <c r="H686" s="40"/>
      <c r="I686" s="40"/>
      <c r="J686" s="40"/>
      <c r="K686" s="40"/>
      <c r="L686" s="40"/>
      <c r="M686" s="40"/>
      <c r="N686" s="47"/>
      <c r="O686" s="40"/>
      <c r="P686" s="40"/>
      <c r="Q686" s="40"/>
      <c r="R686" s="55"/>
      <c r="S686" s="41"/>
      <c r="T686" s="40"/>
    </row>
    <row r="687" spans="1:20" ht="24">
      <c r="A687" s="40" t="s">
        <v>655</v>
      </c>
      <c r="B687" s="40"/>
      <c r="C687" s="41"/>
      <c r="D687" s="40"/>
      <c r="E687" s="40" t="s">
        <v>3012</v>
      </c>
      <c r="F687" s="47">
        <f>LEN(G687)</f>
        <v>0</v>
      </c>
      <c r="G687" s="40"/>
      <c r="H687" s="40"/>
      <c r="I687" s="40"/>
      <c r="J687" s="40"/>
      <c r="K687" s="40"/>
      <c r="L687" s="40"/>
      <c r="M687" s="40"/>
      <c r="N687" s="47"/>
      <c r="O687" s="40"/>
      <c r="P687" s="40"/>
      <c r="Q687" s="40"/>
      <c r="R687" s="55"/>
      <c r="S687" s="41"/>
      <c r="T687" s="40"/>
    </row>
    <row r="688" spans="1:20" ht="24">
      <c r="A688" s="40" t="s">
        <v>655</v>
      </c>
      <c r="B688" s="40"/>
      <c r="C688" s="41"/>
      <c r="D688" s="40"/>
      <c r="E688" s="40" t="s">
        <v>3012</v>
      </c>
      <c r="F688" s="47">
        <f>LEN(G688)</f>
        <v>0</v>
      </c>
      <c r="G688" s="40"/>
      <c r="H688" s="40"/>
      <c r="I688" s="40"/>
      <c r="J688" s="40"/>
      <c r="K688" s="40"/>
      <c r="L688" s="40"/>
      <c r="M688" s="40"/>
      <c r="N688" s="47"/>
      <c r="O688" s="40"/>
      <c r="P688" s="40"/>
      <c r="Q688" s="40"/>
      <c r="R688" s="55"/>
      <c r="S688" s="41"/>
      <c r="T688" s="40"/>
    </row>
    <row r="689" spans="1:20" ht="24">
      <c r="A689" s="40" t="s">
        <v>655</v>
      </c>
      <c r="B689" s="40"/>
      <c r="C689" s="41"/>
      <c r="D689" s="40"/>
      <c r="E689" s="40" t="s">
        <v>3012</v>
      </c>
      <c r="F689" s="47">
        <f>LEN(G689)</f>
        <v>0</v>
      </c>
      <c r="G689" s="40"/>
      <c r="H689" s="40"/>
      <c r="I689" s="40"/>
      <c r="J689" s="40"/>
      <c r="K689" s="40"/>
      <c r="L689" s="40"/>
      <c r="M689" s="40"/>
      <c r="N689" s="47"/>
      <c r="O689" s="40"/>
      <c r="P689" s="40"/>
      <c r="Q689" s="40"/>
      <c r="R689" s="55"/>
      <c r="S689" s="41"/>
      <c r="T689" s="40"/>
    </row>
    <row r="690" spans="1:20" ht="24">
      <c r="A690" s="40" t="s">
        <v>655</v>
      </c>
      <c r="B690" s="40"/>
      <c r="C690" s="41"/>
      <c r="D690" s="40"/>
      <c r="E690" s="40" t="s">
        <v>3012</v>
      </c>
      <c r="F690" s="47">
        <f>LEN(G690)</f>
        <v>0</v>
      </c>
      <c r="G690" s="40"/>
      <c r="H690" s="40"/>
      <c r="I690" s="40"/>
      <c r="J690" s="40"/>
      <c r="K690" s="40"/>
      <c r="L690" s="40"/>
      <c r="M690" s="40"/>
      <c r="N690" s="47"/>
      <c r="O690" s="40"/>
      <c r="P690" s="40"/>
      <c r="Q690" s="40"/>
      <c r="R690" s="55"/>
      <c r="S690" s="41"/>
      <c r="T690" s="40"/>
    </row>
    <row r="691" spans="1:20" ht="24">
      <c r="A691" s="40" t="s">
        <v>655</v>
      </c>
      <c r="B691" s="40"/>
      <c r="C691" s="41"/>
      <c r="D691" s="40"/>
      <c r="E691" s="40" t="s">
        <v>3012</v>
      </c>
      <c r="F691" s="47">
        <f>LEN(G691)</f>
        <v>0</v>
      </c>
      <c r="G691" s="40"/>
      <c r="H691" s="40"/>
      <c r="I691" s="40"/>
      <c r="J691" s="40"/>
      <c r="K691" s="40"/>
      <c r="L691" s="40"/>
      <c r="M691" s="40"/>
      <c r="N691" s="47"/>
      <c r="O691" s="40"/>
      <c r="P691" s="40"/>
      <c r="Q691" s="40"/>
      <c r="R691" s="55"/>
      <c r="S691" s="41"/>
      <c r="T691" s="40"/>
    </row>
    <row r="692" spans="1:20" ht="24">
      <c r="A692" s="40" t="s">
        <v>655</v>
      </c>
      <c r="B692" s="40"/>
      <c r="C692" s="41"/>
      <c r="D692" s="40"/>
      <c r="E692" s="40" t="s">
        <v>3012</v>
      </c>
      <c r="F692" s="47">
        <f>LEN(G692)</f>
        <v>0</v>
      </c>
      <c r="G692" s="40"/>
      <c r="H692" s="40"/>
      <c r="I692" s="40"/>
      <c r="J692" s="40"/>
      <c r="K692" s="40"/>
      <c r="L692" s="40"/>
      <c r="M692" s="40"/>
      <c r="N692" s="47"/>
      <c r="O692" s="40"/>
      <c r="P692" s="40"/>
      <c r="Q692" s="40"/>
      <c r="R692" s="55"/>
      <c r="S692" s="41"/>
      <c r="T692" s="40"/>
    </row>
    <row r="693" spans="1:20" ht="24">
      <c r="A693" s="40" t="s">
        <v>655</v>
      </c>
      <c r="B693" s="40"/>
      <c r="C693" s="41"/>
      <c r="D693" s="40"/>
      <c r="E693" s="40" t="s">
        <v>3012</v>
      </c>
      <c r="F693" s="47">
        <f>LEN(G693)</f>
        <v>0</v>
      </c>
      <c r="G693" s="40"/>
      <c r="H693" s="40"/>
      <c r="I693" s="40"/>
      <c r="J693" s="40"/>
      <c r="K693" s="40"/>
      <c r="L693" s="40"/>
      <c r="M693" s="40"/>
      <c r="N693" s="47"/>
      <c r="O693" s="40"/>
      <c r="P693" s="40"/>
      <c r="Q693" s="40"/>
      <c r="R693" s="55"/>
      <c r="S693" s="41"/>
      <c r="T693" s="40"/>
    </row>
    <row r="694" spans="1:20" ht="24">
      <c r="A694" s="40" t="s">
        <v>655</v>
      </c>
      <c r="B694" s="40"/>
      <c r="C694" s="41"/>
      <c r="D694" s="40"/>
      <c r="E694" s="40" t="s">
        <v>3012</v>
      </c>
      <c r="F694" s="47">
        <f>LEN(G694)</f>
        <v>0</v>
      </c>
      <c r="G694" s="40"/>
      <c r="H694" s="40"/>
      <c r="I694" s="40"/>
      <c r="J694" s="40"/>
      <c r="K694" s="40"/>
      <c r="L694" s="40"/>
      <c r="M694" s="40"/>
      <c r="N694" s="47"/>
      <c r="O694" s="40"/>
      <c r="P694" s="40"/>
      <c r="Q694" s="40"/>
      <c r="R694" s="55"/>
      <c r="S694" s="41"/>
      <c r="T694" s="40"/>
    </row>
    <row r="695" spans="1:20" ht="24">
      <c r="A695" s="40" t="s">
        <v>655</v>
      </c>
      <c r="B695" s="40"/>
      <c r="C695" s="41"/>
      <c r="D695" s="40"/>
      <c r="E695" s="40" t="s">
        <v>3012</v>
      </c>
      <c r="F695" s="47">
        <f>LEN(G695)</f>
        <v>0</v>
      </c>
      <c r="G695" s="40"/>
      <c r="H695" s="40"/>
      <c r="I695" s="40"/>
      <c r="J695" s="40"/>
      <c r="K695" s="40"/>
      <c r="L695" s="40"/>
      <c r="M695" s="40"/>
      <c r="N695" s="47"/>
      <c r="O695" s="40"/>
      <c r="P695" s="40"/>
      <c r="Q695" s="40"/>
      <c r="R695" s="55"/>
      <c r="S695" s="41"/>
      <c r="T695" s="40"/>
    </row>
    <row r="696" spans="1:20" ht="24">
      <c r="A696" s="40" t="s">
        <v>655</v>
      </c>
      <c r="B696" s="40"/>
      <c r="C696" s="41"/>
      <c r="D696" s="40"/>
      <c r="E696" s="40" t="s">
        <v>3012</v>
      </c>
      <c r="F696" s="47">
        <f>LEN(G696)</f>
        <v>0</v>
      </c>
      <c r="G696" s="40"/>
      <c r="H696" s="40"/>
      <c r="I696" s="40"/>
      <c r="J696" s="40"/>
      <c r="K696" s="40"/>
      <c r="L696" s="40"/>
      <c r="M696" s="40"/>
      <c r="N696" s="47"/>
      <c r="O696" s="40"/>
      <c r="P696" s="40"/>
      <c r="Q696" s="40"/>
      <c r="R696" s="55"/>
      <c r="S696" s="41"/>
      <c r="T696" s="40"/>
    </row>
    <row r="697" spans="1:20" ht="24">
      <c r="A697" s="40" t="s">
        <v>655</v>
      </c>
      <c r="B697" s="40"/>
      <c r="C697" s="41"/>
      <c r="D697" s="40"/>
      <c r="E697" s="40" t="s">
        <v>3012</v>
      </c>
      <c r="F697" s="47">
        <f>LEN(G697)</f>
        <v>0</v>
      </c>
      <c r="G697" s="40"/>
      <c r="H697" s="40"/>
      <c r="I697" s="40"/>
      <c r="J697" s="40"/>
      <c r="K697" s="40"/>
      <c r="L697" s="40"/>
      <c r="M697" s="40"/>
      <c r="N697" s="47"/>
      <c r="O697" s="40"/>
      <c r="P697" s="40"/>
      <c r="Q697" s="40"/>
      <c r="R697" s="55"/>
      <c r="S697" s="41"/>
      <c r="T697" s="40"/>
    </row>
    <row r="698" spans="1:20" ht="24">
      <c r="A698" s="40" t="s">
        <v>655</v>
      </c>
      <c r="B698" s="40"/>
      <c r="C698" s="41"/>
      <c r="D698" s="40"/>
      <c r="E698" s="40" t="s">
        <v>3012</v>
      </c>
      <c r="F698" s="47">
        <f>LEN(G698)</f>
        <v>0</v>
      </c>
      <c r="G698" s="40"/>
      <c r="H698" s="40"/>
      <c r="I698" s="40"/>
      <c r="J698" s="40"/>
      <c r="K698" s="40"/>
      <c r="L698" s="40"/>
      <c r="M698" s="40"/>
      <c r="N698" s="47"/>
      <c r="O698" s="40"/>
      <c r="P698" s="40"/>
      <c r="Q698" s="40"/>
      <c r="R698" s="55"/>
      <c r="S698" s="41"/>
      <c r="T698" s="40"/>
    </row>
    <row r="699" spans="1:20" ht="24">
      <c r="A699" s="40" t="s">
        <v>655</v>
      </c>
      <c r="B699" s="40"/>
      <c r="C699" s="41"/>
      <c r="D699" s="40"/>
      <c r="E699" s="40" t="s">
        <v>3012</v>
      </c>
      <c r="F699" s="47">
        <f>LEN(G699)</f>
        <v>0</v>
      </c>
      <c r="G699" s="40"/>
      <c r="H699" s="40"/>
      <c r="I699" s="40"/>
      <c r="J699" s="40"/>
      <c r="K699" s="40"/>
      <c r="L699" s="40"/>
      <c r="M699" s="40"/>
      <c r="N699" s="47"/>
      <c r="O699" s="40"/>
      <c r="P699" s="40"/>
      <c r="Q699" s="40"/>
      <c r="R699" s="55"/>
      <c r="S699" s="41"/>
      <c r="T699" s="40"/>
    </row>
    <row r="700" spans="1:20" ht="24">
      <c r="A700" s="40" t="s">
        <v>655</v>
      </c>
      <c r="B700" s="40"/>
      <c r="C700" s="41"/>
      <c r="D700" s="40"/>
      <c r="E700" s="40" t="s">
        <v>3012</v>
      </c>
      <c r="F700" s="47">
        <f>LEN(G700)</f>
        <v>0</v>
      </c>
      <c r="G700" s="40"/>
      <c r="H700" s="40"/>
      <c r="I700" s="40"/>
      <c r="J700" s="40"/>
      <c r="K700" s="40"/>
      <c r="L700" s="40"/>
      <c r="M700" s="40"/>
      <c r="N700" s="47"/>
      <c r="O700" s="40"/>
      <c r="P700" s="40"/>
      <c r="Q700" s="40"/>
      <c r="R700" s="55"/>
      <c r="S700" s="41"/>
      <c r="T700" s="40"/>
    </row>
    <row r="701" spans="1:20" ht="24">
      <c r="A701" s="40" t="s">
        <v>655</v>
      </c>
      <c r="B701" s="40"/>
      <c r="C701" s="41"/>
      <c r="D701" s="40"/>
      <c r="E701" s="40" t="s">
        <v>3012</v>
      </c>
      <c r="F701" s="47">
        <f>LEN(G701)</f>
        <v>0</v>
      </c>
      <c r="G701" s="40"/>
      <c r="H701" s="40"/>
      <c r="I701" s="40"/>
      <c r="J701" s="40"/>
      <c r="K701" s="40"/>
      <c r="L701" s="40"/>
      <c r="M701" s="40"/>
      <c r="N701" s="47"/>
      <c r="O701" s="40"/>
      <c r="P701" s="40"/>
      <c r="Q701" s="40"/>
      <c r="R701" s="55"/>
      <c r="S701" s="41"/>
      <c r="T701" s="40"/>
    </row>
    <row r="702" spans="1:20" ht="24">
      <c r="A702" s="40" t="s">
        <v>655</v>
      </c>
      <c r="B702" s="40"/>
      <c r="C702" s="41"/>
      <c r="D702" s="40"/>
      <c r="E702" s="40" t="s">
        <v>3012</v>
      </c>
      <c r="F702" s="47">
        <f>LEN(G702)</f>
        <v>0</v>
      </c>
      <c r="G702" s="40"/>
      <c r="H702" s="40"/>
      <c r="I702" s="40"/>
      <c r="J702" s="40"/>
      <c r="K702" s="40"/>
      <c r="L702" s="40"/>
      <c r="M702" s="40"/>
      <c r="N702" s="47"/>
      <c r="O702" s="40"/>
      <c r="P702" s="40"/>
      <c r="Q702" s="40"/>
      <c r="R702" s="55"/>
      <c r="S702" s="41"/>
      <c r="T702" s="40"/>
    </row>
    <row r="703" spans="1:20" ht="24">
      <c r="A703" s="40" t="s">
        <v>655</v>
      </c>
      <c r="B703" s="40"/>
      <c r="C703" s="41"/>
      <c r="D703" s="40"/>
      <c r="E703" s="40" t="s">
        <v>3012</v>
      </c>
      <c r="F703" s="47">
        <f>LEN(G703)</f>
        <v>0</v>
      </c>
      <c r="G703" s="40"/>
      <c r="H703" s="40"/>
      <c r="I703" s="40"/>
      <c r="J703" s="40"/>
      <c r="K703" s="40"/>
      <c r="L703" s="40"/>
      <c r="M703" s="40"/>
      <c r="N703" s="47"/>
      <c r="O703" s="40"/>
      <c r="P703" s="40"/>
      <c r="Q703" s="40"/>
      <c r="R703" s="55"/>
      <c r="S703" s="41"/>
      <c r="T703" s="40"/>
    </row>
    <row r="704" spans="1:20" ht="24">
      <c r="A704" s="40" t="s">
        <v>655</v>
      </c>
      <c r="B704" s="40"/>
      <c r="C704" s="41"/>
      <c r="D704" s="40"/>
      <c r="E704" s="40" t="s">
        <v>3012</v>
      </c>
      <c r="F704" s="47">
        <f>LEN(G704)</f>
        <v>0</v>
      </c>
      <c r="G704" s="40"/>
      <c r="H704" s="40"/>
      <c r="I704" s="40"/>
      <c r="J704" s="40"/>
      <c r="K704" s="40"/>
      <c r="L704" s="40"/>
      <c r="M704" s="40"/>
      <c r="N704" s="47"/>
      <c r="O704" s="40"/>
      <c r="P704" s="40"/>
      <c r="Q704" s="40"/>
      <c r="R704" s="55"/>
      <c r="S704" s="41"/>
      <c r="T704" s="40"/>
    </row>
    <row r="705" spans="1:20" ht="24">
      <c r="A705" s="40" t="s">
        <v>655</v>
      </c>
      <c r="B705" s="40"/>
      <c r="C705" s="41"/>
      <c r="D705" s="40"/>
      <c r="E705" s="40" t="s">
        <v>3012</v>
      </c>
      <c r="F705" s="47">
        <f>LEN(G705)</f>
        <v>0</v>
      </c>
      <c r="G705" s="40"/>
      <c r="H705" s="40"/>
      <c r="I705" s="40"/>
      <c r="J705" s="40"/>
      <c r="K705" s="40"/>
      <c r="L705" s="40"/>
      <c r="M705" s="40"/>
      <c r="N705" s="47"/>
      <c r="O705" s="40"/>
      <c r="P705" s="40"/>
      <c r="Q705" s="40"/>
      <c r="R705" s="55"/>
      <c r="S705" s="41"/>
      <c r="T705" s="40"/>
    </row>
    <row r="706" spans="1:20" ht="24">
      <c r="A706" s="40" t="s">
        <v>655</v>
      </c>
      <c r="B706" s="40"/>
      <c r="C706" s="41"/>
      <c r="D706" s="40"/>
      <c r="E706" s="40" t="s">
        <v>3012</v>
      </c>
      <c r="F706" s="47">
        <f>LEN(G706)</f>
        <v>0</v>
      </c>
      <c r="G706" s="40"/>
      <c r="H706" s="40"/>
      <c r="I706" s="40"/>
      <c r="J706" s="40"/>
      <c r="K706" s="40"/>
      <c r="L706" s="40"/>
      <c r="M706" s="40"/>
      <c r="N706" s="47"/>
      <c r="O706" s="40"/>
      <c r="P706" s="40"/>
      <c r="Q706" s="40"/>
      <c r="R706" s="55"/>
      <c r="S706" s="41"/>
      <c r="T706" s="40"/>
    </row>
    <row r="707" spans="1:20" ht="24">
      <c r="A707" s="40" t="s">
        <v>655</v>
      </c>
      <c r="B707" s="40"/>
      <c r="C707" s="41"/>
      <c r="D707" s="40"/>
      <c r="E707" s="40" t="s">
        <v>3012</v>
      </c>
      <c r="F707" s="47">
        <f>LEN(G707)</f>
        <v>0</v>
      </c>
      <c r="G707" s="40"/>
      <c r="H707" s="40"/>
      <c r="I707" s="40"/>
      <c r="J707" s="40"/>
      <c r="K707" s="40"/>
      <c r="L707" s="40"/>
      <c r="M707" s="40"/>
      <c r="N707" s="47"/>
      <c r="O707" s="40"/>
      <c r="P707" s="40"/>
      <c r="Q707" s="40"/>
      <c r="R707" s="55"/>
      <c r="S707" s="41"/>
      <c r="T707" s="40"/>
    </row>
    <row r="708" spans="1:20" ht="24">
      <c r="A708" s="40" t="s">
        <v>655</v>
      </c>
      <c r="B708" s="40"/>
      <c r="C708" s="41"/>
      <c r="D708" s="40"/>
      <c r="E708" s="40" t="s">
        <v>3012</v>
      </c>
      <c r="F708" s="47">
        <f>LEN(G708)</f>
        <v>0</v>
      </c>
      <c r="G708" s="40"/>
      <c r="H708" s="40"/>
      <c r="I708" s="40"/>
      <c r="J708" s="40"/>
      <c r="K708" s="40"/>
      <c r="L708" s="40"/>
      <c r="M708" s="40"/>
      <c r="N708" s="47"/>
      <c r="O708" s="40"/>
      <c r="P708" s="40"/>
      <c r="Q708" s="40"/>
      <c r="R708" s="55"/>
      <c r="S708" s="41"/>
      <c r="T708" s="40"/>
    </row>
    <row r="709" spans="1:20" ht="24">
      <c r="A709" s="40" t="s">
        <v>655</v>
      </c>
      <c r="B709" s="40"/>
      <c r="C709" s="41"/>
      <c r="D709" s="40"/>
      <c r="E709" s="40" t="s">
        <v>3012</v>
      </c>
      <c r="F709" s="47">
        <f>LEN(G709)</f>
        <v>0</v>
      </c>
      <c r="G709" s="40"/>
      <c r="H709" s="40"/>
      <c r="I709" s="40"/>
      <c r="J709" s="40"/>
      <c r="K709" s="40"/>
      <c r="L709" s="40"/>
      <c r="M709" s="40"/>
      <c r="N709" s="47"/>
      <c r="O709" s="40"/>
      <c r="P709" s="40"/>
      <c r="Q709" s="40"/>
      <c r="R709" s="55"/>
      <c r="S709" s="41"/>
      <c r="T709" s="40"/>
    </row>
    <row r="710" spans="1:20" ht="24">
      <c r="A710" s="40" t="s">
        <v>655</v>
      </c>
      <c r="B710" s="40"/>
      <c r="C710" s="41"/>
      <c r="D710" s="40"/>
      <c r="E710" s="40" t="s">
        <v>3012</v>
      </c>
      <c r="F710" s="47">
        <f>LEN(G710)</f>
        <v>0</v>
      </c>
      <c r="G710" s="40"/>
      <c r="H710" s="40"/>
      <c r="I710" s="40"/>
      <c r="J710" s="40"/>
      <c r="K710" s="40"/>
      <c r="L710" s="40"/>
      <c r="M710" s="40"/>
      <c r="N710" s="47"/>
      <c r="O710" s="40"/>
      <c r="P710" s="40"/>
      <c r="Q710" s="40"/>
      <c r="R710" s="55"/>
      <c r="S710" s="41"/>
      <c r="T710" s="40"/>
    </row>
    <row r="711" spans="1:20" ht="24">
      <c r="A711" s="40" t="s">
        <v>655</v>
      </c>
      <c r="B711" s="40"/>
      <c r="C711" s="41"/>
      <c r="D711" s="40"/>
      <c r="E711" s="40" t="s">
        <v>3012</v>
      </c>
      <c r="F711" s="47">
        <f>LEN(G711)</f>
        <v>0</v>
      </c>
      <c r="G711" s="40"/>
      <c r="H711" s="40"/>
      <c r="I711" s="40"/>
      <c r="J711" s="40"/>
      <c r="K711" s="40"/>
      <c r="L711" s="40"/>
      <c r="M711" s="40"/>
      <c r="N711" s="47"/>
      <c r="O711" s="40"/>
      <c r="P711" s="40"/>
      <c r="Q711" s="40"/>
      <c r="R711" s="55"/>
      <c r="S711" s="41"/>
      <c r="T711" s="40"/>
    </row>
    <row r="712" spans="1:20" ht="24">
      <c r="A712" s="40" t="s">
        <v>655</v>
      </c>
      <c r="B712" s="40"/>
      <c r="C712" s="41"/>
      <c r="D712" s="40"/>
      <c r="E712" s="40" t="s">
        <v>3012</v>
      </c>
      <c r="F712" s="47">
        <f>LEN(G712)</f>
        <v>0</v>
      </c>
      <c r="G712" s="40"/>
      <c r="H712" s="40"/>
      <c r="I712" s="40"/>
      <c r="J712" s="40"/>
      <c r="K712" s="40"/>
      <c r="L712" s="40"/>
      <c r="M712" s="40"/>
      <c r="N712" s="47"/>
      <c r="O712" s="40"/>
      <c r="P712" s="40"/>
      <c r="Q712" s="40"/>
      <c r="R712" s="55"/>
      <c r="S712" s="41"/>
      <c r="T712" s="40"/>
    </row>
    <row r="713" spans="1:20" ht="24">
      <c r="A713" s="40" t="s">
        <v>655</v>
      </c>
      <c r="B713" s="40"/>
      <c r="C713" s="41"/>
      <c r="D713" s="40"/>
      <c r="E713" s="40" t="s">
        <v>3012</v>
      </c>
      <c r="F713" s="47">
        <f>LEN(G713)</f>
        <v>0</v>
      </c>
      <c r="G713" s="40"/>
      <c r="H713" s="40"/>
      <c r="I713" s="40"/>
      <c r="J713" s="40"/>
      <c r="K713" s="40"/>
      <c r="L713" s="40"/>
      <c r="M713" s="40"/>
      <c r="N713" s="47"/>
      <c r="O713" s="40"/>
      <c r="P713" s="40"/>
      <c r="Q713" s="40"/>
      <c r="R713" s="55"/>
      <c r="S713" s="41"/>
      <c r="T713" s="40"/>
    </row>
    <row r="714" spans="1:20" ht="24">
      <c r="A714" s="40" t="s">
        <v>655</v>
      </c>
      <c r="B714" s="40"/>
      <c r="C714" s="41"/>
      <c r="D714" s="40"/>
      <c r="E714" s="40" t="s">
        <v>3012</v>
      </c>
      <c r="F714" s="47">
        <f>LEN(G714)</f>
        <v>0</v>
      </c>
      <c r="G714" s="40"/>
      <c r="H714" s="40"/>
      <c r="I714" s="40"/>
      <c r="J714" s="40"/>
      <c r="K714" s="40"/>
      <c r="L714" s="40"/>
      <c r="M714" s="40"/>
      <c r="N714" s="47"/>
      <c r="O714" s="40"/>
      <c r="P714" s="40"/>
      <c r="Q714" s="40"/>
      <c r="R714" s="55"/>
      <c r="S714" s="41"/>
      <c r="T714" s="40"/>
    </row>
    <row r="715" spans="1:20" ht="24">
      <c r="A715" s="40" t="s">
        <v>655</v>
      </c>
      <c r="B715" s="40"/>
      <c r="C715" s="41"/>
      <c r="D715" s="40"/>
      <c r="E715" s="40" t="s">
        <v>3012</v>
      </c>
      <c r="F715" s="47">
        <f>LEN(G715)</f>
        <v>0</v>
      </c>
      <c r="G715" s="40"/>
      <c r="H715" s="40"/>
      <c r="I715" s="40"/>
      <c r="J715" s="40"/>
      <c r="K715" s="40"/>
      <c r="L715" s="40"/>
      <c r="M715" s="40"/>
      <c r="N715" s="47"/>
      <c r="O715" s="40"/>
      <c r="P715" s="40"/>
      <c r="Q715" s="40"/>
      <c r="R715" s="55"/>
      <c r="S715" s="41"/>
      <c r="T715" s="40"/>
    </row>
    <row r="716" spans="1:20" ht="24">
      <c r="A716" s="40" t="s">
        <v>655</v>
      </c>
      <c r="B716" s="40"/>
      <c r="C716" s="41"/>
      <c r="D716" s="40"/>
      <c r="E716" s="40" t="s">
        <v>3012</v>
      </c>
      <c r="F716" s="47">
        <f>LEN(G716)</f>
        <v>0</v>
      </c>
      <c r="G716" s="40"/>
      <c r="H716" s="40"/>
      <c r="I716" s="40"/>
      <c r="J716" s="40"/>
      <c r="K716" s="40"/>
      <c r="L716" s="40"/>
      <c r="M716" s="40"/>
      <c r="N716" s="47"/>
      <c r="O716" s="40"/>
      <c r="P716" s="40"/>
      <c r="Q716" s="40"/>
      <c r="R716" s="55"/>
      <c r="S716" s="41"/>
      <c r="T716" s="40"/>
    </row>
    <row r="717" spans="1:20" ht="24">
      <c r="A717" s="40" t="s">
        <v>655</v>
      </c>
      <c r="B717" s="40"/>
      <c r="C717" s="41"/>
      <c r="D717" s="40"/>
      <c r="E717" s="40" t="s">
        <v>3012</v>
      </c>
      <c r="F717" s="47">
        <f>LEN(G717)</f>
        <v>0</v>
      </c>
      <c r="G717" s="40"/>
      <c r="H717" s="40"/>
      <c r="I717" s="40"/>
      <c r="J717" s="40"/>
      <c r="K717" s="40"/>
      <c r="L717" s="40"/>
      <c r="M717" s="40"/>
      <c r="N717" s="47"/>
      <c r="O717" s="40"/>
      <c r="P717" s="40"/>
      <c r="Q717" s="40"/>
      <c r="R717" s="55"/>
      <c r="S717" s="41"/>
      <c r="T717" s="40"/>
    </row>
    <row r="718" spans="1:20" ht="24">
      <c r="A718" s="40" t="s">
        <v>655</v>
      </c>
      <c r="B718" s="40"/>
      <c r="C718" s="41"/>
      <c r="D718" s="40"/>
      <c r="E718" s="40" t="s">
        <v>3012</v>
      </c>
      <c r="F718" s="47">
        <f>LEN(G718)</f>
        <v>0</v>
      </c>
      <c r="G718" s="40"/>
      <c r="H718" s="40"/>
      <c r="I718" s="40"/>
      <c r="J718" s="40"/>
      <c r="K718" s="40"/>
      <c r="L718" s="40"/>
      <c r="M718" s="40"/>
      <c r="N718" s="47"/>
      <c r="O718" s="40"/>
      <c r="P718" s="40"/>
      <c r="Q718" s="40"/>
      <c r="R718" s="55"/>
      <c r="S718" s="41"/>
      <c r="T718" s="40"/>
    </row>
    <row r="719" spans="1:20" ht="24">
      <c r="A719" s="40" t="s">
        <v>655</v>
      </c>
      <c r="B719" s="40"/>
      <c r="C719" s="41"/>
      <c r="D719" s="40"/>
      <c r="E719" s="40" t="s">
        <v>3012</v>
      </c>
      <c r="F719" s="47">
        <f>LEN(G719)</f>
        <v>0</v>
      </c>
      <c r="G719" s="40"/>
      <c r="H719" s="40"/>
      <c r="I719" s="40"/>
      <c r="J719" s="40"/>
      <c r="K719" s="40"/>
      <c r="L719" s="40"/>
      <c r="M719" s="40"/>
      <c r="N719" s="47"/>
      <c r="O719" s="40"/>
      <c r="P719" s="40"/>
      <c r="Q719" s="40"/>
      <c r="R719" s="55"/>
      <c r="S719" s="41"/>
      <c r="T719" s="40"/>
    </row>
    <row r="720" spans="1:20" ht="24">
      <c r="A720" s="40" t="s">
        <v>655</v>
      </c>
      <c r="B720" s="40"/>
      <c r="C720" s="41"/>
      <c r="D720" s="40"/>
      <c r="E720" s="40" t="s">
        <v>3012</v>
      </c>
      <c r="F720" s="47">
        <f>LEN(G720)</f>
        <v>0</v>
      </c>
      <c r="G720" s="40"/>
      <c r="H720" s="40"/>
      <c r="I720" s="40"/>
      <c r="J720" s="40"/>
      <c r="K720" s="40"/>
      <c r="L720" s="40"/>
      <c r="M720" s="40"/>
      <c r="N720" s="47"/>
      <c r="O720" s="40"/>
      <c r="P720" s="40"/>
      <c r="Q720" s="40"/>
      <c r="R720" s="55"/>
      <c r="S720" s="41"/>
      <c r="T720" s="40"/>
    </row>
    <row r="721" spans="1:20" ht="24">
      <c r="A721" s="40" t="s">
        <v>655</v>
      </c>
      <c r="B721" s="40"/>
      <c r="C721" s="41"/>
      <c r="D721" s="40"/>
      <c r="E721" s="40" t="s">
        <v>3012</v>
      </c>
      <c r="F721" s="47">
        <f>LEN(G721)</f>
        <v>0</v>
      </c>
      <c r="G721" s="40"/>
      <c r="H721" s="40"/>
      <c r="I721" s="40"/>
      <c r="J721" s="40"/>
      <c r="K721" s="40"/>
      <c r="L721" s="40"/>
      <c r="M721" s="40"/>
      <c r="N721" s="47"/>
      <c r="O721" s="40"/>
      <c r="P721" s="40"/>
      <c r="Q721" s="40"/>
      <c r="R721" s="55"/>
      <c r="S721" s="41"/>
      <c r="T721" s="40"/>
    </row>
    <row r="722" spans="1:20" ht="24">
      <c r="A722" s="40" t="s">
        <v>655</v>
      </c>
      <c r="B722" s="40"/>
      <c r="C722" s="41"/>
      <c r="D722" s="40"/>
      <c r="E722" s="40" t="s">
        <v>3012</v>
      </c>
      <c r="F722" s="47">
        <f>LEN(G722)</f>
        <v>0</v>
      </c>
      <c r="G722" s="40"/>
      <c r="H722" s="40"/>
      <c r="I722" s="40"/>
      <c r="J722" s="40"/>
      <c r="K722" s="40"/>
      <c r="L722" s="40"/>
      <c r="M722" s="40"/>
      <c r="N722" s="47"/>
      <c r="O722" s="40"/>
      <c r="P722" s="40"/>
      <c r="Q722" s="40"/>
      <c r="R722" s="55"/>
      <c r="S722" s="41"/>
      <c r="T722" s="40"/>
    </row>
    <row r="723" spans="1:20" ht="24">
      <c r="A723" s="40" t="s">
        <v>655</v>
      </c>
      <c r="B723" s="40"/>
      <c r="C723" s="41"/>
      <c r="D723" s="40"/>
      <c r="E723" s="40" t="s">
        <v>3012</v>
      </c>
      <c r="F723" s="47">
        <f>LEN(G723)</f>
        <v>0</v>
      </c>
      <c r="G723" s="40"/>
      <c r="H723" s="40"/>
      <c r="I723" s="40"/>
      <c r="J723" s="40"/>
      <c r="K723" s="40"/>
      <c r="L723" s="40"/>
      <c r="M723" s="40"/>
      <c r="N723" s="47"/>
      <c r="O723" s="40"/>
      <c r="P723" s="40"/>
      <c r="Q723" s="40"/>
      <c r="R723" s="55"/>
      <c r="S723" s="41"/>
      <c r="T723" s="40"/>
    </row>
    <row r="724" spans="1:20" ht="24">
      <c r="A724" s="40" t="s">
        <v>655</v>
      </c>
      <c r="B724" s="40"/>
      <c r="C724" s="41"/>
      <c r="D724" s="40"/>
      <c r="E724" s="40" t="s">
        <v>3012</v>
      </c>
      <c r="F724" s="47">
        <f>LEN(G724)</f>
        <v>0</v>
      </c>
      <c r="G724" s="40"/>
      <c r="H724" s="40"/>
      <c r="I724" s="40"/>
      <c r="J724" s="40"/>
      <c r="K724" s="40"/>
      <c r="L724" s="40"/>
      <c r="M724" s="40"/>
      <c r="N724" s="47"/>
      <c r="O724" s="40"/>
      <c r="P724" s="40"/>
      <c r="Q724" s="40"/>
      <c r="R724" s="55"/>
      <c r="S724" s="41"/>
      <c r="T724" s="40"/>
    </row>
    <row r="725" spans="1:20" ht="24">
      <c r="A725" s="40" t="s">
        <v>655</v>
      </c>
      <c r="B725" s="40"/>
      <c r="C725" s="41"/>
      <c r="D725" s="40"/>
      <c r="E725" s="40" t="s">
        <v>3012</v>
      </c>
      <c r="F725" s="47">
        <f>LEN(G725)</f>
        <v>0</v>
      </c>
      <c r="G725" s="40"/>
      <c r="H725" s="40"/>
      <c r="I725" s="40"/>
      <c r="J725" s="40"/>
      <c r="K725" s="40"/>
      <c r="L725" s="40"/>
      <c r="M725" s="40"/>
      <c r="N725" s="47"/>
      <c r="O725" s="40"/>
      <c r="P725" s="40"/>
      <c r="Q725" s="40"/>
      <c r="R725" s="55"/>
      <c r="S725" s="41"/>
      <c r="T725" s="40"/>
    </row>
    <row r="726" spans="1:20" ht="24">
      <c r="A726" s="40" t="s">
        <v>655</v>
      </c>
      <c r="B726" s="40"/>
      <c r="C726" s="41"/>
      <c r="D726" s="40"/>
      <c r="E726" s="40" t="s">
        <v>3012</v>
      </c>
      <c r="F726" s="47">
        <f>LEN(G726)</f>
        <v>0</v>
      </c>
      <c r="G726" s="40"/>
      <c r="H726" s="40"/>
      <c r="I726" s="40"/>
      <c r="J726" s="40"/>
      <c r="K726" s="40"/>
      <c r="L726" s="40"/>
      <c r="M726" s="40"/>
      <c r="N726" s="47"/>
      <c r="O726" s="40"/>
      <c r="P726" s="40"/>
      <c r="Q726" s="40"/>
      <c r="R726" s="55"/>
      <c r="S726" s="41"/>
      <c r="T726" s="40"/>
    </row>
    <row r="727" spans="1:20" ht="24">
      <c r="A727" s="40" t="s">
        <v>655</v>
      </c>
      <c r="B727" s="40"/>
      <c r="C727" s="41"/>
      <c r="D727" s="40"/>
      <c r="E727" s="40" t="s">
        <v>3012</v>
      </c>
      <c r="F727" s="47">
        <f>LEN(G727)</f>
        <v>0</v>
      </c>
      <c r="G727" s="40"/>
      <c r="H727" s="40"/>
      <c r="I727" s="40"/>
      <c r="J727" s="40"/>
      <c r="K727" s="40"/>
      <c r="L727" s="40"/>
      <c r="M727" s="40"/>
      <c r="N727" s="47"/>
      <c r="O727" s="40"/>
      <c r="P727" s="40"/>
      <c r="Q727" s="40"/>
      <c r="R727" s="55"/>
      <c r="S727" s="41"/>
      <c r="T727" s="40"/>
    </row>
    <row r="728" spans="1:20" ht="24">
      <c r="A728" s="40" t="s">
        <v>655</v>
      </c>
      <c r="B728" s="40"/>
      <c r="C728" s="41"/>
      <c r="D728" s="40"/>
      <c r="E728" s="40" t="s">
        <v>3012</v>
      </c>
      <c r="F728" s="47">
        <f>LEN(G728)</f>
        <v>0</v>
      </c>
      <c r="G728" s="40"/>
      <c r="H728" s="40"/>
      <c r="I728" s="40"/>
      <c r="J728" s="40"/>
      <c r="K728" s="40"/>
      <c r="L728" s="40"/>
      <c r="M728" s="40"/>
      <c r="N728" s="47"/>
      <c r="O728" s="40"/>
      <c r="P728" s="40"/>
      <c r="Q728" s="40"/>
      <c r="R728" s="55"/>
      <c r="S728" s="41"/>
      <c r="T728" s="40"/>
    </row>
    <row r="729" spans="1:20" ht="24">
      <c r="A729" s="40" t="s">
        <v>655</v>
      </c>
      <c r="B729" s="40"/>
      <c r="C729" s="41"/>
      <c r="D729" s="40"/>
      <c r="E729" s="40" t="s">
        <v>3012</v>
      </c>
      <c r="F729" s="47">
        <f>LEN(G729)</f>
        <v>0</v>
      </c>
      <c r="G729" s="40"/>
      <c r="H729" s="40"/>
      <c r="I729" s="40"/>
      <c r="J729" s="40"/>
      <c r="K729" s="40"/>
      <c r="L729" s="40"/>
      <c r="M729" s="40"/>
      <c r="N729" s="47"/>
      <c r="O729" s="40"/>
      <c r="P729" s="40"/>
      <c r="Q729" s="40"/>
      <c r="R729" s="55"/>
      <c r="S729" s="41"/>
      <c r="T729" s="40"/>
    </row>
    <row r="730" spans="1:20" ht="24">
      <c r="A730" s="40" t="s">
        <v>655</v>
      </c>
      <c r="B730" s="40"/>
      <c r="C730" s="41"/>
      <c r="D730" s="40"/>
      <c r="E730" s="40" t="s">
        <v>3012</v>
      </c>
      <c r="F730" s="47">
        <f>LEN(G730)</f>
        <v>0</v>
      </c>
      <c r="G730" s="40"/>
      <c r="H730" s="40"/>
      <c r="I730" s="40"/>
      <c r="J730" s="40"/>
      <c r="K730" s="40"/>
      <c r="L730" s="40"/>
      <c r="M730" s="40"/>
      <c r="N730" s="47"/>
      <c r="O730" s="40"/>
      <c r="P730" s="40"/>
      <c r="Q730" s="40"/>
      <c r="R730" s="55"/>
      <c r="S730" s="41"/>
      <c r="T730" s="40"/>
    </row>
    <row r="731" spans="1:20" ht="24">
      <c r="A731" s="40" t="s">
        <v>655</v>
      </c>
      <c r="B731" s="40"/>
      <c r="C731" s="41"/>
      <c r="D731" s="40"/>
      <c r="E731" s="40" t="s">
        <v>3012</v>
      </c>
      <c r="F731" s="47">
        <f>LEN(G731)</f>
        <v>0</v>
      </c>
      <c r="G731" s="40"/>
      <c r="H731" s="40"/>
      <c r="I731" s="40"/>
      <c r="J731" s="40"/>
      <c r="K731" s="40"/>
      <c r="L731" s="40"/>
      <c r="M731" s="40"/>
      <c r="N731" s="47"/>
      <c r="O731" s="40"/>
      <c r="P731" s="40"/>
      <c r="Q731" s="40"/>
      <c r="R731" s="55"/>
      <c r="S731" s="41"/>
      <c r="T731" s="40"/>
    </row>
    <row r="732" spans="1:20" ht="24">
      <c r="A732" s="40" t="s">
        <v>655</v>
      </c>
      <c r="B732" s="40"/>
      <c r="C732" s="41"/>
      <c r="D732" s="40"/>
      <c r="E732" s="40" t="s">
        <v>3012</v>
      </c>
      <c r="F732" s="47">
        <f>LEN(G732)</f>
        <v>0</v>
      </c>
      <c r="G732" s="40"/>
      <c r="H732" s="40"/>
      <c r="I732" s="40"/>
      <c r="J732" s="40"/>
      <c r="K732" s="40"/>
      <c r="L732" s="40"/>
      <c r="M732" s="40"/>
      <c r="N732" s="47"/>
      <c r="O732" s="40"/>
      <c r="P732" s="40"/>
      <c r="Q732" s="40"/>
      <c r="R732" s="55"/>
      <c r="S732" s="41"/>
      <c r="T732" s="40"/>
    </row>
    <row r="733" spans="1:20" ht="24">
      <c r="A733" s="40" t="s">
        <v>655</v>
      </c>
      <c r="B733" s="40"/>
      <c r="C733" s="41"/>
      <c r="D733" s="40"/>
      <c r="E733" s="40" t="s">
        <v>3012</v>
      </c>
      <c r="F733" s="47">
        <f>LEN(G733)</f>
        <v>0</v>
      </c>
      <c r="G733" s="40"/>
      <c r="H733" s="40"/>
      <c r="I733" s="40"/>
      <c r="J733" s="40"/>
      <c r="K733" s="40"/>
      <c r="L733" s="40"/>
      <c r="M733" s="40"/>
      <c r="N733" s="47"/>
      <c r="O733" s="40"/>
      <c r="P733" s="40"/>
      <c r="Q733" s="40"/>
      <c r="R733" s="55"/>
      <c r="S733" s="41"/>
      <c r="T733" s="40"/>
    </row>
    <row r="734" spans="1:20" ht="24">
      <c r="A734" s="40" t="s">
        <v>655</v>
      </c>
      <c r="B734" s="40"/>
      <c r="C734" s="41"/>
      <c r="D734" s="40"/>
      <c r="E734" s="40" t="s">
        <v>3012</v>
      </c>
      <c r="F734" s="47">
        <f>LEN(G734)</f>
        <v>0</v>
      </c>
      <c r="G734" s="40"/>
      <c r="H734" s="40"/>
      <c r="I734" s="40"/>
      <c r="J734" s="40"/>
      <c r="K734" s="40"/>
      <c r="L734" s="40"/>
      <c r="M734" s="40"/>
      <c r="N734" s="47"/>
      <c r="O734" s="40"/>
      <c r="P734" s="40"/>
      <c r="Q734" s="40"/>
      <c r="R734" s="55"/>
      <c r="S734" s="41"/>
      <c r="T734" s="40"/>
    </row>
    <row r="735" spans="1:20" ht="24">
      <c r="A735" s="40" t="s">
        <v>655</v>
      </c>
      <c r="B735" s="40"/>
      <c r="C735" s="41"/>
      <c r="D735" s="40"/>
      <c r="E735" s="40" t="s">
        <v>3012</v>
      </c>
      <c r="F735" s="47">
        <f>LEN(G735)</f>
        <v>0</v>
      </c>
      <c r="G735" s="40"/>
      <c r="H735" s="40"/>
      <c r="I735" s="40"/>
      <c r="J735" s="40"/>
      <c r="K735" s="40"/>
      <c r="L735" s="40"/>
      <c r="M735" s="40"/>
      <c r="N735" s="47"/>
      <c r="O735" s="40"/>
      <c r="P735" s="40"/>
      <c r="Q735" s="40"/>
      <c r="R735" s="55"/>
      <c r="S735" s="41"/>
      <c r="T735" s="40"/>
    </row>
    <row r="736" spans="1:20" ht="24">
      <c r="A736" s="40" t="s">
        <v>655</v>
      </c>
      <c r="B736" s="40"/>
      <c r="C736" s="41"/>
      <c r="D736" s="40"/>
      <c r="E736" s="40" t="s">
        <v>3012</v>
      </c>
      <c r="F736" s="47">
        <f>LEN(G736)</f>
        <v>0</v>
      </c>
      <c r="G736" s="40"/>
      <c r="H736" s="40"/>
      <c r="I736" s="40"/>
      <c r="J736" s="40"/>
      <c r="K736" s="40"/>
      <c r="L736" s="40"/>
      <c r="M736" s="40"/>
      <c r="N736" s="47"/>
      <c r="O736" s="40"/>
      <c r="P736" s="40"/>
      <c r="Q736" s="40"/>
      <c r="R736" s="55"/>
      <c r="S736" s="41"/>
      <c r="T736" s="40"/>
    </row>
    <row r="737" spans="1:20" ht="24">
      <c r="A737" s="40" t="s">
        <v>655</v>
      </c>
      <c r="B737" s="40"/>
      <c r="C737" s="41"/>
      <c r="D737" s="40"/>
      <c r="E737" s="40" t="s">
        <v>3012</v>
      </c>
      <c r="F737" s="47">
        <f>LEN(G737)</f>
        <v>0</v>
      </c>
      <c r="G737" s="40"/>
      <c r="H737" s="40"/>
      <c r="I737" s="40"/>
      <c r="J737" s="40"/>
      <c r="K737" s="40"/>
      <c r="L737" s="40"/>
      <c r="M737" s="40"/>
      <c r="N737" s="47"/>
      <c r="O737" s="40"/>
      <c r="P737" s="40"/>
      <c r="Q737" s="40"/>
      <c r="R737" s="55"/>
      <c r="S737" s="41"/>
      <c r="T737" s="40"/>
    </row>
    <row r="738" spans="1:20" ht="24">
      <c r="A738" s="40" t="s">
        <v>655</v>
      </c>
      <c r="B738" s="40"/>
      <c r="C738" s="41"/>
      <c r="D738" s="40"/>
      <c r="E738" s="40" t="s">
        <v>3012</v>
      </c>
      <c r="F738" s="47">
        <f>LEN(G738)</f>
        <v>0</v>
      </c>
      <c r="G738" s="40"/>
      <c r="H738" s="40"/>
      <c r="I738" s="40"/>
      <c r="J738" s="40"/>
      <c r="K738" s="40"/>
      <c r="L738" s="40"/>
      <c r="M738" s="40"/>
      <c r="N738" s="47"/>
      <c r="O738" s="40"/>
      <c r="P738" s="40"/>
      <c r="Q738" s="40"/>
      <c r="R738" s="55"/>
      <c r="S738" s="41"/>
      <c r="T738" s="40"/>
    </row>
    <row r="739" spans="1:20" ht="24">
      <c r="A739" s="40" t="s">
        <v>655</v>
      </c>
      <c r="B739" s="40"/>
      <c r="C739" s="41"/>
      <c r="D739" s="40"/>
      <c r="E739" s="40" t="s">
        <v>3012</v>
      </c>
      <c r="F739" s="47">
        <f>LEN(G739)</f>
        <v>0</v>
      </c>
      <c r="G739" s="40"/>
      <c r="H739" s="40"/>
      <c r="I739" s="40"/>
      <c r="J739" s="40"/>
      <c r="K739" s="40"/>
      <c r="L739" s="40"/>
      <c r="M739" s="40"/>
      <c r="N739" s="47"/>
      <c r="O739" s="40"/>
      <c r="P739" s="40"/>
      <c r="Q739" s="40"/>
      <c r="R739" s="55"/>
      <c r="S739" s="41"/>
      <c r="T739" s="40"/>
    </row>
    <row r="740" spans="1:20" ht="24">
      <c r="A740" s="40" t="s">
        <v>655</v>
      </c>
      <c r="B740" s="40"/>
      <c r="C740" s="41"/>
      <c r="D740" s="40"/>
      <c r="E740" s="40" t="s">
        <v>3012</v>
      </c>
      <c r="F740" s="47">
        <f>LEN(G740)</f>
        <v>0</v>
      </c>
      <c r="G740" s="40"/>
      <c r="H740" s="40"/>
      <c r="I740" s="40"/>
      <c r="J740" s="40"/>
      <c r="K740" s="40"/>
      <c r="L740" s="40"/>
      <c r="M740" s="40"/>
      <c r="N740" s="47"/>
      <c r="O740" s="40"/>
      <c r="P740" s="40"/>
      <c r="Q740" s="40"/>
      <c r="R740" s="55"/>
      <c r="S740" s="41"/>
      <c r="T740" s="40"/>
    </row>
    <row r="741" spans="1:20" ht="24">
      <c r="A741" s="40" t="s">
        <v>655</v>
      </c>
      <c r="B741" s="40"/>
      <c r="C741" s="41"/>
      <c r="D741" s="40"/>
      <c r="E741" s="40" t="s">
        <v>3012</v>
      </c>
      <c r="F741" s="47">
        <f>LEN(G741)</f>
        <v>0</v>
      </c>
      <c r="G741" s="40"/>
      <c r="H741" s="40"/>
      <c r="I741" s="40"/>
      <c r="J741" s="40"/>
      <c r="K741" s="40"/>
      <c r="L741" s="40"/>
      <c r="M741" s="40"/>
      <c r="N741" s="47"/>
      <c r="O741" s="40"/>
      <c r="P741" s="40"/>
      <c r="Q741" s="40"/>
      <c r="R741" s="55"/>
      <c r="S741" s="41"/>
      <c r="T741" s="40"/>
    </row>
    <row r="742" spans="1:20" ht="24">
      <c r="A742" s="40" t="s">
        <v>655</v>
      </c>
      <c r="B742" s="40"/>
      <c r="C742" s="41"/>
      <c r="D742" s="40"/>
      <c r="E742" s="40" t="s">
        <v>3012</v>
      </c>
      <c r="F742" s="47">
        <f>LEN(G742)</f>
        <v>0</v>
      </c>
      <c r="G742" s="40"/>
      <c r="H742" s="40"/>
      <c r="I742" s="40"/>
      <c r="J742" s="40"/>
      <c r="K742" s="40"/>
      <c r="L742" s="40"/>
      <c r="M742" s="40"/>
      <c r="N742" s="47"/>
      <c r="O742" s="40"/>
      <c r="P742" s="40"/>
      <c r="Q742" s="40"/>
      <c r="R742" s="55"/>
      <c r="S742" s="41"/>
      <c r="T742" s="40"/>
    </row>
    <row r="743" spans="1:20" ht="24">
      <c r="A743" s="40" t="s">
        <v>655</v>
      </c>
      <c r="B743" s="40"/>
      <c r="C743" s="41"/>
      <c r="D743" s="40"/>
      <c r="E743" s="40" t="s">
        <v>3012</v>
      </c>
      <c r="F743" s="47">
        <f>LEN(G743)</f>
        <v>0</v>
      </c>
      <c r="G743" s="40"/>
      <c r="H743" s="40"/>
      <c r="I743" s="40"/>
      <c r="J743" s="40"/>
      <c r="K743" s="40"/>
      <c r="L743" s="40"/>
      <c r="M743" s="40"/>
      <c r="N743" s="47"/>
      <c r="O743" s="40"/>
      <c r="P743" s="40"/>
      <c r="Q743" s="40"/>
      <c r="R743" s="55"/>
      <c r="S743" s="41"/>
      <c r="T743" s="40"/>
    </row>
    <row r="744" spans="1:20" ht="24">
      <c r="A744" s="40" t="s">
        <v>655</v>
      </c>
      <c r="B744" s="40"/>
      <c r="C744" s="41"/>
      <c r="D744" s="40"/>
      <c r="E744" s="40" t="s">
        <v>3012</v>
      </c>
      <c r="F744" s="47">
        <f>LEN(G744)</f>
        <v>0</v>
      </c>
      <c r="G744" s="40"/>
      <c r="H744" s="40"/>
      <c r="I744" s="40"/>
      <c r="J744" s="40"/>
      <c r="K744" s="40"/>
      <c r="L744" s="40"/>
      <c r="M744" s="40"/>
      <c r="N744" s="47"/>
      <c r="O744" s="40"/>
      <c r="P744" s="40"/>
      <c r="Q744" s="40"/>
      <c r="R744" s="55"/>
      <c r="S744" s="41"/>
      <c r="T744" s="40"/>
    </row>
    <row r="745" spans="1:20" ht="24">
      <c r="A745" s="40" t="s">
        <v>655</v>
      </c>
      <c r="B745" s="40"/>
      <c r="C745" s="41"/>
      <c r="D745" s="40"/>
      <c r="E745" s="40" t="s">
        <v>3012</v>
      </c>
      <c r="F745" s="47">
        <f>LEN(G745)</f>
        <v>0</v>
      </c>
      <c r="G745" s="40"/>
      <c r="H745" s="40"/>
      <c r="I745" s="40"/>
      <c r="J745" s="40"/>
      <c r="K745" s="40"/>
      <c r="L745" s="40"/>
      <c r="M745" s="40"/>
      <c r="N745" s="47"/>
      <c r="O745" s="40"/>
      <c r="P745" s="40"/>
      <c r="Q745" s="40"/>
      <c r="R745" s="55"/>
      <c r="S745" s="41"/>
      <c r="T745" s="40"/>
    </row>
    <row r="746" spans="1:20" ht="24">
      <c r="A746" s="40" t="s">
        <v>655</v>
      </c>
      <c r="B746" s="40"/>
      <c r="C746" s="41"/>
      <c r="D746" s="40"/>
      <c r="E746" s="40" t="s">
        <v>3012</v>
      </c>
      <c r="F746" s="47">
        <f>LEN(G746)</f>
        <v>0</v>
      </c>
      <c r="G746" s="40"/>
      <c r="H746" s="40"/>
      <c r="I746" s="40"/>
      <c r="J746" s="40"/>
      <c r="K746" s="40"/>
      <c r="L746" s="40"/>
      <c r="M746" s="40"/>
      <c r="N746" s="47"/>
      <c r="O746" s="40"/>
      <c r="P746" s="40"/>
      <c r="Q746" s="40"/>
      <c r="R746" s="55"/>
      <c r="S746" s="41"/>
      <c r="T746" s="40"/>
    </row>
    <row r="747" spans="1:20" ht="24">
      <c r="A747" s="40" t="s">
        <v>655</v>
      </c>
      <c r="B747" s="40"/>
      <c r="C747" s="41"/>
      <c r="D747" s="40"/>
      <c r="E747" s="40" t="s">
        <v>3012</v>
      </c>
      <c r="F747" s="47">
        <f>LEN(G747)</f>
        <v>0</v>
      </c>
      <c r="G747" s="40"/>
      <c r="H747" s="40"/>
      <c r="I747" s="40"/>
      <c r="J747" s="40"/>
      <c r="K747" s="40"/>
      <c r="L747" s="40"/>
      <c r="M747" s="40"/>
      <c r="N747" s="47"/>
      <c r="O747" s="40"/>
      <c r="P747" s="40"/>
      <c r="Q747" s="40"/>
      <c r="R747" s="55"/>
      <c r="S747" s="41"/>
      <c r="T747" s="40"/>
    </row>
    <row r="748" spans="1:20" ht="24">
      <c r="A748" s="40" t="s">
        <v>655</v>
      </c>
      <c r="B748" s="40"/>
      <c r="C748" s="41"/>
      <c r="D748" s="40"/>
      <c r="E748" s="40" t="s">
        <v>3012</v>
      </c>
      <c r="F748" s="47">
        <f>LEN(G748)</f>
        <v>0</v>
      </c>
      <c r="G748" s="40"/>
      <c r="H748" s="40"/>
      <c r="I748" s="40"/>
      <c r="J748" s="40"/>
      <c r="K748" s="40"/>
      <c r="L748" s="40"/>
      <c r="M748" s="40"/>
      <c r="N748" s="47"/>
      <c r="O748" s="40"/>
      <c r="P748" s="40"/>
      <c r="Q748" s="40"/>
      <c r="R748" s="55"/>
      <c r="S748" s="41"/>
      <c r="T748" s="40"/>
    </row>
    <row r="749" spans="1:20" ht="24">
      <c r="A749" s="40" t="s">
        <v>655</v>
      </c>
      <c r="B749" s="40"/>
      <c r="C749" s="41"/>
      <c r="D749" s="40"/>
      <c r="E749" s="40" t="s">
        <v>3012</v>
      </c>
      <c r="F749" s="47">
        <f>LEN(G749)</f>
        <v>0</v>
      </c>
      <c r="G749" s="40"/>
      <c r="H749" s="40"/>
      <c r="I749" s="40"/>
      <c r="J749" s="40"/>
      <c r="K749" s="40"/>
      <c r="L749" s="40"/>
      <c r="M749" s="40"/>
      <c r="N749" s="47"/>
      <c r="O749" s="40"/>
      <c r="P749" s="40"/>
      <c r="Q749" s="40"/>
      <c r="R749" s="55"/>
      <c r="S749" s="41"/>
      <c r="T749" s="40"/>
    </row>
    <row r="750" spans="1:20" ht="24">
      <c r="A750" s="40" t="s">
        <v>655</v>
      </c>
      <c r="B750" s="40"/>
      <c r="C750" s="41"/>
      <c r="D750" s="40"/>
      <c r="E750" s="40" t="s">
        <v>3012</v>
      </c>
      <c r="F750" s="47">
        <f>LEN(G750)</f>
        <v>0</v>
      </c>
      <c r="G750" s="40"/>
      <c r="H750" s="40"/>
      <c r="I750" s="40"/>
      <c r="J750" s="40"/>
      <c r="K750" s="40"/>
      <c r="L750" s="40"/>
      <c r="M750" s="40"/>
      <c r="N750" s="47"/>
      <c r="O750" s="40"/>
      <c r="P750" s="40"/>
      <c r="Q750" s="40"/>
      <c r="R750" s="55"/>
      <c r="S750" s="41"/>
      <c r="T750" s="40"/>
    </row>
    <row r="751" spans="1:20" ht="24">
      <c r="A751" s="40" t="s">
        <v>655</v>
      </c>
      <c r="B751" s="40"/>
      <c r="C751" s="41"/>
      <c r="D751" s="40"/>
      <c r="E751" s="40" t="s">
        <v>3012</v>
      </c>
      <c r="F751" s="47">
        <f>LEN(G751)</f>
        <v>0</v>
      </c>
      <c r="G751" s="40"/>
      <c r="H751" s="40"/>
      <c r="I751" s="40"/>
      <c r="J751" s="40"/>
      <c r="K751" s="40"/>
      <c r="L751" s="40"/>
      <c r="M751" s="40"/>
      <c r="N751" s="47"/>
      <c r="O751" s="40"/>
      <c r="P751" s="40"/>
      <c r="Q751" s="40"/>
      <c r="R751" s="55"/>
      <c r="S751" s="41"/>
      <c r="T751" s="40"/>
    </row>
    <row r="752" spans="1:20" ht="24">
      <c r="A752" s="40" t="s">
        <v>655</v>
      </c>
      <c r="B752" s="40"/>
      <c r="C752" s="41"/>
      <c r="D752" s="40"/>
      <c r="E752" s="40" t="s">
        <v>3012</v>
      </c>
      <c r="F752" s="47">
        <f>LEN(G752)</f>
        <v>0</v>
      </c>
      <c r="G752" s="40"/>
      <c r="H752" s="40"/>
      <c r="I752" s="40"/>
      <c r="J752" s="40"/>
      <c r="K752" s="40"/>
      <c r="L752" s="40"/>
      <c r="M752" s="40"/>
      <c r="N752" s="47"/>
      <c r="O752" s="40"/>
      <c r="P752" s="40"/>
      <c r="Q752" s="40"/>
      <c r="R752" s="55"/>
      <c r="S752" s="41"/>
      <c r="T752" s="40"/>
    </row>
    <row r="753" spans="1:20" ht="24">
      <c r="A753" s="40" t="s">
        <v>655</v>
      </c>
      <c r="B753" s="40"/>
      <c r="C753" s="41"/>
      <c r="D753" s="40"/>
      <c r="E753" s="40" t="s">
        <v>3012</v>
      </c>
      <c r="F753" s="47">
        <f>LEN(G753)</f>
        <v>0</v>
      </c>
      <c r="G753" s="40"/>
      <c r="H753" s="40"/>
      <c r="I753" s="40"/>
      <c r="J753" s="40"/>
      <c r="K753" s="40"/>
      <c r="L753" s="40"/>
      <c r="M753" s="40"/>
      <c r="N753" s="47"/>
      <c r="O753" s="40"/>
      <c r="P753" s="40"/>
      <c r="Q753" s="40"/>
      <c r="R753" s="55"/>
      <c r="S753" s="41"/>
      <c r="T753" s="40"/>
    </row>
    <row r="754" spans="1:20" ht="24">
      <c r="A754" s="40" t="s">
        <v>655</v>
      </c>
      <c r="B754" s="40"/>
      <c r="C754" s="41"/>
      <c r="D754" s="40"/>
      <c r="E754" s="40" t="s">
        <v>3012</v>
      </c>
      <c r="F754" s="47">
        <f>LEN(G754)</f>
        <v>0</v>
      </c>
      <c r="G754" s="40"/>
      <c r="H754" s="40"/>
      <c r="I754" s="40"/>
      <c r="J754" s="40"/>
      <c r="K754" s="40"/>
      <c r="L754" s="40"/>
      <c r="M754" s="40"/>
      <c r="N754" s="47"/>
      <c r="O754" s="40"/>
      <c r="P754" s="40"/>
      <c r="Q754" s="40"/>
      <c r="R754" s="55"/>
      <c r="S754" s="41"/>
      <c r="T754" s="40"/>
    </row>
    <row r="755" spans="1:20" ht="24">
      <c r="A755" s="40" t="s">
        <v>655</v>
      </c>
      <c r="B755" s="40"/>
      <c r="C755" s="41"/>
      <c r="D755" s="40"/>
      <c r="E755" s="40" t="s">
        <v>3012</v>
      </c>
      <c r="F755" s="47">
        <f>LEN(G755)</f>
        <v>0</v>
      </c>
      <c r="G755" s="40"/>
      <c r="H755" s="40"/>
      <c r="I755" s="40"/>
      <c r="J755" s="40"/>
      <c r="K755" s="40"/>
      <c r="L755" s="40"/>
      <c r="M755" s="40"/>
      <c r="N755" s="47"/>
      <c r="O755" s="40"/>
      <c r="P755" s="40"/>
      <c r="Q755" s="40"/>
      <c r="R755" s="55"/>
      <c r="S755" s="41"/>
      <c r="T755" s="40"/>
    </row>
    <row r="756" spans="1:20" ht="24">
      <c r="A756" s="40" t="s">
        <v>655</v>
      </c>
      <c r="B756" s="40"/>
      <c r="C756" s="41"/>
      <c r="D756" s="40"/>
      <c r="E756" s="40" t="s">
        <v>3012</v>
      </c>
      <c r="F756" s="47">
        <f>LEN(G756)</f>
        <v>0</v>
      </c>
      <c r="G756" s="40"/>
      <c r="H756" s="40"/>
      <c r="I756" s="40"/>
      <c r="J756" s="40"/>
      <c r="K756" s="40"/>
      <c r="L756" s="40"/>
      <c r="M756" s="40"/>
      <c r="N756" s="47"/>
      <c r="O756" s="40"/>
      <c r="P756" s="40"/>
      <c r="Q756" s="40"/>
      <c r="R756" s="55"/>
      <c r="S756" s="41"/>
      <c r="T756" s="40"/>
    </row>
    <row r="757" spans="1:20" ht="24">
      <c r="A757" s="40" t="s">
        <v>655</v>
      </c>
      <c r="B757" s="40"/>
      <c r="C757" s="41"/>
      <c r="D757" s="40"/>
      <c r="E757" s="40" t="s">
        <v>3012</v>
      </c>
      <c r="F757" s="47">
        <f>LEN(G757)</f>
        <v>0</v>
      </c>
      <c r="G757" s="40"/>
      <c r="H757" s="40"/>
      <c r="I757" s="40"/>
      <c r="J757" s="40"/>
      <c r="K757" s="40"/>
      <c r="L757" s="40"/>
      <c r="M757" s="40"/>
      <c r="N757" s="47"/>
      <c r="O757" s="40"/>
      <c r="P757" s="40"/>
      <c r="Q757" s="40"/>
      <c r="R757" s="55"/>
      <c r="S757" s="41"/>
      <c r="T757" s="40"/>
    </row>
    <row r="758" spans="1:20" ht="24">
      <c r="A758" s="40" t="s">
        <v>655</v>
      </c>
      <c r="B758" s="40"/>
      <c r="C758" s="41"/>
      <c r="D758" s="40"/>
      <c r="E758" s="40" t="s">
        <v>3012</v>
      </c>
      <c r="F758" s="47">
        <f>LEN(G758)</f>
        <v>0</v>
      </c>
      <c r="G758" s="40"/>
      <c r="H758" s="40"/>
      <c r="I758" s="40"/>
      <c r="J758" s="40"/>
      <c r="K758" s="40"/>
      <c r="L758" s="40"/>
      <c r="M758" s="40"/>
      <c r="N758" s="47"/>
      <c r="O758" s="40"/>
      <c r="P758" s="40"/>
      <c r="Q758" s="40"/>
      <c r="R758" s="55"/>
      <c r="S758" s="41"/>
      <c r="T758" s="40"/>
    </row>
    <row r="759" spans="1:20" ht="24">
      <c r="A759" s="40" t="s">
        <v>655</v>
      </c>
      <c r="B759" s="40"/>
      <c r="C759" s="41"/>
      <c r="D759" s="40"/>
      <c r="E759" s="40" t="s">
        <v>3012</v>
      </c>
      <c r="F759" s="47">
        <f>LEN(G759)</f>
        <v>0</v>
      </c>
      <c r="G759" s="40"/>
      <c r="H759" s="40"/>
      <c r="I759" s="40"/>
      <c r="J759" s="40"/>
      <c r="K759" s="40"/>
      <c r="L759" s="40"/>
      <c r="M759" s="40"/>
      <c r="N759" s="47"/>
      <c r="O759" s="40"/>
      <c r="P759" s="40"/>
      <c r="Q759" s="40"/>
      <c r="R759" s="55"/>
      <c r="S759" s="41"/>
      <c r="T759" s="40"/>
    </row>
    <row r="760" spans="1:20" ht="24">
      <c r="A760" s="40" t="s">
        <v>655</v>
      </c>
      <c r="B760" s="40"/>
      <c r="C760" s="41"/>
      <c r="D760" s="40"/>
      <c r="E760" s="40" t="s">
        <v>3012</v>
      </c>
      <c r="F760" s="47">
        <f>LEN(G760)</f>
        <v>0</v>
      </c>
      <c r="G760" s="40"/>
      <c r="H760" s="40"/>
      <c r="I760" s="40"/>
      <c r="J760" s="40"/>
      <c r="K760" s="40"/>
      <c r="L760" s="40"/>
      <c r="M760" s="40"/>
      <c r="N760" s="47"/>
      <c r="O760" s="40"/>
      <c r="P760" s="40"/>
      <c r="Q760" s="40"/>
      <c r="R760" s="55"/>
      <c r="S760" s="41"/>
      <c r="T760" s="40"/>
    </row>
    <row r="761" spans="1:20" ht="24">
      <c r="A761" s="40" t="s">
        <v>655</v>
      </c>
      <c r="B761" s="40"/>
      <c r="C761" s="41"/>
      <c r="D761" s="40"/>
      <c r="E761" s="40" t="s">
        <v>3012</v>
      </c>
      <c r="F761" s="47">
        <f>LEN(G761)</f>
        <v>0</v>
      </c>
      <c r="G761" s="40"/>
      <c r="H761" s="40"/>
      <c r="I761" s="40"/>
      <c r="J761" s="40"/>
      <c r="K761" s="40"/>
      <c r="L761" s="40"/>
      <c r="M761" s="40"/>
      <c r="N761" s="47"/>
      <c r="O761" s="40"/>
      <c r="P761" s="40"/>
      <c r="Q761" s="40"/>
      <c r="R761" s="55"/>
      <c r="S761" s="41"/>
      <c r="T761" s="40"/>
    </row>
    <row r="762" spans="1:20" ht="24">
      <c r="A762" s="40" t="s">
        <v>655</v>
      </c>
      <c r="B762" s="40"/>
      <c r="C762" s="41"/>
      <c r="D762" s="40"/>
      <c r="E762" s="40" t="s">
        <v>3012</v>
      </c>
      <c r="F762" s="47">
        <f>LEN(G762)</f>
        <v>0</v>
      </c>
      <c r="G762" s="40"/>
      <c r="H762" s="40"/>
      <c r="I762" s="40"/>
      <c r="J762" s="40"/>
      <c r="K762" s="40"/>
      <c r="L762" s="40"/>
      <c r="M762" s="40"/>
      <c r="N762" s="47"/>
      <c r="O762" s="40"/>
      <c r="P762" s="40"/>
      <c r="Q762" s="40"/>
      <c r="R762" s="55"/>
      <c r="S762" s="41"/>
      <c r="T762" s="40"/>
    </row>
    <row r="763" spans="1:20" ht="24">
      <c r="A763" s="40" t="s">
        <v>655</v>
      </c>
      <c r="B763" s="40"/>
      <c r="C763" s="41"/>
      <c r="D763" s="40"/>
      <c r="E763" s="40" t="s">
        <v>3012</v>
      </c>
      <c r="F763" s="47">
        <f>LEN(G763)</f>
        <v>0</v>
      </c>
      <c r="G763" s="40"/>
      <c r="H763" s="40"/>
      <c r="I763" s="40"/>
      <c r="J763" s="40"/>
      <c r="K763" s="40"/>
      <c r="L763" s="40"/>
      <c r="M763" s="40"/>
      <c r="N763" s="47"/>
      <c r="O763" s="40"/>
      <c r="P763" s="40"/>
      <c r="Q763" s="40"/>
      <c r="R763" s="55"/>
      <c r="S763" s="41"/>
      <c r="T763" s="40"/>
    </row>
    <row r="764" spans="1:20" ht="24">
      <c r="A764" s="40" t="s">
        <v>655</v>
      </c>
      <c r="B764" s="40"/>
      <c r="C764" s="41"/>
      <c r="D764" s="40"/>
      <c r="E764" s="40" t="s">
        <v>3012</v>
      </c>
      <c r="F764" s="47">
        <f>LEN(G764)</f>
        <v>0</v>
      </c>
      <c r="G764" s="40"/>
      <c r="H764" s="40"/>
      <c r="I764" s="40"/>
      <c r="J764" s="40"/>
      <c r="K764" s="40"/>
      <c r="L764" s="40"/>
      <c r="M764" s="40"/>
      <c r="N764" s="47"/>
      <c r="O764" s="40"/>
      <c r="P764" s="40"/>
      <c r="Q764" s="40"/>
      <c r="R764" s="55"/>
      <c r="S764" s="41"/>
      <c r="T764" s="40"/>
    </row>
    <row r="765" spans="1:20" ht="24">
      <c r="A765" s="40" t="s">
        <v>655</v>
      </c>
      <c r="B765" s="40"/>
      <c r="C765" s="41"/>
      <c r="D765" s="40"/>
      <c r="E765" s="40" t="s">
        <v>3012</v>
      </c>
      <c r="F765" s="47">
        <f>LEN(G765)</f>
        <v>0</v>
      </c>
      <c r="G765" s="40"/>
      <c r="H765" s="40"/>
      <c r="I765" s="40"/>
      <c r="J765" s="40"/>
      <c r="K765" s="40"/>
      <c r="L765" s="40"/>
      <c r="M765" s="40"/>
      <c r="N765" s="47"/>
      <c r="O765" s="40"/>
      <c r="P765" s="40"/>
      <c r="Q765" s="40"/>
      <c r="R765" s="55"/>
      <c r="S765" s="41"/>
      <c r="T765" s="40"/>
    </row>
    <row r="766" spans="1:20" ht="24">
      <c r="A766" s="40" t="s">
        <v>655</v>
      </c>
      <c r="B766" s="40"/>
      <c r="C766" s="41"/>
      <c r="D766" s="40"/>
      <c r="E766" s="40" t="s">
        <v>3012</v>
      </c>
      <c r="F766" s="47">
        <f>LEN(G766)</f>
        <v>0</v>
      </c>
      <c r="G766" s="40"/>
      <c r="H766" s="40"/>
      <c r="I766" s="40"/>
      <c r="J766" s="40"/>
      <c r="K766" s="40"/>
      <c r="L766" s="40"/>
      <c r="M766" s="40"/>
      <c r="N766" s="47"/>
      <c r="O766" s="40"/>
      <c r="P766" s="40"/>
      <c r="Q766" s="40"/>
      <c r="R766" s="55"/>
      <c r="S766" s="41"/>
      <c r="T766" s="40"/>
    </row>
    <row r="767" spans="1:20" ht="24">
      <c r="A767" s="40" t="s">
        <v>655</v>
      </c>
      <c r="B767" s="40"/>
      <c r="C767" s="41"/>
      <c r="D767" s="40"/>
      <c r="E767" s="40" t="s">
        <v>3012</v>
      </c>
      <c r="F767" s="47">
        <f>LEN(G767)</f>
        <v>0</v>
      </c>
      <c r="G767" s="40"/>
      <c r="H767" s="40"/>
      <c r="I767" s="40"/>
      <c r="J767" s="40"/>
      <c r="K767" s="40"/>
      <c r="L767" s="40"/>
      <c r="M767" s="40"/>
      <c r="N767" s="47"/>
      <c r="O767" s="40"/>
      <c r="P767" s="40"/>
      <c r="Q767" s="40"/>
      <c r="R767" s="55"/>
      <c r="S767" s="41"/>
      <c r="T767" s="40"/>
    </row>
    <row r="768" spans="1:20" ht="24">
      <c r="A768" s="40" t="s">
        <v>655</v>
      </c>
      <c r="B768" s="40"/>
      <c r="C768" s="41"/>
      <c r="D768" s="40"/>
      <c r="E768" s="40" t="s">
        <v>3012</v>
      </c>
      <c r="F768" s="47">
        <f>LEN(G768)</f>
        <v>0</v>
      </c>
      <c r="G768" s="40"/>
      <c r="H768" s="40"/>
      <c r="I768" s="40"/>
      <c r="J768" s="40"/>
      <c r="K768" s="40"/>
      <c r="L768" s="40"/>
      <c r="M768" s="40"/>
      <c r="N768" s="47"/>
      <c r="O768" s="40"/>
      <c r="P768" s="40"/>
      <c r="Q768" s="40"/>
      <c r="R768" s="55"/>
      <c r="S768" s="41"/>
      <c r="T768" s="40"/>
    </row>
    <row r="769" spans="1:20" ht="24">
      <c r="A769" s="40" t="s">
        <v>655</v>
      </c>
      <c r="B769" s="40"/>
      <c r="C769" s="41"/>
      <c r="D769" s="40"/>
      <c r="E769" s="40" t="s">
        <v>3012</v>
      </c>
      <c r="F769" s="47">
        <f>LEN(G769)</f>
        <v>0</v>
      </c>
      <c r="G769" s="40"/>
      <c r="H769" s="40"/>
      <c r="I769" s="40"/>
      <c r="J769" s="40"/>
      <c r="K769" s="40"/>
      <c r="L769" s="40"/>
      <c r="M769" s="40"/>
      <c r="N769" s="47"/>
      <c r="O769" s="40"/>
      <c r="P769" s="40"/>
      <c r="Q769" s="40"/>
      <c r="R769" s="55"/>
      <c r="S769" s="41"/>
      <c r="T769" s="40"/>
    </row>
    <row r="770" spans="1:20" ht="24">
      <c r="A770" s="40" t="s">
        <v>655</v>
      </c>
      <c r="B770" s="40"/>
      <c r="C770" s="41"/>
      <c r="D770" s="40"/>
      <c r="E770" s="40" t="s">
        <v>3012</v>
      </c>
      <c r="F770" s="47">
        <f>LEN(G770)</f>
        <v>0</v>
      </c>
      <c r="G770" s="40"/>
      <c r="H770" s="40"/>
      <c r="I770" s="40"/>
      <c r="J770" s="40"/>
      <c r="K770" s="40"/>
      <c r="L770" s="40"/>
      <c r="M770" s="40"/>
      <c r="N770" s="47"/>
      <c r="O770" s="40"/>
      <c r="P770" s="40"/>
      <c r="Q770" s="40"/>
      <c r="R770" s="55"/>
      <c r="S770" s="41"/>
      <c r="T770" s="40"/>
    </row>
    <row r="771" spans="1:20" ht="24">
      <c r="A771" s="40" t="s">
        <v>655</v>
      </c>
      <c r="B771" s="40"/>
      <c r="C771" s="41"/>
      <c r="D771" s="40"/>
      <c r="E771" s="40" t="s">
        <v>3012</v>
      </c>
      <c r="F771" s="47">
        <f>LEN(G771)</f>
        <v>0</v>
      </c>
      <c r="G771" s="40"/>
      <c r="H771" s="40"/>
      <c r="I771" s="40"/>
      <c r="J771" s="40"/>
      <c r="K771" s="40"/>
      <c r="L771" s="40"/>
      <c r="M771" s="40"/>
      <c r="N771" s="47"/>
      <c r="O771" s="40"/>
      <c r="P771" s="40"/>
      <c r="Q771" s="40"/>
      <c r="R771" s="55"/>
      <c r="S771" s="41"/>
      <c r="T771" s="40"/>
    </row>
    <row r="772" spans="1:20" ht="24">
      <c r="A772" s="40" t="s">
        <v>655</v>
      </c>
      <c r="B772" s="40"/>
      <c r="C772" s="41"/>
      <c r="D772" s="40"/>
      <c r="E772" s="40" t="s">
        <v>3012</v>
      </c>
      <c r="F772" s="47">
        <f>LEN(G772)</f>
        <v>0</v>
      </c>
      <c r="G772" s="40"/>
      <c r="H772" s="40"/>
      <c r="I772" s="40"/>
      <c r="J772" s="40"/>
      <c r="K772" s="40"/>
      <c r="L772" s="40"/>
      <c r="M772" s="40"/>
      <c r="N772" s="47"/>
      <c r="O772" s="40"/>
      <c r="P772" s="40"/>
      <c r="Q772" s="40"/>
      <c r="R772" s="55"/>
      <c r="S772" s="41"/>
      <c r="T772" s="40"/>
    </row>
    <row r="773" spans="1:20" ht="24">
      <c r="A773" s="40" t="s">
        <v>655</v>
      </c>
      <c r="B773" s="40"/>
      <c r="C773" s="41"/>
      <c r="D773" s="40"/>
      <c r="E773" s="40" t="s">
        <v>3012</v>
      </c>
      <c r="F773" s="47">
        <f>LEN(G773)</f>
        <v>0</v>
      </c>
      <c r="G773" s="40"/>
      <c r="H773" s="40"/>
      <c r="I773" s="40"/>
      <c r="J773" s="40"/>
      <c r="K773" s="40"/>
      <c r="L773" s="40"/>
      <c r="M773" s="40"/>
      <c r="N773" s="47"/>
      <c r="O773" s="40"/>
      <c r="P773" s="40"/>
      <c r="Q773" s="40"/>
      <c r="R773" s="55"/>
      <c r="S773" s="41"/>
      <c r="T773" s="40"/>
    </row>
    <row r="774" spans="1:20" ht="24">
      <c r="A774" s="40" t="s">
        <v>655</v>
      </c>
      <c r="B774" s="40"/>
      <c r="C774" s="41"/>
      <c r="D774" s="40"/>
      <c r="E774" s="40" t="s">
        <v>3012</v>
      </c>
      <c r="F774" s="47">
        <f>LEN(G774)</f>
        <v>0</v>
      </c>
      <c r="G774" s="40"/>
      <c r="H774" s="40"/>
      <c r="I774" s="40"/>
      <c r="J774" s="40"/>
      <c r="K774" s="40"/>
      <c r="L774" s="40"/>
      <c r="M774" s="40"/>
      <c r="N774" s="47"/>
      <c r="O774" s="40"/>
      <c r="P774" s="40"/>
      <c r="Q774" s="40"/>
      <c r="R774" s="55"/>
      <c r="S774" s="41"/>
      <c r="T774" s="40"/>
    </row>
    <row r="775" spans="1:20" ht="24">
      <c r="A775" s="40" t="s">
        <v>655</v>
      </c>
      <c r="B775" s="40"/>
      <c r="C775" s="41"/>
      <c r="D775" s="40"/>
      <c r="E775" s="40" t="s">
        <v>3012</v>
      </c>
      <c r="F775" s="47">
        <f>LEN(G775)</f>
        <v>0</v>
      </c>
      <c r="G775" s="40"/>
      <c r="H775" s="40"/>
      <c r="I775" s="40"/>
      <c r="J775" s="40"/>
      <c r="K775" s="40"/>
      <c r="L775" s="40"/>
      <c r="M775" s="40"/>
      <c r="N775" s="47"/>
      <c r="O775" s="40"/>
      <c r="P775" s="40"/>
      <c r="Q775" s="40"/>
      <c r="R775" s="55"/>
      <c r="S775" s="41"/>
      <c r="T775" s="40"/>
    </row>
    <row r="776" spans="1:20" ht="24">
      <c r="A776" s="40" t="s">
        <v>655</v>
      </c>
      <c r="B776" s="40"/>
      <c r="C776" s="41"/>
      <c r="D776" s="40"/>
      <c r="E776" s="40" t="s">
        <v>3012</v>
      </c>
      <c r="F776" s="47">
        <f>LEN(G776)</f>
        <v>0</v>
      </c>
      <c r="G776" s="40"/>
      <c r="H776" s="40"/>
      <c r="I776" s="40"/>
      <c r="J776" s="40"/>
      <c r="K776" s="40"/>
      <c r="L776" s="40"/>
      <c r="M776" s="40"/>
      <c r="N776" s="47"/>
      <c r="O776" s="40"/>
      <c r="P776" s="40"/>
      <c r="Q776" s="40"/>
      <c r="R776" s="55"/>
      <c r="S776" s="41"/>
      <c r="T776" s="40"/>
    </row>
    <row r="777" spans="1:20" ht="24">
      <c r="A777" s="40" t="s">
        <v>655</v>
      </c>
      <c r="B777" s="40"/>
      <c r="C777" s="41"/>
      <c r="D777" s="40"/>
      <c r="E777" s="40" t="s">
        <v>3012</v>
      </c>
      <c r="F777" s="47">
        <f>LEN(G777)</f>
        <v>0</v>
      </c>
      <c r="G777" s="40"/>
      <c r="H777" s="40"/>
      <c r="I777" s="40"/>
      <c r="J777" s="40"/>
      <c r="K777" s="40"/>
      <c r="L777" s="40"/>
      <c r="M777" s="40"/>
      <c r="N777" s="47"/>
      <c r="O777" s="40"/>
      <c r="P777" s="40"/>
      <c r="Q777" s="40"/>
      <c r="R777" s="55"/>
      <c r="S777" s="41"/>
      <c r="T777" s="40"/>
    </row>
    <row r="778" spans="1:20" ht="24">
      <c r="A778" s="40" t="s">
        <v>655</v>
      </c>
      <c r="B778" s="40"/>
      <c r="C778" s="41"/>
      <c r="D778" s="40"/>
      <c r="E778" s="40" t="s">
        <v>3012</v>
      </c>
      <c r="F778" s="47">
        <f>LEN(G778)</f>
        <v>0</v>
      </c>
      <c r="G778" s="40"/>
      <c r="H778" s="40"/>
      <c r="I778" s="40"/>
      <c r="J778" s="40"/>
      <c r="K778" s="40"/>
      <c r="L778" s="40"/>
      <c r="M778" s="40"/>
      <c r="N778" s="47"/>
      <c r="O778" s="40"/>
      <c r="P778" s="40"/>
      <c r="Q778" s="40"/>
      <c r="R778" s="55"/>
      <c r="S778" s="41"/>
      <c r="T778" s="40"/>
    </row>
    <row r="779" spans="1:20" ht="24">
      <c r="A779" s="40" t="s">
        <v>655</v>
      </c>
      <c r="B779" s="40"/>
      <c r="C779" s="41"/>
      <c r="D779" s="40"/>
      <c r="E779" s="40" t="s">
        <v>3012</v>
      </c>
      <c r="F779" s="47">
        <f>LEN(G779)</f>
        <v>0</v>
      </c>
      <c r="G779" s="40"/>
      <c r="H779" s="40"/>
      <c r="I779" s="40"/>
      <c r="J779" s="40"/>
      <c r="K779" s="40"/>
      <c r="L779" s="40"/>
      <c r="M779" s="40"/>
      <c r="N779" s="47"/>
      <c r="O779" s="40"/>
      <c r="P779" s="40"/>
      <c r="Q779" s="40"/>
      <c r="R779" s="55"/>
      <c r="S779" s="41"/>
      <c r="T779" s="40"/>
    </row>
    <row r="780" spans="1:20" ht="24">
      <c r="A780" s="40" t="s">
        <v>655</v>
      </c>
      <c r="B780" s="40"/>
      <c r="C780" s="41"/>
      <c r="D780" s="40"/>
      <c r="E780" s="40" t="s">
        <v>3012</v>
      </c>
      <c r="F780" s="47">
        <f>LEN(G780)</f>
        <v>0</v>
      </c>
      <c r="G780" s="40"/>
      <c r="H780" s="40"/>
      <c r="I780" s="40"/>
      <c r="J780" s="40"/>
      <c r="K780" s="40"/>
      <c r="L780" s="40"/>
      <c r="M780" s="40"/>
      <c r="N780" s="47"/>
      <c r="O780" s="40"/>
      <c r="P780" s="40"/>
      <c r="Q780" s="40"/>
      <c r="R780" s="55"/>
      <c r="S780" s="41"/>
      <c r="T780" s="40"/>
    </row>
    <row r="781" spans="1:20" ht="24">
      <c r="A781" s="40" t="s">
        <v>655</v>
      </c>
      <c r="B781" s="40"/>
      <c r="C781" s="41"/>
      <c r="D781" s="40"/>
      <c r="E781" s="40" t="s">
        <v>3012</v>
      </c>
      <c r="F781" s="47">
        <f>LEN(G781)</f>
        <v>0</v>
      </c>
      <c r="G781" s="40"/>
      <c r="H781" s="40"/>
      <c r="I781" s="40"/>
      <c r="J781" s="40"/>
      <c r="K781" s="40"/>
      <c r="L781" s="40"/>
      <c r="M781" s="40"/>
      <c r="N781" s="47"/>
      <c r="O781" s="40"/>
      <c r="P781" s="40"/>
      <c r="Q781" s="40"/>
      <c r="R781" s="55"/>
      <c r="S781" s="41"/>
      <c r="T781" s="40"/>
    </row>
    <row r="782" spans="1:20" ht="24">
      <c r="A782" s="40" t="s">
        <v>655</v>
      </c>
      <c r="B782" s="40"/>
      <c r="C782" s="41"/>
      <c r="D782" s="40"/>
      <c r="E782" s="40" t="s">
        <v>3012</v>
      </c>
      <c r="F782" s="47">
        <f>LEN(G782)</f>
        <v>0</v>
      </c>
      <c r="G782" s="40"/>
      <c r="H782" s="40"/>
      <c r="I782" s="40"/>
      <c r="J782" s="40"/>
      <c r="K782" s="40"/>
      <c r="L782" s="40"/>
      <c r="M782" s="40"/>
      <c r="N782" s="47"/>
      <c r="O782" s="40"/>
      <c r="P782" s="40"/>
      <c r="Q782" s="40"/>
      <c r="R782" s="55"/>
      <c r="S782" s="41"/>
      <c r="T782" s="40"/>
    </row>
    <row r="783" spans="1:20" ht="24">
      <c r="A783" s="40" t="s">
        <v>655</v>
      </c>
      <c r="B783" s="40"/>
      <c r="C783" s="41"/>
      <c r="D783" s="40"/>
      <c r="E783" s="40" t="s">
        <v>3012</v>
      </c>
      <c r="F783" s="47">
        <f>LEN(G783)</f>
        <v>0</v>
      </c>
      <c r="G783" s="40"/>
      <c r="H783" s="40"/>
      <c r="I783" s="40"/>
      <c r="J783" s="40"/>
      <c r="K783" s="40"/>
      <c r="L783" s="40"/>
      <c r="M783" s="40"/>
      <c r="N783" s="47"/>
      <c r="O783" s="40"/>
      <c r="P783" s="40"/>
      <c r="Q783" s="40"/>
      <c r="R783" s="55"/>
      <c r="S783" s="41"/>
      <c r="T783" s="40"/>
    </row>
    <row r="784" spans="1:20" ht="24">
      <c r="A784" s="40" t="s">
        <v>655</v>
      </c>
      <c r="B784" s="40"/>
      <c r="C784" s="41"/>
      <c r="D784" s="40"/>
      <c r="E784" s="40" t="s">
        <v>3012</v>
      </c>
      <c r="F784" s="47">
        <f>LEN(G784)</f>
        <v>0</v>
      </c>
      <c r="G784" s="40"/>
      <c r="H784" s="40"/>
      <c r="I784" s="40"/>
      <c r="J784" s="40"/>
      <c r="K784" s="40"/>
      <c r="L784" s="40"/>
      <c r="M784" s="40"/>
      <c r="N784" s="47"/>
      <c r="O784" s="40"/>
      <c r="P784" s="40"/>
      <c r="Q784" s="40"/>
      <c r="R784" s="55"/>
      <c r="S784" s="41"/>
      <c r="T784" s="40"/>
    </row>
    <row r="785" spans="1:20" ht="24">
      <c r="A785" s="40" t="s">
        <v>655</v>
      </c>
      <c r="B785" s="40"/>
      <c r="C785" s="41"/>
      <c r="D785" s="40"/>
      <c r="E785" s="40" t="s">
        <v>3012</v>
      </c>
      <c r="F785" s="47">
        <f>LEN(G785)</f>
        <v>0</v>
      </c>
      <c r="G785" s="40"/>
      <c r="H785" s="40"/>
      <c r="I785" s="40"/>
      <c r="J785" s="40"/>
      <c r="K785" s="40"/>
      <c r="L785" s="40"/>
      <c r="M785" s="40"/>
      <c r="N785" s="47"/>
      <c r="O785" s="40"/>
      <c r="P785" s="40"/>
      <c r="Q785" s="40"/>
      <c r="R785" s="55"/>
      <c r="S785" s="41"/>
      <c r="T785" s="40"/>
    </row>
    <row r="786" spans="1:20" ht="24">
      <c r="A786" s="40" t="s">
        <v>655</v>
      </c>
      <c r="B786" s="40"/>
      <c r="C786" s="41"/>
      <c r="D786" s="40"/>
      <c r="E786" s="40" t="s">
        <v>3012</v>
      </c>
      <c r="F786" s="47">
        <f>LEN(G786)</f>
        <v>0</v>
      </c>
      <c r="G786" s="40"/>
      <c r="H786" s="40"/>
      <c r="I786" s="40"/>
      <c r="J786" s="40"/>
      <c r="K786" s="40"/>
      <c r="L786" s="40"/>
      <c r="M786" s="40"/>
      <c r="N786" s="47"/>
      <c r="O786" s="40"/>
      <c r="P786" s="40"/>
      <c r="Q786" s="40"/>
      <c r="R786" s="55"/>
      <c r="S786" s="41"/>
      <c r="T786" s="40"/>
    </row>
    <row r="787" spans="1:20" ht="24">
      <c r="A787" s="40" t="s">
        <v>655</v>
      </c>
      <c r="B787" s="40"/>
      <c r="C787" s="41"/>
      <c r="D787" s="40"/>
      <c r="E787" s="40" t="s">
        <v>3012</v>
      </c>
      <c r="F787" s="47">
        <f>LEN(G787)</f>
        <v>0</v>
      </c>
      <c r="G787" s="40"/>
      <c r="H787" s="40"/>
      <c r="I787" s="40"/>
      <c r="J787" s="40"/>
      <c r="K787" s="40"/>
      <c r="L787" s="40"/>
      <c r="M787" s="40"/>
      <c r="N787" s="47"/>
      <c r="O787" s="40"/>
      <c r="P787" s="40"/>
      <c r="Q787" s="40"/>
      <c r="R787" s="55"/>
      <c r="S787" s="41"/>
      <c r="T787" s="40"/>
    </row>
    <row r="788" spans="1:20" ht="24">
      <c r="A788" s="40" t="s">
        <v>655</v>
      </c>
      <c r="B788" s="40"/>
      <c r="C788" s="41"/>
      <c r="D788" s="40"/>
      <c r="E788" s="40" t="s">
        <v>3012</v>
      </c>
      <c r="F788" s="47">
        <f>LEN(G788)</f>
        <v>0</v>
      </c>
      <c r="G788" s="40"/>
      <c r="H788" s="40"/>
      <c r="I788" s="40"/>
      <c r="J788" s="40"/>
      <c r="K788" s="40"/>
      <c r="L788" s="40"/>
      <c r="M788" s="40"/>
      <c r="N788" s="47"/>
      <c r="O788" s="40"/>
      <c r="P788" s="40"/>
      <c r="Q788" s="40"/>
      <c r="R788" s="55"/>
      <c r="S788" s="41"/>
      <c r="T788" s="40"/>
    </row>
    <row r="789" spans="1:20" ht="24">
      <c r="A789" s="40" t="s">
        <v>655</v>
      </c>
      <c r="B789" s="40"/>
      <c r="C789" s="41"/>
      <c r="D789" s="40"/>
      <c r="E789" s="40" t="s">
        <v>3012</v>
      </c>
      <c r="F789" s="47">
        <f>LEN(G789)</f>
        <v>0</v>
      </c>
      <c r="G789" s="40"/>
      <c r="H789" s="40"/>
      <c r="I789" s="40"/>
      <c r="J789" s="40"/>
      <c r="K789" s="40"/>
      <c r="L789" s="40"/>
      <c r="M789" s="40"/>
      <c r="N789" s="47"/>
      <c r="O789" s="40"/>
      <c r="P789" s="40"/>
      <c r="Q789" s="40"/>
      <c r="R789" s="55"/>
      <c r="S789" s="41"/>
      <c r="T789" s="40"/>
    </row>
    <row r="790" spans="1:20" ht="24">
      <c r="A790" s="40" t="s">
        <v>655</v>
      </c>
      <c r="B790" s="40"/>
      <c r="C790" s="41"/>
      <c r="D790" s="40"/>
      <c r="E790" s="40" t="s">
        <v>3012</v>
      </c>
      <c r="F790" s="47">
        <f>LEN(G790)</f>
        <v>0</v>
      </c>
      <c r="G790" s="40"/>
      <c r="H790" s="40"/>
      <c r="I790" s="40"/>
      <c r="J790" s="40"/>
      <c r="K790" s="40"/>
      <c r="L790" s="40"/>
      <c r="M790" s="40"/>
      <c r="N790" s="47"/>
      <c r="O790" s="40"/>
      <c r="P790" s="40"/>
      <c r="Q790" s="40"/>
      <c r="R790" s="55"/>
      <c r="S790" s="41"/>
      <c r="T790" s="40"/>
    </row>
    <row r="791" spans="1:20" ht="24">
      <c r="A791" s="40" t="s">
        <v>655</v>
      </c>
      <c r="B791" s="40"/>
      <c r="C791" s="41"/>
      <c r="D791" s="40"/>
      <c r="E791" s="40" t="s">
        <v>3012</v>
      </c>
      <c r="F791" s="47">
        <f>LEN(G791)</f>
        <v>0</v>
      </c>
      <c r="G791" s="40"/>
      <c r="H791" s="40"/>
      <c r="I791" s="40"/>
      <c r="J791" s="40"/>
      <c r="K791" s="40"/>
      <c r="L791" s="40"/>
      <c r="M791" s="40"/>
      <c r="N791" s="47"/>
      <c r="O791" s="40"/>
      <c r="P791" s="40"/>
      <c r="Q791" s="40"/>
      <c r="R791" s="55"/>
      <c r="S791" s="41"/>
      <c r="T791" s="40"/>
    </row>
    <row r="792" spans="1:20" ht="24">
      <c r="A792" s="40" t="s">
        <v>655</v>
      </c>
      <c r="B792" s="40"/>
      <c r="C792" s="41"/>
      <c r="D792" s="40"/>
      <c r="E792" s="40" t="s">
        <v>3012</v>
      </c>
      <c r="F792" s="47">
        <f>LEN(G792)</f>
        <v>0</v>
      </c>
      <c r="G792" s="40"/>
      <c r="H792" s="40"/>
      <c r="I792" s="40"/>
      <c r="J792" s="40"/>
      <c r="K792" s="40"/>
      <c r="L792" s="40"/>
      <c r="M792" s="40"/>
      <c r="N792" s="47"/>
      <c r="O792" s="40"/>
      <c r="P792" s="40"/>
      <c r="Q792" s="40"/>
      <c r="R792" s="55"/>
      <c r="S792" s="41"/>
      <c r="T792" s="40"/>
    </row>
    <row r="793" spans="1:20" ht="24">
      <c r="A793" s="40" t="s">
        <v>655</v>
      </c>
      <c r="B793" s="40"/>
      <c r="C793" s="41"/>
      <c r="D793" s="40"/>
      <c r="E793" s="40" t="s">
        <v>3012</v>
      </c>
      <c r="F793" s="47">
        <f>LEN(G793)</f>
        <v>0</v>
      </c>
      <c r="G793" s="40"/>
      <c r="H793" s="40"/>
      <c r="I793" s="40"/>
      <c r="J793" s="40"/>
      <c r="K793" s="40"/>
      <c r="L793" s="40"/>
      <c r="M793" s="40"/>
      <c r="N793" s="47"/>
      <c r="O793" s="40"/>
      <c r="P793" s="40"/>
      <c r="Q793" s="40"/>
      <c r="R793" s="55"/>
      <c r="S793" s="41"/>
      <c r="T793" s="40"/>
    </row>
    <row r="794" spans="1:20" ht="24">
      <c r="A794" s="40" t="s">
        <v>655</v>
      </c>
      <c r="B794" s="40"/>
      <c r="C794" s="41"/>
      <c r="D794" s="40"/>
      <c r="E794" s="40" t="s">
        <v>3012</v>
      </c>
      <c r="F794" s="47">
        <f>LEN(G794)</f>
        <v>0</v>
      </c>
      <c r="G794" s="40"/>
      <c r="H794" s="40"/>
      <c r="I794" s="40"/>
      <c r="J794" s="40"/>
      <c r="K794" s="40"/>
      <c r="L794" s="40"/>
      <c r="M794" s="40"/>
      <c r="N794" s="47"/>
      <c r="O794" s="40"/>
      <c r="P794" s="40"/>
      <c r="Q794" s="40"/>
      <c r="R794" s="55"/>
      <c r="S794" s="41"/>
      <c r="T794" s="40"/>
    </row>
    <row r="795" spans="1:20" ht="24">
      <c r="A795" s="40" t="s">
        <v>655</v>
      </c>
      <c r="B795" s="40"/>
      <c r="C795" s="41"/>
      <c r="D795" s="40"/>
      <c r="E795" s="40" t="s">
        <v>3012</v>
      </c>
      <c r="F795" s="47">
        <f>LEN(G795)</f>
        <v>0</v>
      </c>
      <c r="G795" s="40"/>
      <c r="H795" s="40"/>
      <c r="I795" s="40"/>
      <c r="J795" s="40"/>
      <c r="K795" s="40"/>
      <c r="L795" s="40"/>
      <c r="M795" s="40"/>
      <c r="N795" s="47"/>
      <c r="O795" s="40"/>
      <c r="P795" s="40"/>
      <c r="Q795" s="40"/>
      <c r="R795" s="55"/>
      <c r="S795" s="41"/>
      <c r="T795" s="40"/>
    </row>
    <row r="796" spans="1:20" ht="24">
      <c r="A796" s="40" t="s">
        <v>655</v>
      </c>
      <c r="B796" s="40"/>
      <c r="C796" s="41"/>
      <c r="D796" s="40"/>
      <c r="E796" s="40" t="s">
        <v>3012</v>
      </c>
      <c r="F796" s="47">
        <f>LEN(G796)</f>
        <v>0</v>
      </c>
      <c r="G796" s="40"/>
      <c r="H796" s="40"/>
      <c r="I796" s="40"/>
      <c r="J796" s="40"/>
      <c r="K796" s="40"/>
      <c r="L796" s="40"/>
      <c r="M796" s="40"/>
      <c r="N796" s="47"/>
      <c r="O796" s="40"/>
      <c r="P796" s="40"/>
      <c r="Q796" s="40"/>
      <c r="R796" s="55"/>
      <c r="S796" s="41"/>
      <c r="T796" s="40"/>
    </row>
    <row r="797" spans="1:20" ht="24">
      <c r="A797" s="40" t="s">
        <v>655</v>
      </c>
      <c r="B797" s="40"/>
      <c r="C797" s="41"/>
      <c r="D797" s="40"/>
      <c r="E797" s="40" t="s">
        <v>3012</v>
      </c>
      <c r="F797" s="47">
        <f>LEN(G797)</f>
        <v>0</v>
      </c>
      <c r="G797" s="40"/>
      <c r="H797" s="40"/>
      <c r="I797" s="40"/>
      <c r="J797" s="40"/>
      <c r="K797" s="40"/>
      <c r="L797" s="40"/>
      <c r="M797" s="40"/>
      <c r="N797" s="47"/>
      <c r="O797" s="40"/>
      <c r="P797" s="40"/>
      <c r="Q797" s="40"/>
      <c r="R797" s="55"/>
      <c r="S797" s="41"/>
      <c r="T797" s="40"/>
    </row>
    <row r="798" spans="1:20" ht="24">
      <c r="A798" s="40" t="s">
        <v>655</v>
      </c>
      <c r="B798" s="40"/>
      <c r="C798" s="41"/>
      <c r="D798" s="40"/>
      <c r="E798" s="40" t="s">
        <v>3012</v>
      </c>
      <c r="F798" s="47">
        <f>LEN(G798)</f>
        <v>0</v>
      </c>
      <c r="G798" s="40"/>
      <c r="H798" s="40"/>
      <c r="I798" s="40"/>
      <c r="J798" s="40"/>
      <c r="K798" s="40"/>
      <c r="L798" s="40"/>
      <c r="M798" s="40"/>
      <c r="N798" s="47"/>
      <c r="O798" s="40"/>
      <c r="P798" s="40"/>
      <c r="Q798" s="40"/>
      <c r="R798" s="55"/>
      <c r="S798" s="41"/>
      <c r="T798" s="40"/>
    </row>
    <row r="799" spans="1:20" ht="24">
      <c r="A799" s="40" t="s">
        <v>655</v>
      </c>
      <c r="B799" s="40"/>
      <c r="C799" s="41"/>
      <c r="D799" s="40"/>
      <c r="E799" s="40" t="s">
        <v>3012</v>
      </c>
      <c r="F799" s="47">
        <f>LEN(G799)</f>
        <v>0</v>
      </c>
      <c r="G799" s="40"/>
      <c r="H799" s="40"/>
      <c r="I799" s="40"/>
      <c r="J799" s="40"/>
      <c r="K799" s="40"/>
      <c r="L799" s="40"/>
      <c r="M799" s="40"/>
      <c r="N799" s="47"/>
      <c r="O799" s="40"/>
      <c r="P799" s="40"/>
      <c r="Q799" s="40"/>
      <c r="R799" s="55"/>
      <c r="S799" s="41"/>
      <c r="T799" s="40"/>
    </row>
    <row r="800" spans="1:20" ht="24">
      <c r="A800" s="40" t="s">
        <v>655</v>
      </c>
      <c r="B800" s="40"/>
      <c r="C800" s="41"/>
      <c r="D800" s="40"/>
      <c r="E800" s="40" t="s">
        <v>3012</v>
      </c>
      <c r="F800" s="47">
        <f>LEN(G800)</f>
        <v>0</v>
      </c>
      <c r="G800" s="40"/>
      <c r="H800" s="40"/>
      <c r="I800" s="40"/>
      <c r="J800" s="40"/>
      <c r="K800" s="40"/>
      <c r="L800" s="40"/>
      <c r="M800" s="40"/>
      <c r="N800" s="47"/>
      <c r="O800" s="40"/>
      <c r="P800" s="40"/>
      <c r="Q800" s="40"/>
      <c r="R800" s="55"/>
      <c r="S800" s="41"/>
      <c r="T800" s="40"/>
    </row>
    <row r="801" spans="1:20" ht="24">
      <c r="A801" s="40" t="s">
        <v>655</v>
      </c>
      <c r="B801" s="40"/>
      <c r="C801" s="41"/>
      <c r="D801" s="40"/>
      <c r="E801" s="40" t="s">
        <v>3012</v>
      </c>
      <c r="F801" s="47">
        <f>LEN(G801)</f>
        <v>0</v>
      </c>
      <c r="G801" s="40"/>
      <c r="H801" s="40"/>
      <c r="I801" s="40"/>
      <c r="J801" s="40"/>
      <c r="K801" s="40"/>
      <c r="L801" s="40"/>
      <c r="M801" s="40"/>
      <c r="N801" s="47"/>
      <c r="O801" s="40"/>
      <c r="P801" s="40"/>
      <c r="Q801" s="40"/>
      <c r="R801" s="55"/>
      <c r="S801" s="41"/>
      <c r="T801" s="40"/>
    </row>
    <row r="802" spans="1:20" ht="24">
      <c r="A802" s="40" t="s">
        <v>655</v>
      </c>
      <c r="B802" s="40"/>
      <c r="C802" s="41"/>
      <c r="D802" s="40"/>
      <c r="E802" s="40" t="s">
        <v>3012</v>
      </c>
      <c r="F802" s="47">
        <f>LEN(G802)</f>
        <v>0</v>
      </c>
      <c r="G802" s="40"/>
      <c r="H802" s="40"/>
      <c r="I802" s="40"/>
      <c r="J802" s="40"/>
      <c r="K802" s="40"/>
      <c r="L802" s="40"/>
      <c r="M802" s="40"/>
      <c r="N802" s="47"/>
      <c r="O802" s="40"/>
      <c r="P802" s="40"/>
      <c r="Q802" s="40"/>
      <c r="R802" s="55"/>
      <c r="S802" s="41"/>
      <c r="T802" s="40"/>
    </row>
    <row r="803" spans="1:20" ht="24">
      <c r="A803" s="40" t="s">
        <v>655</v>
      </c>
      <c r="B803" s="40"/>
      <c r="C803" s="41"/>
      <c r="D803" s="40"/>
      <c r="E803" s="40" t="s">
        <v>3012</v>
      </c>
      <c r="F803" s="47">
        <f>LEN(G803)</f>
        <v>0</v>
      </c>
      <c r="G803" s="40"/>
      <c r="H803" s="40"/>
      <c r="I803" s="40"/>
      <c r="J803" s="40"/>
      <c r="K803" s="40"/>
      <c r="L803" s="40"/>
      <c r="M803" s="40"/>
      <c r="N803" s="47"/>
      <c r="O803" s="40"/>
      <c r="P803" s="40"/>
      <c r="Q803" s="40"/>
      <c r="R803" s="55"/>
      <c r="S803" s="41"/>
      <c r="T803" s="40"/>
    </row>
    <row r="804" spans="1:20" ht="24">
      <c r="A804" s="40" t="s">
        <v>655</v>
      </c>
      <c r="B804" s="40"/>
      <c r="C804" s="41"/>
      <c r="D804" s="40"/>
      <c r="E804" s="40" t="s">
        <v>3012</v>
      </c>
      <c r="F804" s="47">
        <f>LEN(G804)</f>
        <v>0</v>
      </c>
      <c r="G804" s="40"/>
      <c r="H804" s="40"/>
      <c r="I804" s="40"/>
      <c r="J804" s="40"/>
      <c r="K804" s="40"/>
      <c r="L804" s="40"/>
      <c r="M804" s="40"/>
      <c r="N804" s="47"/>
      <c r="O804" s="40"/>
      <c r="P804" s="40"/>
      <c r="Q804" s="40"/>
      <c r="R804" s="55"/>
      <c r="S804" s="41"/>
      <c r="T804" s="40"/>
    </row>
    <row r="805" spans="1:20" ht="24">
      <c r="A805" s="40" t="s">
        <v>655</v>
      </c>
      <c r="B805" s="40"/>
      <c r="C805" s="41"/>
      <c r="D805" s="40"/>
      <c r="E805" s="40" t="s">
        <v>3012</v>
      </c>
      <c r="F805" s="47">
        <f>LEN(G805)</f>
        <v>0</v>
      </c>
      <c r="G805" s="40"/>
      <c r="H805" s="40"/>
      <c r="I805" s="40"/>
      <c r="J805" s="40"/>
      <c r="K805" s="40"/>
      <c r="L805" s="40"/>
      <c r="M805" s="40"/>
      <c r="N805" s="47"/>
      <c r="O805" s="40"/>
      <c r="P805" s="40"/>
      <c r="Q805" s="40"/>
      <c r="R805" s="55"/>
      <c r="S805" s="41"/>
      <c r="T805" s="40"/>
    </row>
    <row r="806" spans="1:20" ht="24">
      <c r="A806" s="40" t="s">
        <v>655</v>
      </c>
      <c r="B806" s="40"/>
      <c r="C806" s="41"/>
      <c r="D806" s="40"/>
      <c r="E806" s="40" t="s">
        <v>3012</v>
      </c>
      <c r="F806" s="47">
        <f>LEN(G806)</f>
        <v>0</v>
      </c>
      <c r="G806" s="40"/>
      <c r="H806" s="40"/>
      <c r="I806" s="40"/>
      <c r="J806" s="40"/>
      <c r="K806" s="40"/>
      <c r="L806" s="40"/>
      <c r="M806" s="40"/>
      <c r="N806" s="47"/>
      <c r="O806" s="40"/>
      <c r="P806" s="40"/>
      <c r="Q806" s="40"/>
      <c r="R806" s="55"/>
      <c r="S806" s="41"/>
      <c r="T806" s="40"/>
    </row>
    <row r="807" spans="1:20" ht="24">
      <c r="A807" s="40" t="s">
        <v>655</v>
      </c>
      <c r="B807" s="40"/>
      <c r="C807" s="41"/>
      <c r="D807" s="40"/>
      <c r="E807" s="40" t="s">
        <v>3012</v>
      </c>
      <c r="F807" s="47">
        <f>LEN(G807)</f>
        <v>0</v>
      </c>
      <c r="G807" s="40"/>
      <c r="H807" s="40"/>
      <c r="I807" s="40"/>
      <c r="J807" s="40"/>
      <c r="K807" s="40"/>
      <c r="L807" s="40"/>
      <c r="M807" s="40"/>
      <c r="N807" s="47"/>
      <c r="O807" s="40"/>
      <c r="P807" s="40"/>
      <c r="Q807" s="40"/>
      <c r="R807" s="55"/>
      <c r="S807" s="41"/>
      <c r="T807" s="40"/>
    </row>
    <row r="808" spans="1:20" ht="24">
      <c r="A808" s="40" t="s">
        <v>655</v>
      </c>
      <c r="B808" s="40"/>
      <c r="C808" s="41"/>
      <c r="D808" s="40"/>
      <c r="E808" s="40" t="s">
        <v>3012</v>
      </c>
      <c r="F808" s="47">
        <f>LEN(G808)</f>
        <v>0</v>
      </c>
      <c r="G808" s="40"/>
      <c r="H808" s="40"/>
      <c r="I808" s="40"/>
      <c r="J808" s="40"/>
      <c r="K808" s="40"/>
      <c r="L808" s="40"/>
      <c r="M808" s="40"/>
      <c r="N808" s="47"/>
      <c r="O808" s="40"/>
      <c r="P808" s="40"/>
      <c r="Q808" s="40"/>
      <c r="R808" s="55"/>
      <c r="S808" s="41"/>
      <c r="T808" s="40"/>
    </row>
    <row r="809" spans="1:20" ht="24">
      <c r="A809" s="40" t="s">
        <v>655</v>
      </c>
      <c r="B809" s="40"/>
      <c r="C809" s="41"/>
      <c r="D809" s="40"/>
      <c r="E809" s="40" t="s">
        <v>3012</v>
      </c>
      <c r="F809" s="47">
        <f>LEN(G809)</f>
        <v>0</v>
      </c>
      <c r="G809" s="40"/>
      <c r="H809" s="40"/>
      <c r="I809" s="40"/>
      <c r="J809" s="40"/>
      <c r="K809" s="40"/>
      <c r="L809" s="40"/>
      <c r="M809" s="40"/>
      <c r="N809" s="47"/>
      <c r="O809" s="40"/>
      <c r="P809" s="40"/>
      <c r="Q809" s="40"/>
      <c r="R809" s="55"/>
      <c r="S809" s="41"/>
      <c r="T809" s="40"/>
    </row>
    <row r="810" spans="1:20" ht="24">
      <c r="A810" s="40" t="s">
        <v>655</v>
      </c>
      <c r="B810" s="40"/>
      <c r="C810" s="41"/>
      <c r="D810" s="40"/>
      <c r="E810" s="40" t="s">
        <v>3012</v>
      </c>
      <c r="F810" s="47">
        <f>LEN(G810)</f>
        <v>0</v>
      </c>
      <c r="G810" s="40"/>
      <c r="H810" s="40"/>
      <c r="I810" s="40"/>
      <c r="J810" s="40"/>
      <c r="K810" s="40"/>
      <c r="L810" s="40"/>
      <c r="M810" s="40"/>
      <c r="N810" s="47"/>
      <c r="O810" s="40"/>
      <c r="P810" s="40"/>
      <c r="Q810" s="40"/>
      <c r="R810" s="55"/>
      <c r="S810" s="41"/>
      <c r="T810" s="40"/>
    </row>
    <row r="811" spans="1:20" ht="24">
      <c r="A811" s="40" t="s">
        <v>655</v>
      </c>
      <c r="B811" s="40"/>
      <c r="C811" s="41"/>
      <c r="D811" s="40"/>
      <c r="E811" s="40" t="s">
        <v>3012</v>
      </c>
      <c r="F811" s="47">
        <f>LEN(G811)</f>
        <v>0</v>
      </c>
      <c r="G811" s="40"/>
      <c r="H811" s="40"/>
      <c r="I811" s="40"/>
      <c r="J811" s="40"/>
      <c r="K811" s="40"/>
      <c r="L811" s="40"/>
      <c r="M811" s="40"/>
      <c r="N811" s="47"/>
      <c r="O811" s="40"/>
      <c r="P811" s="40"/>
      <c r="Q811" s="40"/>
      <c r="R811" s="55"/>
      <c r="S811" s="41"/>
      <c r="T811" s="40"/>
    </row>
    <row r="812" spans="1:20" ht="24">
      <c r="A812" s="40" t="s">
        <v>655</v>
      </c>
      <c r="B812" s="40"/>
      <c r="C812" s="41"/>
      <c r="D812" s="40"/>
      <c r="E812" s="40" t="s">
        <v>3012</v>
      </c>
      <c r="F812" s="47">
        <f>LEN(G812)</f>
        <v>0</v>
      </c>
      <c r="G812" s="40"/>
      <c r="H812" s="40"/>
      <c r="I812" s="40"/>
      <c r="J812" s="40"/>
      <c r="K812" s="40"/>
      <c r="L812" s="40"/>
      <c r="M812" s="40"/>
      <c r="N812" s="47"/>
      <c r="O812" s="40"/>
      <c r="P812" s="40"/>
      <c r="Q812" s="40"/>
      <c r="R812" s="55"/>
      <c r="S812" s="41"/>
      <c r="T812" s="40"/>
    </row>
    <row r="813" spans="1:20" ht="24">
      <c r="A813" s="40" t="s">
        <v>655</v>
      </c>
      <c r="B813" s="40"/>
      <c r="C813" s="41"/>
      <c r="D813" s="40"/>
      <c r="E813" s="40" t="s">
        <v>3012</v>
      </c>
      <c r="F813" s="47">
        <f>LEN(G813)</f>
        <v>0</v>
      </c>
      <c r="G813" s="40"/>
      <c r="H813" s="40"/>
      <c r="I813" s="40"/>
      <c r="J813" s="40"/>
      <c r="K813" s="40"/>
      <c r="L813" s="40"/>
      <c r="M813" s="40"/>
      <c r="N813" s="47"/>
      <c r="O813" s="40"/>
      <c r="P813" s="40"/>
      <c r="Q813" s="40"/>
      <c r="R813" s="55"/>
      <c r="S813" s="41"/>
      <c r="T813" s="40"/>
    </row>
    <row r="814" spans="1:20" ht="24">
      <c r="A814" s="40" t="s">
        <v>655</v>
      </c>
      <c r="B814" s="40"/>
      <c r="C814" s="41"/>
      <c r="D814" s="40"/>
      <c r="E814" s="40" t="s">
        <v>3012</v>
      </c>
      <c r="F814" s="47">
        <f>LEN(G814)</f>
        <v>0</v>
      </c>
      <c r="G814" s="40"/>
      <c r="H814" s="40"/>
      <c r="I814" s="40"/>
      <c r="J814" s="40"/>
      <c r="K814" s="40"/>
      <c r="L814" s="40"/>
      <c r="M814" s="40"/>
      <c r="N814" s="47"/>
      <c r="O814" s="40"/>
      <c r="P814" s="40"/>
      <c r="Q814" s="40"/>
      <c r="R814" s="55"/>
      <c r="S814" s="41"/>
      <c r="T814" s="40"/>
    </row>
    <row r="815" spans="1:20" ht="24">
      <c r="A815" s="40" t="s">
        <v>655</v>
      </c>
      <c r="B815" s="40"/>
      <c r="C815" s="41"/>
      <c r="D815" s="40"/>
      <c r="E815" s="40" t="s">
        <v>3012</v>
      </c>
      <c r="F815" s="47">
        <f>LEN(G815)</f>
        <v>0</v>
      </c>
      <c r="G815" s="40"/>
      <c r="H815" s="40"/>
      <c r="I815" s="40"/>
      <c r="J815" s="40"/>
      <c r="K815" s="40"/>
      <c r="L815" s="40"/>
      <c r="M815" s="40"/>
      <c r="N815" s="47"/>
      <c r="O815" s="40"/>
      <c r="P815" s="40"/>
      <c r="Q815" s="40"/>
      <c r="R815" s="55"/>
      <c r="S815" s="41"/>
      <c r="T815" s="40"/>
    </row>
    <row r="816" spans="1:20" ht="24">
      <c r="A816" s="40" t="s">
        <v>655</v>
      </c>
      <c r="B816" s="40"/>
      <c r="C816" s="41"/>
      <c r="D816" s="40"/>
      <c r="E816" s="40" t="s">
        <v>3012</v>
      </c>
      <c r="F816" s="47">
        <f>LEN(G816)</f>
        <v>0</v>
      </c>
      <c r="G816" s="40"/>
      <c r="H816" s="40"/>
      <c r="I816" s="40"/>
      <c r="J816" s="40"/>
      <c r="K816" s="40"/>
      <c r="L816" s="40"/>
      <c r="M816" s="40"/>
      <c r="N816" s="47"/>
      <c r="O816" s="40"/>
      <c r="P816" s="40"/>
      <c r="Q816" s="40"/>
      <c r="R816" s="55"/>
      <c r="S816" s="41"/>
      <c r="T816" s="40"/>
    </row>
    <row r="817" spans="1:20" ht="24">
      <c r="A817" s="40" t="s">
        <v>655</v>
      </c>
      <c r="B817" s="40"/>
      <c r="C817" s="41"/>
      <c r="D817" s="40"/>
      <c r="E817" s="40" t="s">
        <v>3012</v>
      </c>
      <c r="F817" s="47">
        <f>LEN(G817)</f>
        <v>0</v>
      </c>
      <c r="G817" s="40"/>
      <c r="H817" s="40"/>
      <c r="I817" s="40"/>
      <c r="J817" s="40"/>
      <c r="K817" s="40"/>
      <c r="L817" s="40"/>
      <c r="M817" s="40"/>
      <c r="N817" s="47"/>
      <c r="O817" s="40"/>
      <c r="P817" s="40"/>
      <c r="Q817" s="40"/>
      <c r="R817" s="55"/>
      <c r="S817" s="41"/>
      <c r="T817" s="40"/>
    </row>
    <row r="818" spans="1:20" ht="24">
      <c r="A818" s="40" t="s">
        <v>655</v>
      </c>
      <c r="B818" s="40"/>
      <c r="C818" s="41"/>
      <c r="D818" s="40"/>
      <c r="E818" s="40" t="s">
        <v>3012</v>
      </c>
      <c r="F818" s="47">
        <f>LEN(G818)</f>
        <v>0</v>
      </c>
      <c r="G818" s="40"/>
      <c r="H818" s="40"/>
      <c r="I818" s="40"/>
      <c r="J818" s="40"/>
      <c r="K818" s="40"/>
      <c r="L818" s="40"/>
      <c r="M818" s="40"/>
      <c r="N818" s="47"/>
      <c r="O818" s="40"/>
      <c r="P818" s="40"/>
      <c r="Q818" s="40"/>
      <c r="R818" s="55"/>
      <c r="S818" s="41"/>
      <c r="T818" s="40"/>
    </row>
    <row r="819" spans="1:20" ht="24">
      <c r="A819" s="40" t="s">
        <v>655</v>
      </c>
      <c r="B819" s="40"/>
      <c r="C819" s="41"/>
      <c r="D819" s="40"/>
      <c r="E819" s="40" t="s">
        <v>3012</v>
      </c>
      <c r="F819" s="47">
        <f>LEN(G819)</f>
        <v>0</v>
      </c>
      <c r="G819" s="40"/>
      <c r="H819" s="40"/>
      <c r="I819" s="40"/>
      <c r="J819" s="40"/>
      <c r="K819" s="40"/>
      <c r="L819" s="40"/>
      <c r="M819" s="40"/>
      <c r="N819" s="47"/>
      <c r="O819" s="40"/>
      <c r="P819" s="40"/>
      <c r="Q819" s="40"/>
      <c r="R819" s="55"/>
      <c r="S819" s="41"/>
      <c r="T819" s="40"/>
    </row>
    <row r="820" spans="1:20" ht="24">
      <c r="A820" s="40" t="s">
        <v>655</v>
      </c>
      <c r="B820" s="40"/>
      <c r="C820" s="41"/>
      <c r="D820" s="40"/>
      <c r="E820" s="40" t="s">
        <v>3012</v>
      </c>
      <c r="F820" s="47">
        <f>LEN(G820)</f>
        <v>0</v>
      </c>
      <c r="G820" s="40"/>
      <c r="H820" s="40"/>
      <c r="I820" s="40"/>
      <c r="J820" s="40"/>
      <c r="K820" s="40"/>
      <c r="L820" s="40"/>
      <c r="M820" s="40"/>
      <c r="N820" s="47"/>
      <c r="O820" s="40"/>
      <c r="P820" s="40"/>
      <c r="Q820" s="40"/>
      <c r="R820" s="55"/>
      <c r="S820" s="41"/>
      <c r="T820" s="40"/>
    </row>
    <row r="821" spans="1:20" ht="24">
      <c r="A821" s="40" t="s">
        <v>655</v>
      </c>
      <c r="B821" s="40"/>
      <c r="C821" s="41"/>
      <c r="D821" s="40"/>
      <c r="E821" s="40" t="s">
        <v>3012</v>
      </c>
      <c r="F821" s="47">
        <f>LEN(G821)</f>
        <v>0</v>
      </c>
      <c r="G821" s="40"/>
      <c r="H821" s="40"/>
      <c r="I821" s="40"/>
      <c r="J821" s="40"/>
      <c r="K821" s="40"/>
      <c r="L821" s="40"/>
      <c r="M821" s="40"/>
      <c r="N821" s="47"/>
      <c r="O821" s="40"/>
      <c r="P821" s="40"/>
      <c r="Q821" s="40"/>
      <c r="R821" s="55"/>
      <c r="S821" s="41"/>
      <c r="T821" s="40"/>
    </row>
    <row r="822" spans="1:20" ht="24">
      <c r="A822" s="40" t="s">
        <v>655</v>
      </c>
      <c r="B822" s="40"/>
      <c r="C822" s="41"/>
      <c r="D822" s="40"/>
      <c r="E822" s="40" t="s">
        <v>3012</v>
      </c>
      <c r="F822" s="47">
        <f>LEN(G822)</f>
        <v>0</v>
      </c>
      <c r="G822" s="40"/>
      <c r="H822" s="40"/>
      <c r="I822" s="40"/>
      <c r="J822" s="40"/>
      <c r="K822" s="40"/>
      <c r="L822" s="40"/>
      <c r="M822" s="40"/>
      <c r="N822" s="47"/>
      <c r="O822" s="40"/>
      <c r="P822" s="40"/>
      <c r="Q822" s="40"/>
      <c r="R822" s="55"/>
      <c r="S822" s="41"/>
      <c r="T822" s="40"/>
    </row>
    <row r="823" spans="1:20" ht="24">
      <c r="A823" s="40" t="s">
        <v>655</v>
      </c>
      <c r="B823" s="40"/>
      <c r="C823" s="41"/>
      <c r="D823" s="40"/>
      <c r="E823" s="40" t="s">
        <v>3012</v>
      </c>
      <c r="F823" s="47">
        <f>LEN(G823)</f>
        <v>0</v>
      </c>
      <c r="G823" s="40"/>
      <c r="H823" s="40"/>
      <c r="I823" s="40"/>
      <c r="J823" s="40"/>
      <c r="K823" s="40"/>
      <c r="L823" s="40"/>
      <c r="M823" s="40"/>
      <c r="N823" s="47"/>
      <c r="O823" s="40"/>
      <c r="P823" s="40"/>
      <c r="Q823" s="40"/>
      <c r="R823" s="55"/>
      <c r="S823" s="41"/>
      <c r="T823" s="40"/>
    </row>
    <row r="824" spans="1:20" ht="24">
      <c r="A824" s="40" t="s">
        <v>655</v>
      </c>
      <c r="B824" s="40"/>
      <c r="C824" s="41"/>
      <c r="D824" s="40"/>
      <c r="E824" s="40" t="s">
        <v>3012</v>
      </c>
      <c r="F824" s="47">
        <f>LEN(G824)</f>
        <v>0</v>
      </c>
      <c r="G824" s="40"/>
      <c r="H824" s="40"/>
      <c r="I824" s="40"/>
      <c r="J824" s="40"/>
      <c r="K824" s="40"/>
      <c r="L824" s="40"/>
      <c r="M824" s="40"/>
      <c r="N824" s="47"/>
      <c r="O824" s="40"/>
      <c r="P824" s="40"/>
      <c r="Q824" s="40"/>
      <c r="R824" s="55"/>
      <c r="S824" s="41"/>
      <c r="T824" s="40"/>
    </row>
    <row r="825" spans="1:20" ht="24">
      <c r="A825" s="40" t="s">
        <v>655</v>
      </c>
      <c r="B825" s="40"/>
      <c r="C825" s="41"/>
      <c r="D825" s="40"/>
      <c r="E825" s="40" t="s">
        <v>3012</v>
      </c>
      <c r="F825" s="47">
        <f>LEN(G825)</f>
        <v>0</v>
      </c>
      <c r="G825" s="40"/>
      <c r="H825" s="40"/>
      <c r="I825" s="40"/>
      <c r="J825" s="40"/>
      <c r="K825" s="40"/>
      <c r="L825" s="40"/>
      <c r="M825" s="40"/>
      <c r="N825" s="47"/>
      <c r="O825" s="40"/>
      <c r="P825" s="40"/>
      <c r="Q825" s="40"/>
      <c r="R825" s="55"/>
      <c r="S825" s="41"/>
      <c r="T825" s="40"/>
    </row>
    <row r="826" spans="1:20" ht="24">
      <c r="A826" s="40" t="s">
        <v>655</v>
      </c>
      <c r="B826" s="40"/>
      <c r="C826" s="41"/>
      <c r="D826" s="40"/>
      <c r="E826" s="40" t="s">
        <v>3012</v>
      </c>
      <c r="F826" s="47">
        <f>LEN(G826)</f>
        <v>0</v>
      </c>
      <c r="G826" s="40"/>
      <c r="H826" s="40"/>
      <c r="I826" s="40"/>
      <c r="J826" s="40"/>
      <c r="K826" s="40"/>
      <c r="L826" s="40"/>
      <c r="M826" s="40"/>
      <c r="N826" s="47"/>
      <c r="O826" s="40"/>
      <c r="P826" s="40"/>
      <c r="Q826" s="40"/>
      <c r="R826" s="55"/>
      <c r="S826" s="41"/>
      <c r="T826" s="40"/>
    </row>
    <row r="827" spans="1:20" ht="24">
      <c r="A827" s="40" t="s">
        <v>655</v>
      </c>
      <c r="B827" s="40"/>
      <c r="C827" s="41"/>
      <c r="D827" s="40"/>
      <c r="E827" s="40" t="s">
        <v>3012</v>
      </c>
      <c r="F827" s="47">
        <f>LEN(G827)</f>
        <v>0</v>
      </c>
      <c r="G827" s="40"/>
      <c r="H827" s="40"/>
      <c r="I827" s="40"/>
      <c r="J827" s="40"/>
      <c r="K827" s="40"/>
      <c r="L827" s="40"/>
      <c r="M827" s="40"/>
      <c r="N827" s="47"/>
      <c r="O827" s="40"/>
      <c r="P827" s="40"/>
      <c r="Q827" s="40"/>
      <c r="R827" s="55"/>
      <c r="S827" s="41"/>
      <c r="T827" s="40"/>
    </row>
    <row r="828" spans="1:20" ht="24">
      <c r="A828" s="40" t="s">
        <v>655</v>
      </c>
      <c r="B828" s="40"/>
      <c r="C828" s="41"/>
      <c r="D828" s="40"/>
      <c r="E828" s="40" t="s">
        <v>3012</v>
      </c>
      <c r="F828" s="47">
        <f>LEN(G828)</f>
        <v>0</v>
      </c>
      <c r="G828" s="40"/>
      <c r="H828" s="40"/>
      <c r="I828" s="40"/>
      <c r="J828" s="40"/>
      <c r="K828" s="40"/>
      <c r="L828" s="40"/>
      <c r="M828" s="40"/>
      <c r="N828" s="47"/>
      <c r="O828" s="40"/>
      <c r="P828" s="40"/>
      <c r="Q828" s="40"/>
      <c r="R828" s="55"/>
      <c r="S828" s="41"/>
      <c r="T828" s="40"/>
    </row>
    <row r="829" spans="1:20" ht="24">
      <c r="A829" s="40" t="s">
        <v>655</v>
      </c>
      <c r="B829" s="40"/>
      <c r="C829" s="41"/>
      <c r="D829" s="40"/>
      <c r="E829" s="40" t="s">
        <v>3012</v>
      </c>
      <c r="F829" s="47">
        <f>LEN(G829)</f>
        <v>0</v>
      </c>
      <c r="G829" s="40"/>
      <c r="H829" s="40"/>
      <c r="I829" s="40"/>
      <c r="J829" s="40"/>
      <c r="K829" s="40"/>
      <c r="L829" s="40"/>
      <c r="M829" s="40"/>
      <c r="N829" s="47"/>
      <c r="O829" s="40"/>
      <c r="P829" s="40"/>
      <c r="Q829" s="40"/>
      <c r="R829" s="55"/>
      <c r="S829" s="41"/>
      <c r="T829" s="40"/>
    </row>
    <row r="830" spans="1:20" ht="24">
      <c r="A830" s="40" t="s">
        <v>655</v>
      </c>
      <c r="B830" s="40"/>
      <c r="C830" s="41"/>
      <c r="D830" s="40"/>
      <c r="E830" s="40" t="s">
        <v>3012</v>
      </c>
      <c r="F830" s="47">
        <f>LEN(G830)</f>
        <v>0</v>
      </c>
      <c r="G830" s="40"/>
      <c r="H830" s="40"/>
      <c r="I830" s="40"/>
      <c r="J830" s="40"/>
      <c r="K830" s="40"/>
      <c r="L830" s="40"/>
      <c r="M830" s="40"/>
      <c r="N830" s="47"/>
      <c r="O830" s="40"/>
      <c r="P830" s="40"/>
      <c r="Q830" s="40"/>
      <c r="R830" s="55"/>
      <c r="S830" s="41"/>
      <c r="T830" s="40"/>
    </row>
    <row r="831" spans="1:20" ht="24">
      <c r="A831" s="40" t="s">
        <v>655</v>
      </c>
      <c r="B831" s="40"/>
      <c r="C831" s="41"/>
      <c r="D831" s="40"/>
      <c r="E831" s="40" t="s">
        <v>3012</v>
      </c>
      <c r="F831" s="47">
        <f>LEN(G831)</f>
        <v>0</v>
      </c>
      <c r="G831" s="40"/>
      <c r="H831" s="40"/>
      <c r="I831" s="40"/>
      <c r="J831" s="40"/>
      <c r="K831" s="40"/>
      <c r="L831" s="40"/>
      <c r="M831" s="40"/>
      <c r="N831" s="47"/>
      <c r="O831" s="40"/>
      <c r="P831" s="40"/>
      <c r="Q831" s="40"/>
      <c r="R831" s="55"/>
      <c r="S831" s="41"/>
      <c r="T831" s="40"/>
    </row>
    <row r="832" spans="1:20" ht="24">
      <c r="A832" s="40" t="s">
        <v>655</v>
      </c>
      <c r="B832" s="40"/>
      <c r="C832" s="41"/>
      <c r="D832" s="40"/>
      <c r="E832" s="40" t="s">
        <v>3012</v>
      </c>
      <c r="F832" s="47">
        <f>LEN(G832)</f>
        <v>0</v>
      </c>
      <c r="G832" s="40"/>
      <c r="H832" s="40"/>
      <c r="I832" s="40"/>
      <c r="J832" s="40"/>
      <c r="K832" s="40"/>
      <c r="L832" s="40"/>
      <c r="M832" s="40"/>
      <c r="N832" s="47"/>
      <c r="O832" s="40"/>
      <c r="P832" s="40"/>
      <c r="Q832" s="40"/>
      <c r="R832" s="55"/>
      <c r="S832" s="41"/>
      <c r="T832" s="40"/>
    </row>
    <row r="833" spans="1:20" ht="24">
      <c r="A833" s="40" t="s">
        <v>655</v>
      </c>
      <c r="B833" s="40"/>
      <c r="C833" s="41"/>
      <c r="D833" s="40"/>
      <c r="E833" s="40" t="s">
        <v>3012</v>
      </c>
      <c r="F833" s="47">
        <f>LEN(G833)</f>
        <v>0</v>
      </c>
      <c r="G833" s="40"/>
      <c r="H833" s="40"/>
      <c r="I833" s="40"/>
      <c r="J833" s="40"/>
      <c r="K833" s="40"/>
      <c r="L833" s="40"/>
      <c r="M833" s="40"/>
      <c r="N833" s="47"/>
      <c r="O833" s="40"/>
      <c r="P833" s="40"/>
      <c r="Q833" s="40"/>
      <c r="R833" s="55"/>
      <c r="S833" s="41"/>
      <c r="T833" s="40"/>
    </row>
    <row r="834" spans="1:20" ht="24">
      <c r="A834" s="40" t="s">
        <v>655</v>
      </c>
      <c r="B834" s="40"/>
      <c r="C834" s="41"/>
      <c r="D834" s="40"/>
      <c r="E834" s="40" t="s">
        <v>3012</v>
      </c>
      <c r="F834" s="47">
        <f>LEN(G834)</f>
        <v>0</v>
      </c>
      <c r="G834" s="40"/>
      <c r="H834" s="40"/>
      <c r="I834" s="40"/>
      <c r="J834" s="40"/>
      <c r="K834" s="40"/>
      <c r="L834" s="40"/>
      <c r="M834" s="40"/>
      <c r="N834" s="47"/>
      <c r="O834" s="40"/>
      <c r="P834" s="40"/>
      <c r="Q834" s="40"/>
      <c r="R834" s="55"/>
      <c r="S834" s="41"/>
      <c r="T834" s="40"/>
    </row>
    <row r="835" spans="1:20" ht="24">
      <c r="A835" s="40" t="s">
        <v>655</v>
      </c>
      <c r="B835" s="40"/>
      <c r="C835" s="41"/>
      <c r="D835" s="40"/>
      <c r="E835" s="40" t="s">
        <v>3012</v>
      </c>
      <c r="F835" s="47">
        <f>LEN(G835)</f>
        <v>0</v>
      </c>
      <c r="G835" s="40"/>
      <c r="H835" s="40"/>
      <c r="I835" s="40"/>
      <c r="J835" s="40"/>
      <c r="K835" s="40"/>
      <c r="L835" s="40"/>
      <c r="M835" s="40"/>
      <c r="N835" s="47"/>
      <c r="O835" s="40"/>
      <c r="P835" s="40"/>
      <c r="Q835" s="40"/>
      <c r="R835" s="55"/>
      <c r="S835" s="41"/>
      <c r="T835" s="40"/>
    </row>
    <row r="836" spans="1:20" ht="24">
      <c r="A836" s="40" t="s">
        <v>655</v>
      </c>
      <c r="B836" s="40"/>
      <c r="C836" s="41"/>
      <c r="D836" s="40"/>
      <c r="E836" s="40" t="s">
        <v>3012</v>
      </c>
      <c r="F836" s="47">
        <f>LEN(G836)</f>
        <v>0</v>
      </c>
      <c r="G836" s="40"/>
      <c r="H836" s="40"/>
      <c r="I836" s="40"/>
      <c r="J836" s="40"/>
      <c r="K836" s="40"/>
      <c r="L836" s="40"/>
      <c r="M836" s="40"/>
      <c r="N836" s="47"/>
      <c r="O836" s="40"/>
      <c r="P836" s="40"/>
      <c r="Q836" s="40"/>
      <c r="R836" s="55"/>
      <c r="S836" s="41"/>
      <c r="T836" s="40"/>
    </row>
    <row r="837" spans="1:20" ht="24">
      <c r="A837" s="40" t="s">
        <v>655</v>
      </c>
      <c r="B837" s="40"/>
      <c r="C837" s="41"/>
      <c r="D837" s="40"/>
      <c r="E837" s="40" t="s">
        <v>3012</v>
      </c>
      <c r="F837" s="47">
        <f>LEN(G837)</f>
        <v>0</v>
      </c>
      <c r="G837" s="40"/>
      <c r="H837" s="40"/>
      <c r="I837" s="40"/>
      <c r="J837" s="40"/>
      <c r="K837" s="40"/>
      <c r="L837" s="40"/>
      <c r="M837" s="40"/>
      <c r="N837" s="47"/>
      <c r="O837" s="40"/>
      <c r="P837" s="40"/>
      <c r="Q837" s="40"/>
      <c r="R837" s="55"/>
      <c r="S837" s="41"/>
      <c r="T837" s="40"/>
    </row>
    <row r="838" spans="1:20" ht="24">
      <c r="A838" s="40" t="s">
        <v>655</v>
      </c>
      <c r="B838" s="40"/>
      <c r="C838" s="41"/>
      <c r="D838" s="40"/>
      <c r="E838" s="40" t="s">
        <v>3012</v>
      </c>
      <c r="F838" s="47">
        <f>LEN(G838)</f>
        <v>0</v>
      </c>
      <c r="G838" s="40"/>
      <c r="H838" s="40"/>
      <c r="I838" s="40"/>
      <c r="J838" s="40"/>
      <c r="K838" s="40"/>
      <c r="L838" s="40"/>
      <c r="M838" s="40"/>
      <c r="N838" s="47"/>
      <c r="O838" s="40"/>
      <c r="P838" s="40"/>
      <c r="Q838" s="40"/>
      <c r="R838" s="55"/>
      <c r="S838" s="41"/>
      <c r="T838" s="40"/>
    </row>
    <row r="839" spans="1:20" ht="24">
      <c r="A839" s="40" t="s">
        <v>655</v>
      </c>
      <c r="B839" s="40"/>
      <c r="C839" s="41"/>
      <c r="D839" s="40"/>
      <c r="E839" s="40" t="s">
        <v>3012</v>
      </c>
      <c r="F839" s="47">
        <f>LEN(G839)</f>
        <v>0</v>
      </c>
      <c r="G839" s="40"/>
      <c r="H839" s="40"/>
      <c r="I839" s="40"/>
      <c r="J839" s="40"/>
      <c r="K839" s="40"/>
      <c r="L839" s="40"/>
      <c r="M839" s="40"/>
      <c r="N839" s="47"/>
      <c r="O839" s="40"/>
      <c r="P839" s="40"/>
      <c r="Q839" s="40"/>
      <c r="R839" s="55"/>
      <c r="S839" s="41"/>
      <c r="T839" s="40"/>
    </row>
    <row r="840" spans="1:20" ht="24">
      <c r="A840" s="40" t="s">
        <v>655</v>
      </c>
      <c r="B840" s="40"/>
      <c r="C840" s="41"/>
      <c r="D840" s="40"/>
      <c r="E840" s="40" t="s">
        <v>3012</v>
      </c>
      <c r="F840" s="47">
        <f>LEN(G840)</f>
        <v>0</v>
      </c>
      <c r="G840" s="40"/>
      <c r="H840" s="40"/>
      <c r="I840" s="40"/>
      <c r="J840" s="40"/>
      <c r="K840" s="40"/>
      <c r="L840" s="40"/>
      <c r="M840" s="40"/>
      <c r="N840" s="47"/>
      <c r="O840" s="40"/>
      <c r="P840" s="40"/>
      <c r="Q840" s="40"/>
      <c r="R840" s="55"/>
      <c r="S840" s="41"/>
      <c r="T840" s="40"/>
    </row>
    <row r="841" spans="1:20" ht="24">
      <c r="A841" s="40" t="s">
        <v>655</v>
      </c>
      <c r="B841" s="40"/>
      <c r="C841" s="41"/>
      <c r="D841" s="40"/>
      <c r="E841" s="40" t="s">
        <v>3012</v>
      </c>
      <c r="F841" s="47">
        <f>LEN(G841)</f>
        <v>0</v>
      </c>
      <c r="G841" s="40"/>
      <c r="H841" s="40"/>
      <c r="I841" s="40"/>
      <c r="J841" s="40"/>
      <c r="K841" s="40"/>
      <c r="L841" s="40"/>
      <c r="M841" s="40"/>
      <c r="N841" s="47"/>
      <c r="O841" s="40"/>
      <c r="P841" s="40"/>
      <c r="Q841" s="40"/>
      <c r="R841" s="55"/>
      <c r="S841" s="41"/>
      <c r="T841" s="40"/>
    </row>
    <row r="842" spans="1:20" ht="24">
      <c r="A842" s="40" t="s">
        <v>655</v>
      </c>
      <c r="B842" s="40"/>
      <c r="C842" s="41"/>
      <c r="D842" s="40"/>
      <c r="E842" s="40" t="s">
        <v>3012</v>
      </c>
      <c r="F842" s="47">
        <f>LEN(G842)</f>
        <v>0</v>
      </c>
      <c r="G842" s="40"/>
      <c r="H842" s="40"/>
      <c r="I842" s="40"/>
      <c r="J842" s="40"/>
      <c r="K842" s="40"/>
      <c r="L842" s="40"/>
      <c r="M842" s="40"/>
      <c r="N842" s="47"/>
      <c r="O842" s="40"/>
      <c r="P842" s="40"/>
      <c r="Q842" s="40"/>
      <c r="R842" s="55"/>
      <c r="S842" s="41"/>
      <c r="T842" s="40"/>
    </row>
    <row r="843" spans="1:20" ht="24">
      <c r="A843" s="40" t="s">
        <v>655</v>
      </c>
      <c r="B843" s="40"/>
      <c r="C843" s="41"/>
      <c r="D843" s="40"/>
      <c r="E843" s="40" t="s">
        <v>3012</v>
      </c>
      <c r="F843" s="47">
        <f>LEN(G843)</f>
        <v>0</v>
      </c>
      <c r="G843" s="40"/>
      <c r="H843" s="40"/>
      <c r="I843" s="40"/>
      <c r="J843" s="40"/>
      <c r="K843" s="40"/>
      <c r="L843" s="40"/>
      <c r="M843" s="40"/>
      <c r="N843" s="47"/>
      <c r="O843" s="40"/>
      <c r="P843" s="40"/>
      <c r="Q843" s="40"/>
      <c r="R843" s="55"/>
      <c r="S843" s="41"/>
      <c r="T843" s="40"/>
    </row>
    <row r="844" spans="1:20" ht="24">
      <c r="A844" s="40" t="s">
        <v>655</v>
      </c>
      <c r="B844" s="40"/>
      <c r="C844" s="41"/>
      <c r="D844" s="40"/>
      <c r="E844" s="40" t="s">
        <v>3012</v>
      </c>
      <c r="F844" s="47">
        <f>LEN(G844)</f>
        <v>0</v>
      </c>
      <c r="G844" s="40"/>
      <c r="H844" s="40"/>
      <c r="I844" s="40"/>
      <c r="J844" s="40"/>
      <c r="K844" s="40"/>
      <c r="L844" s="40"/>
      <c r="M844" s="40"/>
      <c r="N844" s="47"/>
      <c r="O844" s="40"/>
      <c r="P844" s="40"/>
      <c r="Q844" s="40"/>
      <c r="R844" s="55"/>
      <c r="S844" s="41"/>
      <c r="T844" s="40"/>
    </row>
    <row r="845" spans="1:20" ht="24">
      <c r="A845" s="40" t="s">
        <v>655</v>
      </c>
      <c r="B845" s="40"/>
      <c r="C845" s="41"/>
      <c r="D845" s="40"/>
      <c r="E845" s="40" t="s">
        <v>3012</v>
      </c>
      <c r="F845" s="47">
        <f>LEN(G845)</f>
        <v>0</v>
      </c>
      <c r="G845" s="40"/>
      <c r="H845" s="40"/>
      <c r="I845" s="40"/>
      <c r="J845" s="40"/>
      <c r="K845" s="40"/>
      <c r="L845" s="40"/>
      <c r="M845" s="40"/>
      <c r="N845" s="47"/>
      <c r="O845" s="40"/>
      <c r="P845" s="40"/>
      <c r="Q845" s="40"/>
      <c r="R845" s="55"/>
      <c r="S845" s="41"/>
      <c r="T845" s="40"/>
    </row>
    <row r="846" spans="1:20" ht="24">
      <c r="A846" s="40" t="s">
        <v>655</v>
      </c>
      <c r="B846" s="40"/>
      <c r="C846" s="41"/>
      <c r="D846" s="40"/>
      <c r="E846" s="40" t="s">
        <v>3012</v>
      </c>
      <c r="F846" s="47">
        <f>LEN(G846)</f>
        <v>0</v>
      </c>
      <c r="G846" s="40"/>
      <c r="H846" s="40"/>
      <c r="I846" s="40"/>
      <c r="J846" s="40"/>
      <c r="K846" s="40"/>
      <c r="L846" s="40"/>
      <c r="M846" s="40"/>
      <c r="N846" s="47"/>
      <c r="O846" s="40"/>
      <c r="P846" s="40"/>
      <c r="Q846" s="40"/>
      <c r="R846" s="55"/>
      <c r="S846" s="41"/>
      <c r="T846" s="40"/>
    </row>
    <row r="847" spans="1:20" ht="24">
      <c r="A847" s="40" t="s">
        <v>655</v>
      </c>
      <c r="B847" s="40"/>
      <c r="C847" s="41"/>
      <c r="D847" s="40"/>
      <c r="E847" s="40" t="s">
        <v>3012</v>
      </c>
      <c r="F847" s="47">
        <f>LEN(G847)</f>
        <v>0</v>
      </c>
      <c r="G847" s="40"/>
      <c r="H847" s="40"/>
      <c r="I847" s="40"/>
      <c r="J847" s="40"/>
      <c r="K847" s="40"/>
      <c r="L847" s="40"/>
      <c r="M847" s="40"/>
      <c r="N847" s="47"/>
      <c r="O847" s="40"/>
      <c r="P847" s="40"/>
      <c r="Q847" s="40"/>
      <c r="R847" s="55"/>
      <c r="S847" s="41"/>
      <c r="T847" s="40"/>
    </row>
    <row r="848" spans="1:20" ht="24">
      <c r="A848" s="40" t="s">
        <v>655</v>
      </c>
      <c r="B848" s="40"/>
      <c r="C848" s="41"/>
      <c r="D848" s="40"/>
      <c r="E848" s="40" t="s">
        <v>3012</v>
      </c>
      <c r="F848" s="47">
        <f>LEN(G848)</f>
        <v>0</v>
      </c>
      <c r="G848" s="40"/>
      <c r="H848" s="40"/>
      <c r="I848" s="40"/>
      <c r="J848" s="40"/>
      <c r="K848" s="40"/>
      <c r="L848" s="40"/>
      <c r="M848" s="40"/>
      <c r="N848" s="47"/>
      <c r="O848" s="40"/>
      <c r="P848" s="40"/>
      <c r="Q848" s="40"/>
      <c r="R848" s="55"/>
      <c r="S848" s="41"/>
      <c r="T848" s="40"/>
    </row>
    <row r="849" spans="1:20" ht="24">
      <c r="A849" s="40" t="s">
        <v>655</v>
      </c>
      <c r="B849" s="40"/>
      <c r="C849" s="41"/>
      <c r="D849" s="40"/>
      <c r="E849" s="40" t="s">
        <v>3012</v>
      </c>
      <c r="F849" s="47">
        <f>LEN(G849)</f>
        <v>0</v>
      </c>
      <c r="G849" s="40"/>
      <c r="H849" s="40"/>
      <c r="I849" s="40"/>
      <c r="J849" s="40"/>
      <c r="K849" s="40"/>
      <c r="L849" s="40"/>
      <c r="M849" s="40"/>
      <c r="N849" s="47"/>
      <c r="O849" s="40"/>
      <c r="P849" s="40"/>
      <c r="Q849" s="40"/>
      <c r="R849" s="55"/>
      <c r="S849" s="41"/>
      <c r="T849" s="40"/>
    </row>
    <row r="850" spans="1:20" ht="24">
      <c r="A850" s="40" t="s">
        <v>655</v>
      </c>
      <c r="B850" s="40"/>
      <c r="C850" s="41"/>
      <c r="D850" s="40"/>
      <c r="E850" s="40" t="s">
        <v>3012</v>
      </c>
      <c r="F850" s="47">
        <f>LEN(G850)</f>
        <v>0</v>
      </c>
      <c r="G850" s="40"/>
      <c r="H850" s="40"/>
      <c r="I850" s="40"/>
      <c r="J850" s="40"/>
      <c r="K850" s="40"/>
      <c r="L850" s="40"/>
      <c r="M850" s="40"/>
      <c r="N850" s="47"/>
      <c r="O850" s="40"/>
      <c r="P850" s="40"/>
      <c r="Q850" s="40"/>
      <c r="R850" s="55"/>
      <c r="S850" s="41"/>
      <c r="T850" s="40"/>
    </row>
    <row r="851" spans="1:20" ht="24">
      <c r="A851" s="40" t="s">
        <v>655</v>
      </c>
      <c r="B851" s="40"/>
      <c r="C851" s="41"/>
      <c r="D851" s="40"/>
      <c r="E851" s="40" t="s">
        <v>3012</v>
      </c>
      <c r="F851" s="47">
        <f>LEN(G851)</f>
        <v>0</v>
      </c>
      <c r="G851" s="40"/>
      <c r="H851" s="40"/>
      <c r="I851" s="40"/>
      <c r="J851" s="40"/>
      <c r="K851" s="40"/>
      <c r="L851" s="40"/>
      <c r="M851" s="40"/>
      <c r="N851" s="47"/>
      <c r="O851" s="40"/>
      <c r="P851" s="40"/>
      <c r="Q851" s="40"/>
      <c r="R851" s="55"/>
      <c r="S851" s="41"/>
      <c r="T851" s="40"/>
    </row>
    <row r="852" spans="1:20" ht="24">
      <c r="A852" s="40" t="s">
        <v>655</v>
      </c>
      <c r="B852" s="40"/>
      <c r="C852" s="41"/>
      <c r="D852" s="40"/>
      <c r="E852" s="40" t="s">
        <v>3012</v>
      </c>
      <c r="F852" s="47">
        <f>LEN(G852)</f>
        <v>0</v>
      </c>
      <c r="G852" s="40"/>
      <c r="H852" s="40"/>
      <c r="I852" s="40"/>
      <c r="J852" s="40"/>
      <c r="K852" s="40"/>
      <c r="L852" s="40"/>
      <c r="M852" s="40"/>
      <c r="N852" s="47"/>
      <c r="O852" s="40"/>
      <c r="P852" s="40"/>
      <c r="Q852" s="40"/>
      <c r="R852" s="55"/>
      <c r="S852" s="41"/>
      <c r="T852" s="40"/>
    </row>
    <row r="853" spans="1:20" ht="24">
      <c r="A853" s="40" t="s">
        <v>655</v>
      </c>
      <c r="B853" s="40"/>
      <c r="C853" s="41"/>
      <c r="D853" s="40"/>
      <c r="E853" s="40" t="s">
        <v>3012</v>
      </c>
      <c r="F853" s="47">
        <f>LEN(G853)</f>
        <v>0</v>
      </c>
      <c r="G853" s="40"/>
      <c r="H853" s="40"/>
      <c r="I853" s="40"/>
      <c r="J853" s="40"/>
      <c r="K853" s="40"/>
      <c r="L853" s="40"/>
      <c r="M853" s="40"/>
      <c r="N853" s="47"/>
      <c r="O853" s="40"/>
      <c r="P853" s="40"/>
      <c r="Q853" s="40"/>
      <c r="R853" s="55"/>
      <c r="S853" s="41"/>
      <c r="T853" s="40"/>
    </row>
    <row r="854" spans="1:20" ht="24">
      <c r="A854" s="40" t="s">
        <v>655</v>
      </c>
      <c r="B854" s="40"/>
      <c r="C854" s="41"/>
      <c r="D854" s="40"/>
      <c r="E854" s="40" t="s">
        <v>3012</v>
      </c>
      <c r="F854" s="47">
        <f>LEN(G854)</f>
        <v>0</v>
      </c>
      <c r="G854" s="40"/>
      <c r="H854" s="40"/>
      <c r="I854" s="40"/>
      <c r="J854" s="40"/>
      <c r="K854" s="40"/>
      <c r="L854" s="40"/>
      <c r="M854" s="40"/>
      <c r="N854" s="47"/>
      <c r="O854" s="40"/>
      <c r="P854" s="40"/>
      <c r="Q854" s="40"/>
      <c r="R854" s="55"/>
      <c r="S854" s="41"/>
      <c r="T854" s="40"/>
    </row>
    <row r="855" spans="1:20" ht="24">
      <c r="A855" s="40" t="s">
        <v>655</v>
      </c>
      <c r="B855" s="40"/>
      <c r="C855" s="41"/>
      <c r="D855" s="40"/>
      <c r="E855" s="40" t="s">
        <v>3012</v>
      </c>
      <c r="F855" s="47">
        <f>LEN(G855)</f>
        <v>0</v>
      </c>
      <c r="G855" s="40"/>
      <c r="H855" s="40"/>
      <c r="I855" s="40"/>
      <c r="J855" s="40"/>
      <c r="K855" s="40"/>
      <c r="L855" s="40"/>
      <c r="M855" s="40"/>
      <c r="N855" s="47"/>
      <c r="O855" s="40"/>
      <c r="P855" s="40"/>
      <c r="Q855" s="40"/>
      <c r="R855" s="55"/>
      <c r="S855" s="41"/>
      <c r="T855" s="40"/>
    </row>
    <row r="856" spans="1:20" ht="24">
      <c r="A856" s="40" t="s">
        <v>655</v>
      </c>
      <c r="B856" s="40"/>
      <c r="C856" s="41"/>
      <c r="D856" s="40"/>
      <c r="E856" s="40" t="s">
        <v>3012</v>
      </c>
      <c r="F856" s="47">
        <f>LEN(G856)</f>
        <v>0</v>
      </c>
      <c r="G856" s="40"/>
      <c r="H856" s="40"/>
      <c r="I856" s="40"/>
      <c r="J856" s="40"/>
      <c r="K856" s="40"/>
      <c r="L856" s="40"/>
      <c r="M856" s="40"/>
      <c r="N856" s="47"/>
      <c r="O856" s="40"/>
      <c r="P856" s="40"/>
      <c r="Q856" s="40"/>
      <c r="R856" s="55"/>
      <c r="S856" s="41"/>
      <c r="T856" s="40"/>
    </row>
    <row r="857" spans="1:20" ht="24">
      <c r="A857" s="40" t="s">
        <v>655</v>
      </c>
      <c r="B857" s="40"/>
      <c r="C857" s="41"/>
      <c r="D857" s="40"/>
      <c r="E857" s="40" t="s">
        <v>3012</v>
      </c>
      <c r="F857" s="47">
        <f>LEN(G857)</f>
        <v>0</v>
      </c>
      <c r="G857" s="40"/>
      <c r="H857" s="40"/>
      <c r="I857" s="40"/>
      <c r="J857" s="40"/>
      <c r="K857" s="40"/>
      <c r="L857" s="40"/>
      <c r="M857" s="40"/>
      <c r="N857" s="47"/>
      <c r="O857" s="40"/>
      <c r="P857" s="40"/>
      <c r="Q857" s="40"/>
      <c r="R857" s="55"/>
      <c r="S857" s="41"/>
      <c r="T857" s="40"/>
    </row>
    <row r="858" spans="1:20" ht="24">
      <c r="A858" s="40" t="s">
        <v>655</v>
      </c>
      <c r="B858" s="40"/>
      <c r="C858" s="41"/>
      <c r="D858" s="40"/>
      <c r="E858" s="40" t="s">
        <v>3012</v>
      </c>
      <c r="F858" s="47">
        <f>LEN(G858)</f>
        <v>0</v>
      </c>
      <c r="G858" s="40"/>
      <c r="H858" s="40"/>
      <c r="I858" s="40"/>
      <c r="J858" s="40"/>
      <c r="K858" s="40"/>
      <c r="L858" s="40"/>
      <c r="M858" s="40"/>
      <c r="N858" s="47"/>
      <c r="O858" s="40"/>
      <c r="P858" s="40"/>
      <c r="Q858" s="40"/>
      <c r="R858" s="55"/>
      <c r="S858" s="41"/>
      <c r="T858" s="40"/>
    </row>
    <row r="859" spans="1:20" ht="24">
      <c r="A859" s="40" t="s">
        <v>655</v>
      </c>
      <c r="B859" s="40"/>
      <c r="C859" s="41"/>
      <c r="D859" s="40"/>
      <c r="E859" s="40" t="s">
        <v>3012</v>
      </c>
      <c r="F859" s="47">
        <f>LEN(G859)</f>
        <v>0</v>
      </c>
      <c r="G859" s="40"/>
      <c r="H859" s="40"/>
      <c r="I859" s="40"/>
      <c r="J859" s="40"/>
      <c r="K859" s="40"/>
      <c r="L859" s="40"/>
      <c r="M859" s="40"/>
      <c r="N859" s="47"/>
      <c r="O859" s="40"/>
      <c r="P859" s="40"/>
      <c r="Q859" s="40"/>
      <c r="R859" s="55"/>
      <c r="S859" s="41"/>
      <c r="T859" s="40"/>
    </row>
    <row r="860" spans="1:20" ht="24">
      <c r="A860" s="40" t="s">
        <v>655</v>
      </c>
      <c r="B860" s="40"/>
      <c r="C860" s="41"/>
      <c r="D860" s="40"/>
      <c r="E860" s="40" t="s">
        <v>3012</v>
      </c>
      <c r="F860" s="47">
        <f>LEN(G860)</f>
        <v>0</v>
      </c>
      <c r="G860" s="40"/>
      <c r="H860" s="40"/>
      <c r="I860" s="40"/>
      <c r="J860" s="40"/>
      <c r="K860" s="40"/>
      <c r="L860" s="40"/>
      <c r="M860" s="40"/>
      <c r="N860" s="47"/>
      <c r="O860" s="40"/>
      <c r="P860" s="40"/>
      <c r="Q860" s="40"/>
      <c r="R860" s="55"/>
      <c r="S860" s="41"/>
      <c r="T860" s="40"/>
    </row>
    <row r="861" spans="1:20" ht="24">
      <c r="A861" s="40" t="s">
        <v>655</v>
      </c>
      <c r="B861" s="40"/>
      <c r="C861" s="41"/>
      <c r="D861" s="40"/>
      <c r="E861" s="40" t="s">
        <v>3012</v>
      </c>
      <c r="F861" s="47">
        <f>LEN(G861)</f>
        <v>0</v>
      </c>
      <c r="G861" s="40"/>
      <c r="H861" s="40"/>
      <c r="I861" s="40"/>
      <c r="J861" s="40"/>
      <c r="K861" s="40"/>
      <c r="L861" s="40"/>
      <c r="M861" s="40"/>
      <c r="N861" s="47"/>
      <c r="O861" s="40"/>
      <c r="P861" s="40"/>
      <c r="Q861" s="40"/>
      <c r="R861" s="55"/>
      <c r="S861" s="41"/>
      <c r="T861" s="40"/>
    </row>
    <row r="862" spans="1:20" ht="24">
      <c r="A862" s="40" t="s">
        <v>655</v>
      </c>
      <c r="B862" s="40"/>
      <c r="C862" s="41"/>
      <c r="D862" s="40"/>
      <c r="E862" s="40" t="s">
        <v>3012</v>
      </c>
      <c r="F862" s="47">
        <f>LEN(G862)</f>
        <v>0</v>
      </c>
      <c r="G862" s="40"/>
      <c r="H862" s="40"/>
      <c r="I862" s="40"/>
      <c r="J862" s="40"/>
      <c r="K862" s="40"/>
      <c r="L862" s="40"/>
      <c r="M862" s="40"/>
      <c r="N862" s="47"/>
      <c r="O862" s="40"/>
      <c r="P862" s="40"/>
      <c r="Q862" s="40"/>
      <c r="R862" s="55"/>
      <c r="S862" s="41"/>
      <c r="T862" s="40"/>
    </row>
    <row r="863" spans="1:20" ht="24">
      <c r="A863" s="40" t="s">
        <v>655</v>
      </c>
      <c r="B863" s="40"/>
      <c r="C863" s="41"/>
      <c r="D863" s="40"/>
      <c r="E863" s="40" t="s">
        <v>3012</v>
      </c>
      <c r="F863" s="47">
        <f>LEN(G863)</f>
        <v>0</v>
      </c>
      <c r="G863" s="40"/>
      <c r="H863" s="40"/>
      <c r="I863" s="40"/>
      <c r="J863" s="40"/>
      <c r="K863" s="40"/>
      <c r="L863" s="40"/>
      <c r="M863" s="40"/>
      <c r="N863" s="47"/>
      <c r="O863" s="40"/>
      <c r="P863" s="40"/>
      <c r="Q863" s="40"/>
      <c r="R863" s="55"/>
      <c r="S863" s="41"/>
      <c r="T863" s="40"/>
    </row>
    <row r="864" spans="1:20" ht="24">
      <c r="A864" s="40" t="s">
        <v>655</v>
      </c>
      <c r="B864" s="40"/>
      <c r="C864" s="41"/>
      <c r="D864" s="40"/>
      <c r="E864" s="40" t="s">
        <v>3012</v>
      </c>
      <c r="F864" s="47">
        <f>LEN(G864)</f>
        <v>0</v>
      </c>
      <c r="G864" s="40"/>
      <c r="H864" s="40"/>
      <c r="I864" s="40"/>
      <c r="J864" s="40"/>
      <c r="K864" s="40"/>
      <c r="L864" s="40"/>
      <c r="M864" s="40"/>
      <c r="N864" s="47"/>
      <c r="O864" s="40"/>
      <c r="P864" s="40"/>
      <c r="Q864" s="40"/>
      <c r="R864" s="55"/>
      <c r="S864" s="41"/>
      <c r="T864" s="40"/>
    </row>
    <row r="865" spans="1:20" ht="24">
      <c r="A865" s="40" t="s">
        <v>655</v>
      </c>
      <c r="B865" s="40"/>
      <c r="C865" s="41"/>
      <c r="D865" s="40"/>
      <c r="E865" s="40" t="s">
        <v>3012</v>
      </c>
      <c r="F865" s="47">
        <f>LEN(G865)</f>
        <v>0</v>
      </c>
      <c r="G865" s="40"/>
      <c r="H865" s="40"/>
      <c r="I865" s="40"/>
      <c r="J865" s="40"/>
      <c r="K865" s="40"/>
      <c r="L865" s="40"/>
      <c r="M865" s="40"/>
      <c r="N865" s="47"/>
      <c r="O865" s="40"/>
      <c r="P865" s="40"/>
      <c r="Q865" s="40"/>
      <c r="R865" s="55"/>
      <c r="S865" s="41"/>
      <c r="T865" s="40"/>
    </row>
    <row r="866" spans="1:20" ht="24">
      <c r="A866" s="40" t="s">
        <v>655</v>
      </c>
      <c r="B866" s="40"/>
      <c r="C866" s="41"/>
      <c r="D866" s="40"/>
      <c r="E866" s="40" t="s">
        <v>3012</v>
      </c>
      <c r="F866" s="47">
        <f>LEN(G866)</f>
        <v>0</v>
      </c>
      <c r="G866" s="40"/>
      <c r="H866" s="40"/>
      <c r="I866" s="40"/>
      <c r="J866" s="40"/>
      <c r="K866" s="40"/>
      <c r="L866" s="40"/>
      <c r="M866" s="40"/>
      <c r="N866" s="47"/>
      <c r="O866" s="40"/>
      <c r="P866" s="40"/>
      <c r="Q866" s="40"/>
      <c r="R866" s="55"/>
      <c r="S866" s="41"/>
      <c r="T866" s="40"/>
    </row>
    <row r="867" spans="1:20" ht="24">
      <c r="A867" s="40" t="s">
        <v>655</v>
      </c>
      <c r="B867" s="40"/>
      <c r="C867" s="41"/>
      <c r="D867" s="40"/>
      <c r="E867" s="40" t="s">
        <v>3012</v>
      </c>
      <c r="F867" s="47">
        <f>LEN(G867)</f>
        <v>0</v>
      </c>
      <c r="G867" s="40"/>
      <c r="H867" s="40"/>
      <c r="I867" s="40"/>
      <c r="J867" s="40"/>
      <c r="K867" s="40"/>
      <c r="L867" s="40"/>
      <c r="M867" s="40"/>
      <c r="N867" s="47"/>
      <c r="O867" s="40"/>
      <c r="P867" s="40"/>
      <c r="Q867" s="40"/>
      <c r="R867" s="55"/>
      <c r="S867" s="41"/>
      <c r="T867" s="40"/>
    </row>
    <row r="868" spans="1:20" ht="24">
      <c r="A868" s="40" t="s">
        <v>655</v>
      </c>
      <c r="B868" s="40"/>
      <c r="C868" s="41"/>
      <c r="D868" s="40"/>
      <c r="E868" s="40" t="s">
        <v>3012</v>
      </c>
      <c r="F868" s="47">
        <f>LEN(G868)</f>
        <v>0</v>
      </c>
      <c r="G868" s="40"/>
      <c r="H868" s="40"/>
      <c r="I868" s="40"/>
      <c r="J868" s="40"/>
      <c r="K868" s="40"/>
      <c r="L868" s="40"/>
      <c r="M868" s="40"/>
      <c r="N868" s="47"/>
      <c r="O868" s="40"/>
      <c r="P868" s="40"/>
      <c r="Q868" s="40"/>
      <c r="R868" s="55"/>
      <c r="S868" s="41"/>
      <c r="T868" s="40"/>
    </row>
    <row r="869" spans="1:20" ht="24">
      <c r="A869" s="40" t="s">
        <v>655</v>
      </c>
      <c r="B869" s="40"/>
      <c r="C869" s="41"/>
      <c r="D869" s="40"/>
      <c r="E869" s="40" t="s">
        <v>3012</v>
      </c>
      <c r="F869" s="47">
        <f>LEN(G869)</f>
        <v>0</v>
      </c>
      <c r="G869" s="40"/>
      <c r="H869" s="40"/>
      <c r="I869" s="40"/>
      <c r="J869" s="40"/>
      <c r="K869" s="40"/>
      <c r="L869" s="40"/>
      <c r="M869" s="40"/>
      <c r="N869" s="47"/>
      <c r="O869" s="40"/>
      <c r="P869" s="40"/>
      <c r="Q869" s="40"/>
      <c r="R869" s="55"/>
      <c r="S869" s="41"/>
      <c r="T869" s="40"/>
    </row>
    <row r="870" spans="1:20" ht="24">
      <c r="A870" s="40" t="s">
        <v>655</v>
      </c>
      <c r="B870" s="40"/>
      <c r="C870" s="41"/>
      <c r="D870" s="40"/>
      <c r="E870" s="40" t="s">
        <v>3012</v>
      </c>
      <c r="F870" s="47">
        <f>LEN(G870)</f>
        <v>0</v>
      </c>
      <c r="G870" s="40"/>
      <c r="H870" s="40"/>
      <c r="I870" s="40"/>
      <c r="J870" s="40"/>
      <c r="K870" s="40"/>
      <c r="L870" s="40"/>
      <c r="M870" s="40"/>
      <c r="N870" s="47"/>
      <c r="O870" s="40"/>
      <c r="P870" s="40"/>
      <c r="Q870" s="40"/>
      <c r="R870" s="55"/>
      <c r="S870" s="41"/>
      <c r="T870" s="40"/>
    </row>
    <row r="871" spans="1:20" ht="24">
      <c r="A871" s="40" t="s">
        <v>655</v>
      </c>
      <c r="B871" s="40"/>
      <c r="C871" s="41"/>
      <c r="D871" s="40"/>
      <c r="E871" s="40" t="s">
        <v>3012</v>
      </c>
      <c r="F871" s="47">
        <f>LEN(G871)</f>
        <v>0</v>
      </c>
      <c r="G871" s="40"/>
      <c r="H871" s="40"/>
      <c r="I871" s="40"/>
      <c r="J871" s="40"/>
      <c r="K871" s="40"/>
      <c r="L871" s="40"/>
      <c r="M871" s="40"/>
      <c r="N871" s="47"/>
      <c r="O871" s="40"/>
      <c r="P871" s="40"/>
      <c r="Q871" s="40"/>
      <c r="R871" s="55"/>
      <c r="S871" s="41"/>
      <c r="T871" s="40"/>
    </row>
    <row r="872" spans="1:20" ht="24">
      <c r="A872" s="40" t="s">
        <v>655</v>
      </c>
      <c r="B872" s="40"/>
      <c r="C872" s="41"/>
      <c r="D872" s="40"/>
      <c r="E872" s="40" t="s">
        <v>3012</v>
      </c>
      <c r="F872" s="47">
        <f>LEN(G872)</f>
        <v>0</v>
      </c>
      <c r="G872" s="40"/>
      <c r="H872" s="40"/>
      <c r="I872" s="40"/>
      <c r="J872" s="40"/>
      <c r="K872" s="40"/>
      <c r="L872" s="40"/>
      <c r="M872" s="40"/>
      <c r="N872" s="47"/>
      <c r="O872" s="40"/>
      <c r="P872" s="40"/>
      <c r="Q872" s="40"/>
      <c r="R872" s="55"/>
      <c r="S872" s="41"/>
      <c r="T872" s="40"/>
    </row>
    <row r="873" spans="1:20" ht="24">
      <c r="A873" s="40" t="s">
        <v>655</v>
      </c>
      <c r="B873" s="40"/>
      <c r="C873" s="41"/>
      <c r="D873" s="40"/>
      <c r="E873" s="40" t="s">
        <v>3012</v>
      </c>
      <c r="F873" s="47">
        <f>LEN(G873)</f>
        <v>0</v>
      </c>
      <c r="G873" s="40"/>
      <c r="H873" s="40"/>
      <c r="I873" s="40"/>
      <c r="J873" s="40"/>
      <c r="K873" s="40"/>
      <c r="L873" s="40"/>
      <c r="M873" s="40"/>
      <c r="N873" s="47"/>
      <c r="O873" s="40"/>
      <c r="P873" s="40"/>
      <c r="Q873" s="40"/>
      <c r="R873" s="55"/>
      <c r="S873" s="41"/>
      <c r="T873" s="40"/>
    </row>
    <row r="874" spans="1:20" ht="24">
      <c r="A874" s="40" t="s">
        <v>655</v>
      </c>
      <c r="B874" s="40"/>
      <c r="C874" s="41"/>
      <c r="D874" s="40"/>
      <c r="E874" s="40" t="s">
        <v>3012</v>
      </c>
      <c r="F874" s="47">
        <f>LEN(G874)</f>
        <v>0</v>
      </c>
      <c r="G874" s="40"/>
      <c r="H874" s="40"/>
      <c r="I874" s="40"/>
      <c r="J874" s="40"/>
      <c r="K874" s="40"/>
      <c r="L874" s="40"/>
      <c r="M874" s="40"/>
      <c r="N874" s="47"/>
      <c r="O874" s="40"/>
      <c r="P874" s="40"/>
      <c r="Q874" s="40"/>
      <c r="R874" s="55"/>
      <c r="S874" s="41"/>
      <c r="T874" s="40"/>
    </row>
    <row r="875" spans="1:20" ht="24">
      <c r="A875" s="40" t="s">
        <v>655</v>
      </c>
      <c r="B875" s="40"/>
      <c r="C875" s="41"/>
      <c r="D875" s="40"/>
      <c r="E875" s="40" t="s">
        <v>3012</v>
      </c>
      <c r="F875" s="47">
        <f>LEN(G875)</f>
        <v>0</v>
      </c>
      <c r="G875" s="40"/>
      <c r="H875" s="40"/>
      <c r="I875" s="40"/>
      <c r="J875" s="40"/>
      <c r="K875" s="40"/>
      <c r="L875" s="40"/>
      <c r="M875" s="40"/>
      <c r="N875" s="47"/>
      <c r="O875" s="40"/>
      <c r="P875" s="40"/>
      <c r="Q875" s="40"/>
      <c r="R875" s="55"/>
      <c r="S875" s="41"/>
      <c r="T875" s="40"/>
    </row>
    <row r="876" spans="1:20" ht="24">
      <c r="A876" s="40" t="s">
        <v>655</v>
      </c>
      <c r="B876" s="40"/>
      <c r="C876" s="41"/>
      <c r="D876" s="40"/>
      <c r="E876" s="40" t="s">
        <v>3012</v>
      </c>
      <c r="F876" s="47">
        <f>LEN(G876)</f>
        <v>0</v>
      </c>
      <c r="G876" s="40"/>
      <c r="H876" s="40"/>
      <c r="I876" s="40"/>
      <c r="J876" s="40"/>
      <c r="K876" s="40"/>
      <c r="L876" s="40"/>
      <c r="M876" s="40"/>
      <c r="N876" s="47"/>
      <c r="O876" s="40"/>
      <c r="P876" s="40"/>
      <c r="Q876" s="40"/>
      <c r="R876" s="55"/>
      <c r="S876" s="41"/>
      <c r="T876" s="40"/>
    </row>
    <row r="877" spans="1:20" ht="24">
      <c r="A877" s="40" t="s">
        <v>655</v>
      </c>
      <c r="B877" s="40"/>
      <c r="C877" s="41"/>
      <c r="D877" s="40"/>
      <c r="E877" s="40" t="s">
        <v>3012</v>
      </c>
      <c r="F877" s="47">
        <f>LEN(G877)</f>
        <v>0</v>
      </c>
      <c r="G877" s="40"/>
      <c r="H877" s="40"/>
      <c r="I877" s="40"/>
      <c r="J877" s="40"/>
      <c r="K877" s="40"/>
      <c r="L877" s="40"/>
      <c r="M877" s="40"/>
      <c r="N877" s="47"/>
      <c r="O877" s="40"/>
      <c r="P877" s="40"/>
      <c r="Q877" s="40"/>
      <c r="R877" s="55"/>
      <c r="S877" s="41"/>
      <c r="T877" s="40"/>
    </row>
    <row r="878" spans="1:20" ht="24">
      <c r="A878" s="40" t="s">
        <v>655</v>
      </c>
      <c r="B878" s="40"/>
      <c r="C878" s="41"/>
      <c r="D878" s="40"/>
      <c r="E878" s="40" t="s">
        <v>3012</v>
      </c>
      <c r="F878" s="47">
        <f>LEN(G878)</f>
        <v>0</v>
      </c>
      <c r="G878" s="40"/>
      <c r="H878" s="40"/>
      <c r="I878" s="40"/>
      <c r="J878" s="40"/>
      <c r="K878" s="40"/>
      <c r="L878" s="40"/>
      <c r="M878" s="40"/>
      <c r="N878" s="47"/>
      <c r="O878" s="40"/>
      <c r="P878" s="40"/>
      <c r="Q878" s="40"/>
      <c r="R878" s="55"/>
      <c r="S878" s="41"/>
      <c r="T878" s="40"/>
    </row>
    <row r="879" spans="1:20" ht="24">
      <c r="A879" s="40" t="s">
        <v>655</v>
      </c>
      <c r="B879" s="40"/>
      <c r="C879" s="41"/>
      <c r="D879" s="40"/>
      <c r="E879" s="40" t="s">
        <v>3012</v>
      </c>
      <c r="F879" s="47">
        <f>LEN(G879)</f>
        <v>0</v>
      </c>
      <c r="G879" s="40"/>
      <c r="H879" s="40"/>
      <c r="I879" s="40"/>
      <c r="J879" s="40"/>
      <c r="K879" s="40"/>
      <c r="L879" s="40"/>
      <c r="M879" s="40"/>
      <c r="N879" s="47"/>
      <c r="O879" s="40"/>
      <c r="P879" s="40"/>
      <c r="Q879" s="40"/>
      <c r="R879" s="55"/>
      <c r="S879" s="41"/>
      <c r="T879" s="40"/>
    </row>
    <row r="880" spans="1:20" ht="24">
      <c r="A880" s="40" t="s">
        <v>655</v>
      </c>
      <c r="B880" s="40"/>
      <c r="C880" s="41"/>
      <c r="D880" s="40"/>
      <c r="E880" s="40" t="s">
        <v>3012</v>
      </c>
      <c r="F880" s="47">
        <f>LEN(G880)</f>
        <v>0</v>
      </c>
      <c r="G880" s="40"/>
      <c r="H880" s="40"/>
      <c r="I880" s="40"/>
      <c r="J880" s="40"/>
      <c r="K880" s="40"/>
      <c r="L880" s="40"/>
      <c r="M880" s="40"/>
      <c r="N880" s="47"/>
      <c r="O880" s="40"/>
      <c r="P880" s="40"/>
      <c r="Q880" s="40"/>
      <c r="R880" s="55"/>
      <c r="S880" s="41"/>
      <c r="T880" s="40"/>
    </row>
    <row r="881" spans="1:20" ht="24">
      <c r="A881" s="40" t="s">
        <v>655</v>
      </c>
      <c r="B881" s="40"/>
      <c r="C881" s="41"/>
      <c r="D881" s="40"/>
      <c r="E881" s="40" t="s">
        <v>3012</v>
      </c>
      <c r="F881" s="47">
        <f>LEN(G881)</f>
        <v>0</v>
      </c>
      <c r="G881" s="40"/>
      <c r="H881" s="40"/>
      <c r="I881" s="40"/>
      <c r="J881" s="40"/>
      <c r="K881" s="40"/>
      <c r="L881" s="40"/>
      <c r="M881" s="40"/>
      <c r="N881" s="47"/>
      <c r="O881" s="40"/>
      <c r="P881" s="40"/>
      <c r="Q881" s="40"/>
      <c r="R881" s="55"/>
      <c r="S881" s="41"/>
      <c r="T881" s="40"/>
    </row>
    <row r="882" spans="1:20" ht="24">
      <c r="A882" s="40" t="s">
        <v>655</v>
      </c>
      <c r="B882" s="40"/>
      <c r="C882" s="41"/>
      <c r="D882" s="40"/>
      <c r="E882" s="40" t="s">
        <v>3012</v>
      </c>
      <c r="F882" s="47">
        <f>LEN(G882)</f>
        <v>0</v>
      </c>
      <c r="G882" s="40"/>
      <c r="H882" s="40"/>
      <c r="I882" s="40"/>
      <c r="J882" s="40"/>
      <c r="K882" s="40"/>
      <c r="L882" s="40"/>
      <c r="M882" s="40"/>
      <c r="N882" s="47"/>
      <c r="O882" s="40"/>
      <c r="P882" s="40"/>
      <c r="Q882" s="40"/>
      <c r="R882" s="55"/>
      <c r="S882" s="41"/>
      <c r="T882" s="40"/>
    </row>
    <row r="883" spans="1:20" ht="24">
      <c r="A883" s="40" t="s">
        <v>655</v>
      </c>
      <c r="B883" s="40"/>
      <c r="C883" s="41"/>
      <c r="D883" s="40"/>
      <c r="E883" s="40" t="s">
        <v>3012</v>
      </c>
      <c r="F883" s="47">
        <f>LEN(G883)</f>
        <v>0</v>
      </c>
      <c r="G883" s="40"/>
      <c r="H883" s="40"/>
      <c r="I883" s="40"/>
      <c r="J883" s="40"/>
      <c r="K883" s="40"/>
      <c r="L883" s="40"/>
      <c r="M883" s="40"/>
      <c r="N883" s="47"/>
      <c r="O883" s="40"/>
      <c r="P883" s="40"/>
      <c r="Q883" s="40"/>
      <c r="R883" s="55"/>
      <c r="S883" s="41"/>
      <c r="T883" s="40"/>
    </row>
    <row r="884" spans="1:20" ht="24">
      <c r="A884" s="40" t="s">
        <v>655</v>
      </c>
      <c r="B884" s="40"/>
      <c r="C884" s="41"/>
      <c r="D884" s="40"/>
      <c r="E884" s="40" t="s">
        <v>3012</v>
      </c>
      <c r="F884" s="47">
        <f>LEN(G884)</f>
        <v>0</v>
      </c>
      <c r="G884" s="40"/>
      <c r="H884" s="40"/>
      <c r="I884" s="40"/>
      <c r="J884" s="40"/>
      <c r="K884" s="40"/>
      <c r="L884" s="40"/>
      <c r="M884" s="40"/>
      <c r="N884" s="47"/>
      <c r="O884" s="40"/>
      <c r="P884" s="40"/>
      <c r="Q884" s="40"/>
      <c r="R884" s="55"/>
      <c r="S884" s="41"/>
      <c r="T884" s="40"/>
    </row>
    <row r="885" spans="1:20" ht="24">
      <c r="A885" s="40" t="s">
        <v>655</v>
      </c>
      <c r="B885" s="40"/>
      <c r="C885" s="41"/>
      <c r="D885" s="40"/>
      <c r="E885" s="40" t="s">
        <v>3012</v>
      </c>
      <c r="F885" s="47">
        <f>LEN(G885)</f>
        <v>0</v>
      </c>
      <c r="G885" s="40"/>
      <c r="H885" s="40"/>
      <c r="I885" s="40"/>
      <c r="J885" s="40"/>
      <c r="K885" s="40"/>
      <c r="L885" s="40"/>
      <c r="M885" s="40"/>
      <c r="N885" s="47"/>
      <c r="O885" s="40"/>
      <c r="P885" s="40"/>
      <c r="Q885" s="40"/>
      <c r="R885" s="55"/>
      <c r="S885" s="41"/>
      <c r="T885" s="40"/>
    </row>
    <row r="886" spans="1:20" ht="24">
      <c r="A886" s="40" t="s">
        <v>655</v>
      </c>
      <c r="B886" s="40"/>
      <c r="C886" s="41"/>
      <c r="D886" s="40"/>
      <c r="E886" s="40" t="s">
        <v>3012</v>
      </c>
      <c r="F886" s="47">
        <f>LEN(G886)</f>
        <v>0</v>
      </c>
      <c r="G886" s="40"/>
      <c r="H886" s="40"/>
      <c r="I886" s="40"/>
      <c r="J886" s="40"/>
      <c r="K886" s="40"/>
      <c r="L886" s="40"/>
      <c r="M886" s="40"/>
      <c r="N886" s="47"/>
      <c r="O886" s="40"/>
      <c r="P886" s="40"/>
      <c r="Q886" s="40"/>
      <c r="R886" s="55"/>
      <c r="S886" s="41"/>
      <c r="T886" s="40"/>
    </row>
    <row r="887" spans="1:20" ht="24">
      <c r="A887" s="40" t="s">
        <v>655</v>
      </c>
      <c r="B887" s="40"/>
      <c r="C887" s="41"/>
      <c r="D887" s="40"/>
      <c r="E887" s="40" t="s">
        <v>3012</v>
      </c>
      <c r="F887" s="47">
        <f>LEN(G887)</f>
        <v>0</v>
      </c>
      <c r="G887" s="40"/>
      <c r="H887" s="40"/>
      <c r="I887" s="40"/>
      <c r="J887" s="40"/>
      <c r="K887" s="40"/>
      <c r="L887" s="40"/>
      <c r="M887" s="40"/>
      <c r="N887" s="47"/>
      <c r="O887" s="40"/>
      <c r="P887" s="40"/>
      <c r="Q887" s="40"/>
      <c r="R887" s="55"/>
      <c r="S887" s="41"/>
      <c r="T887" s="40"/>
    </row>
    <row r="888" spans="1:20" ht="24">
      <c r="A888" s="40" t="s">
        <v>655</v>
      </c>
      <c r="B888" s="40"/>
      <c r="C888" s="41"/>
      <c r="D888" s="40"/>
      <c r="E888" s="40" t="s">
        <v>3012</v>
      </c>
      <c r="F888" s="47">
        <f>LEN(G888)</f>
        <v>0</v>
      </c>
      <c r="G888" s="40"/>
      <c r="H888" s="40"/>
      <c r="I888" s="40"/>
      <c r="J888" s="40"/>
      <c r="K888" s="40"/>
      <c r="L888" s="40"/>
      <c r="M888" s="40"/>
      <c r="N888" s="47"/>
      <c r="O888" s="40"/>
      <c r="P888" s="40"/>
      <c r="Q888" s="40"/>
      <c r="R888" s="55"/>
      <c r="S888" s="41"/>
      <c r="T888" s="40"/>
    </row>
    <row r="889" spans="1:20" ht="24">
      <c r="A889" s="40" t="s">
        <v>655</v>
      </c>
      <c r="B889" s="40"/>
      <c r="C889" s="41"/>
      <c r="D889" s="40"/>
      <c r="E889" s="40" t="s">
        <v>3012</v>
      </c>
      <c r="F889" s="47">
        <f>LEN(G889)</f>
        <v>0</v>
      </c>
      <c r="G889" s="40"/>
      <c r="H889" s="40"/>
      <c r="I889" s="40"/>
      <c r="J889" s="40"/>
      <c r="K889" s="40"/>
      <c r="L889" s="40"/>
      <c r="M889" s="40"/>
      <c r="N889" s="47"/>
      <c r="O889" s="40"/>
      <c r="P889" s="40"/>
      <c r="Q889" s="40"/>
      <c r="R889" s="55"/>
      <c r="S889" s="41"/>
      <c r="T889" s="40"/>
    </row>
    <row r="890" spans="1:20" ht="24">
      <c r="A890" s="40" t="s">
        <v>655</v>
      </c>
      <c r="B890" s="40"/>
      <c r="C890" s="41"/>
      <c r="D890" s="40"/>
      <c r="E890" s="40" t="s">
        <v>3012</v>
      </c>
      <c r="F890" s="47">
        <f>LEN(G890)</f>
        <v>0</v>
      </c>
      <c r="G890" s="40"/>
      <c r="H890" s="40"/>
      <c r="I890" s="40"/>
      <c r="J890" s="40"/>
      <c r="K890" s="40"/>
      <c r="L890" s="40"/>
      <c r="M890" s="40"/>
      <c r="N890" s="47"/>
      <c r="O890" s="40"/>
      <c r="P890" s="40"/>
      <c r="Q890" s="40"/>
      <c r="R890" s="55"/>
      <c r="S890" s="41"/>
      <c r="T890" s="40"/>
    </row>
    <row r="891" spans="1:20" ht="24">
      <c r="A891" s="40" t="s">
        <v>655</v>
      </c>
      <c r="B891" s="40"/>
      <c r="C891" s="41"/>
      <c r="D891" s="40"/>
      <c r="E891" s="40" t="s">
        <v>3012</v>
      </c>
      <c r="F891" s="47">
        <f>LEN(G891)</f>
        <v>0</v>
      </c>
      <c r="G891" s="40"/>
      <c r="H891" s="40"/>
      <c r="I891" s="40"/>
      <c r="J891" s="40"/>
      <c r="K891" s="40"/>
      <c r="L891" s="40"/>
      <c r="M891" s="40"/>
      <c r="N891" s="47"/>
      <c r="O891" s="40"/>
      <c r="P891" s="40"/>
      <c r="Q891" s="40"/>
      <c r="R891" s="55"/>
      <c r="S891" s="41"/>
      <c r="T891" s="40"/>
    </row>
    <row r="892" spans="1:20" ht="24">
      <c r="A892" s="40" t="s">
        <v>655</v>
      </c>
      <c r="B892" s="40"/>
      <c r="C892" s="41"/>
      <c r="D892" s="40"/>
      <c r="E892" s="40" t="s">
        <v>3012</v>
      </c>
      <c r="F892" s="47">
        <f>LEN(G892)</f>
        <v>0</v>
      </c>
      <c r="G892" s="40"/>
      <c r="H892" s="40"/>
      <c r="I892" s="40"/>
      <c r="J892" s="40"/>
      <c r="K892" s="40"/>
      <c r="L892" s="40"/>
      <c r="M892" s="40"/>
      <c r="N892" s="47"/>
      <c r="O892" s="40"/>
      <c r="P892" s="40"/>
      <c r="Q892" s="40"/>
      <c r="R892" s="55"/>
      <c r="S892" s="41"/>
      <c r="T892" s="40"/>
    </row>
    <row r="893" spans="1:20" ht="24">
      <c r="A893" s="40" t="s">
        <v>655</v>
      </c>
      <c r="B893" s="40"/>
      <c r="C893" s="41"/>
      <c r="D893" s="40"/>
      <c r="E893" s="40" t="s">
        <v>3012</v>
      </c>
      <c r="F893" s="47">
        <f>LEN(G893)</f>
        <v>0</v>
      </c>
      <c r="G893" s="40"/>
      <c r="H893" s="40"/>
      <c r="I893" s="40"/>
      <c r="J893" s="40"/>
      <c r="K893" s="40"/>
      <c r="L893" s="40"/>
      <c r="M893" s="40"/>
      <c r="N893" s="47"/>
      <c r="O893" s="40"/>
      <c r="P893" s="40"/>
      <c r="Q893" s="40"/>
      <c r="R893" s="55"/>
      <c r="S893" s="41"/>
      <c r="T893" s="40"/>
    </row>
    <row r="894" spans="1:20" ht="24">
      <c r="A894" s="40" t="s">
        <v>655</v>
      </c>
      <c r="B894" s="40"/>
      <c r="C894" s="41"/>
      <c r="D894" s="40"/>
      <c r="E894" s="40" t="s">
        <v>3012</v>
      </c>
      <c r="F894" s="47">
        <f>LEN(G894)</f>
        <v>0</v>
      </c>
      <c r="G894" s="40"/>
      <c r="H894" s="40"/>
      <c r="I894" s="40"/>
      <c r="J894" s="40"/>
      <c r="K894" s="40"/>
      <c r="L894" s="40"/>
      <c r="M894" s="40"/>
      <c r="N894" s="47"/>
      <c r="O894" s="40"/>
      <c r="P894" s="40"/>
      <c r="Q894" s="40"/>
      <c r="R894" s="55"/>
      <c r="S894" s="41"/>
      <c r="T894" s="40"/>
    </row>
    <row r="895" spans="1:20" ht="24">
      <c r="A895" s="40" t="s">
        <v>655</v>
      </c>
      <c r="B895" s="40"/>
      <c r="C895" s="41"/>
      <c r="D895" s="40"/>
      <c r="E895" s="40" t="s">
        <v>3012</v>
      </c>
      <c r="F895" s="47">
        <f>LEN(G895)</f>
        <v>0</v>
      </c>
      <c r="G895" s="40"/>
      <c r="H895" s="40"/>
      <c r="I895" s="40"/>
      <c r="J895" s="40"/>
      <c r="K895" s="40"/>
      <c r="L895" s="40"/>
      <c r="M895" s="40"/>
      <c r="N895" s="47"/>
      <c r="O895" s="40"/>
      <c r="P895" s="40"/>
      <c r="Q895" s="40"/>
      <c r="R895" s="55"/>
      <c r="S895" s="41"/>
      <c r="T895" s="40"/>
    </row>
    <row r="896" spans="1:20" ht="24">
      <c r="A896" s="40" t="s">
        <v>655</v>
      </c>
      <c r="B896" s="40"/>
      <c r="C896" s="41"/>
      <c r="D896" s="40"/>
      <c r="E896" s="40" t="s">
        <v>3012</v>
      </c>
      <c r="F896" s="47">
        <f>LEN(G896)</f>
        <v>0</v>
      </c>
      <c r="G896" s="40"/>
      <c r="H896" s="40"/>
      <c r="I896" s="40"/>
      <c r="J896" s="40"/>
      <c r="K896" s="40"/>
      <c r="L896" s="40"/>
      <c r="M896" s="40"/>
      <c r="N896" s="47"/>
      <c r="O896" s="40"/>
      <c r="P896" s="40"/>
      <c r="Q896" s="40"/>
      <c r="R896" s="55"/>
      <c r="S896" s="41"/>
      <c r="T896" s="40"/>
    </row>
    <row r="897" spans="1:20" ht="24">
      <c r="A897" s="40" t="s">
        <v>655</v>
      </c>
      <c r="B897" s="40"/>
      <c r="C897" s="41"/>
      <c r="D897" s="40"/>
      <c r="E897" s="40" t="s">
        <v>3012</v>
      </c>
      <c r="F897" s="47">
        <f>LEN(G897)</f>
        <v>0</v>
      </c>
      <c r="G897" s="40"/>
      <c r="H897" s="40"/>
      <c r="I897" s="40"/>
      <c r="J897" s="40"/>
      <c r="K897" s="40"/>
      <c r="L897" s="40"/>
      <c r="M897" s="40"/>
      <c r="N897" s="47"/>
      <c r="O897" s="40"/>
      <c r="P897" s="40"/>
      <c r="Q897" s="40"/>
      <c r="R897" s="55"/>
      <c r="S897" s="41"/>
      <c r="T897" s="40"/>
    </row>
    <row r="898" spans="1:20" ht="24">
      <c r="A898" s="40" t="s">
        <v>655</v>
      </c>
      <c r="B898" s="40"/>
      <c r="C898" s="41"/>
      <c r="D898" s="40"/>
      <c r="E898" s="40" t="s">
        <v>3012</v>
      </c>
      <c r="F898" s="47">
        <f>LEN(G898)</f>
        <v>0</v>
      </c>
      <c r="G898" s="40"/>
      <c r="H898" s="40"/>
      <c r="I898" s="40"/>
      <c r="J898" s="40"/>
      <c r="K898" s="40"/>
      <c r="L898" s="40"/>
      <c r="M898" s="40"/>
      <c r="N898" s="47"/>
      <c r="O898" s="40"/>
      <c r="P898" s="40"/>
      <c r="Q898" s="40"/>
      <c r="R898" s="55"/>
      <c r="S898" s="41"/>
      <c r="T898" s="40"/>
    </row>
    <row r="899" spans="1:20" ht="24">
      <c r="A899" s="40" t="s">
        <v>655</v>
      </c>
      <c r="B899" s="40"/>
      <c r="C899" s="41"/>
      <c r="D899" s="40"/>
      <c r="E899" s="40" t="s">
        <v>3012</v>
      </c>
      <c r="F899" s="47">
        <f>LEN(G899)</f>
        <v>0</v>
      </c>
      <c r="G899" s="40"/>
      <c r="H899" s="40"/>
      <c r="I899" s="40"/>
      <c r="J899" s="40"/>
      <c r="K899" s="40"/>
      <c r="L899" s="40"/>
      <c r="M899" s="40"/>
      <c r="N899" s="47"/>
      <c r="O899" s="40"/>
      <c r="P899" s="40"/>
      <c r="Q899" s="40"/>
      <c r="R899" s="55"/>
      <c r="S899" s="41"/>
      <c r="T899" s="40"/>
    </row>
    <row r="900" spans="1:20" ht="24">
      <c r="A900" s="40" t="s">
        <v>655</v>
      </c>
      <c r="B900" s="40"/>
      <c r="C900" s="41"/>
      <c r="D900" s="40"/>
      <c r="E900" s="40" t="s">
        <v>3012</v>
      </c>
      <c r="F900" s="47">
        <f>LEN(G900)</f>
        <v>0</v>
      </c>
      <c r="G900" s="40"/>
      <c r="H900" s="40"/>
      <c r="I900" s="40"/>
      <c r="J900" s="40"/>
      <c r="K900" s="40"/>
      <c r="L900" s="40"/>
      <c r="M900" s="40"/>
      <c r="N900" s="47"/>
      <c r="O900" s="40"/>
      <c r="P900" s="40"/>
      <c r="Q900" s="40"/>
      <c r="R900" s="55"/>
      <c r="S900" s="41"/>
      <c r="T900" s="40"/>
    </row>
    <row r="901" spans="1:20" ht="24">
      <c r="A901" s="40" t="s">
        <v>655</v>
      </c>
      <c r="B901" s="40"/>
      <c r="C901" s="41"/>
      <c r="D901" s="40"/>
      <c r="E901" s="40" t="s">
        <v>3012</v>
      </c>
      <c r="F901" s="47">
        <f>LEN(G901)</f>
        <v>0</v>
      </c>
      <c r="G901" s="40"/>
      <c r="H901" s="40"/>
      <c r="I901" s="40"/>
      <c r="J901" s="40"/>
      <c r="K901" s="40"/>
      <c r="L901" s="40"/>
      <c r="M901" s="40"/>
      <c r="N901" s="47"/>
      <c r="O901" s="40"/>
      <c r="P901" s="40"/>
      <c r="Q901" s="40"/>
      <c r="R901" s="55"/>
      <c r="S901" s="41"/>
      <c r="T901" s="40"/>
    </row>
    <row r="902" spans="1:20" ht="24">
      <c r="A902" s="40" t="s">
        <v>655</v>
      </c>
      <c r="B902" s="40"/>
      <c r="C902" s="41"/>
      <c r="D902" s="40"/>
      <c r="E902" s="40" t="s">
        <v>3012</v>
      </c>
      <c r="F902" s="47">
        <f>LEN(G902)</f>
        <v>0</v>
      </c>
      <c r="G902" s="40"/>
      <c r="H902" s="40"/>
      <c r="I902" s="40"/>
      <c r="J902" s="40"/>
      <c r="K902" s="40"/>
      <c r="L902" s="40"/>
      <c r="M902" s="40"/>
      <c r="N902" s="47"/>
      <c r="O902" s="40"/>
      <c r="P902" s="40"/>
      <c r="Q902" s="40"/>
      <c r="R902" s="55"/>
      <c r="S902" s="41"/>
      <c r="T902" s="40"/>
    </row>
    <row r="903" spans="1:20" ht="24">
      <c r="A903" s="40" t="s">
        <v>655</v>
      </c>
      <c r="B903" s="40"/>
      <c r="C903" s="41"/>
      <c r="D903" s="40"/>
      <c r="E903" s="40" t="s">
        <v>3012</v>
      </c>
      <c r="F903" s="47">
        <f>LEN(G903)</f>
        <v>0</v>
      </c>
      <c r="G903" s="40"/>
      <c r="H903" s="40"/>
      <c r="I903" s="40"/>
      <c r="J903" s="40"/>
      <c r="K903" s="40"/>
      <c r="L903" s="40"/>
      <c r="M903" s="40"/>
      <c r="N903" s="47"/>
      <c r="O903" s="40"/>
      <c r="P903" s="40"/>
      <c r="Q903" s="40"/>
      <c r="R903" s="55"/>
      <c r="S903" s="41"/>
      <c r="T903" s="40"/>
    </row>
    <row r="904" spans="1:20" ht="24">
      <c r="A904" s="40" t="s">
        <v>655</v>
      </c>
      <c r="B904" s="40"/>
      <c r="C904" s="41"/>
      <c r="D904" s="40"/>
      <c r="E904" s="40" t="s">
        <v>3012</v>
      </c>
      <c r="F904" s="47">
        <f>LEN(G904)</f>
        <v>0</v>
      </c>
      <c r="G904" s="40"/>
      <c r="H904" s="40"/>
      <c r="I904" s="40"/>
      <c r="J904" s="40"/>
      <c r="K904" s="40"/>
      <c r="L904" s="40"/>
      <c r="M904" s="40"/>
      <c r="N904" s="47"/>
      <c r="O904" s="40"/>
      <c r="P904" s="40"/>
      <c r="Q904" s="40"/>
      <c r="R904" s="55"/>
      <c r="S904" s="41"/>
      <c r="T904" s="40"/>
    </row>
    <row r="905" spans="1:20" ht="24">
      <c r="A905" s="40" t="s">
        <v>655</v>
      </c>
      <c r="B905" s="40"/>
      <c r="C905" s="41"/>
      <c r="D905" s="40"/>
      <c r="E905" s="40" t="s">
        <v>3012</v>
      </c>
      <c r="F905" s="47">
        <f>LEN(G905)</f>
        <v>0</v>
      </c>
      <c r="G905" s="40"/>
      <c r="H905" s="40"/>
      <c r="I905" s="40"/>
      <c r="J905" s="40"/>
      <c r="K905" s="40"/>
      <c r="L905" s="40"/>
      <c r="M905" s="40"/>
      <c r="N905" s="47"/>
      <c r="O905" s="40"/>
      <c r="P905" s="40"/>
      <c r="Q905" s="40"/>
      <c r="R905" s="55"/>
      <c r="S905" s="41"/>
      <c r="T905" s="40"/>
    </row>
    <row r="906" spans="1:20" ht="24">
      <c r="A906" s="40" t="s">
        <v>655</v>
      </c>
      <c r="B906" s="40"/>
      <c r="C906" s="41"/>
      <c r="D906" s="40"/>
      <c r="E906" s="40" t="s">
        <v>3012</v>
      </c>
      <c r="F906" s="47">
        <f>LEN(G906)</f>
        <v>0</v>
      </c>
      <c r="G906" s="40"/>
      <c r="H906" s="40"/>
      <c r="I906" s="40"/>
      <c r="J906" s="40"/>
      <c r="K906" s="40"/>
      <c r="L906" s="40"/>
      <c r="M906" s="40"/>
      <c r="N906" s="47"/>
      <c r="O906" s="40"/>
      <c r="P906" s="40"/>
      <c r="Q906" s="40"/>
      <c r="R906" s="55"/>
      <c r="S906" s="41"/>
      <c r="T906" s="40"/>
    </row>
    <row r="907" spans="1:20" ht="24">
      <c r="A907" s="40" t="s">
        <v>655</v>
      </c>
      <c r="B907" s="40"/>
      <c r="C907" s="41"/>
      <c r="D907" s="40"/>
      <c r="E907" s="40" t="s">
        <v>3012</v>
      </c>
      <c r="F907" s="47">
        <f>LEN(G907)</f>
        <v>0</v>
      </c>
      <c r="G907" s="40"/>
      <c r="H907" s="40"/>
      <c r="I907" s="40"/>
      <c r="J907" s="40"/>
      <c r="K907" s="40"/>
      <c r="L907" s="40"/>
      <c r="M907" s="40"/>
      <c r="N907" s="47"/>
      <c r="O907" s="40"/>
      <c r="P907" s="40"/>
      <c r="Q907" s="40"/>
      <c r="R907" s="55"/>
      <c r="S907" s="41"/>
      <c r="T907" s="40"/>
    </row>
    <row r="908" spans="1:20" ht="24">
      <c r="A908" s="40" t="s">
        <v>655</v>
      </c>
      <c r="B908" s="40"/>
      <c r="C908" s="41"/>
      <c r="D908" s="40"/>
      <c r="E908" s="40" t="s">
        <v>3012</v>
      </c>
      <c r="F908" s="47">
        <f>LEN(G908)</f>
        <v>0</v>
      </c>
      <c r="G908" s="40"/>
      <c r="H908" s="40"/>
      <c r="I908" s="40"/>
      <c r="J908" s="40"/>
      <c r="K908" s="40"/>
      <c r="L908" s="40"/>
      <c r="M908" s="40"/>
      <c r="N908" s="47"/>
      <c r="O908" s="40"/>
      <c r="P908" s="40"/>
      <c r="Q908" s="40"/>
      <c r="R908" s="55"/>
      <c r="S908" s="41"/>
      <c r="T908" s="40"/>
    </row>
    <row r="909" spans="1:20" ht="24">
      <c r="A909" s="40" t="s">
        <v>655</v>
      </c>
      <c r="B909" s="40"/>
      <c r="C909" s="41"/>
      <c r="D909" s="40"/>
      <c r="E909" s="40" t="s">
        <v>3012</v>
      </c>
      <c r="F909" s="47">
        <f>LEN(G909)</f>
        <v>0</v>
      </c>
      <c r="G909" s="40"/>
      <c r="H909" s="40"/>
      <c r="I909" s="40"/>
      <c r="J909" s="40"/>
      <c r="K909" s="40"/>
      <c r="L909" s="40"/>
      <c r="M909" s="40"/>
      <c r="N909" s="47"/>
      <c r="O909" s="40"/>
      <c r="P909" s="40"/>
      <c r="Q909" s="40"/>
      <c r="R909" s="55"/>
      <c r="S909" s="41"/>
      <c r="T909" s="40"/>
    </row>
    <row r="910" spans="1:20" ht="24">
      <c r="A910" s="40" t="s">
        <v>655</v>
      </c>
      <c r="B910" s="40"/>
      <c r="C910" s="41"/>
      <c r="D910" s="40"/>
      <c r="E910" s="40" t="s">
        <v>3012</v>
      </c>
      <c r="F910" s="47">
        <f>LEN(G910)</f>
        <v>0</v>
      </c>
      <c r="G910" s="40"/>
      <c r="H910" s="40"/>
      <c r="I910" s="40"/>
      <c r="J910" s="40"/>
      <c r="K910" s="40"/>
      <c r="L910" s="40"/>
      <c r="M910" s="40"/>
      <c r="N910" s="47"/>
      <c r="O910" s="40"/>
      <c r="P910" s="40"/>
      <c r="Q910" s="40"/>
      <c r="R910" s="55"/>
      <c r="S910" s="41"/>
      <c r="T910" s="40"/>
    </row>
    <row r="911" spans="1:20" ht="24">
      <c r="A911" s="40" t="s">
        <v>655</v>
      </c>
      <c r="B911" s="40"/>
      <c r="C911" s="41"/>
      <c r="D911" s="40"/>
      <c r="E911" s="40" t="s">
        <v>3012</v>
      </c>
      <c r="F911" s="47">
        <f>LEN(G911)</f>
        <v>0</v>
      </c>
      <c r="G911" s="40"/>
      <c r="H911" s="40"/>
      <c r="I911" s="40"/>
      <c r="J911" s="40"/>
      <c r="K911" s="40"/>
      <c r="L911" s="40"/>
      <c r="M911" s="40"/>
      <c r="N911" s="47"/>
      <c r="O911" s="40"/>
      <c r="P911" s="40"/>
      <c r="Q911" s="40"/>
      <c r="R911" s="55"/>
      <c r="S911" s="41"/>
      <c r="T911" s="40"/>
    </row>
    <row r="912" spans="1:20" ht="24">
      <c r="A912" s="40" t="s">
        <v>655</v>
      </c>
      <c r="B912" s="40"/>
      <c r="C912" s="41"/>
      <c r="D912" s="40"/>
      <c r="E912" s="40" t="s">
        <v>3012</v>
      </c>
      <c r="F912" s="47">
        <f>LEN(G912)</f>
        <v>0</v>
      </c>
      <c r="G912" s="40"/>
      <c r="H912" s="40"/>
      <c r="I912" s="40"/>
      <c r="J912" s="40"/>
      <c r="K912" s="40"/>
      <c r="L912" s="40"/>
      <c r="M912" s="40"/>
      <c r="N912" s="47"/>
      <c r="O912" s="40"/>
      <c r="P912" s="40"/>
      <c r="Q912" s="40"/>
      <c r="R912" s="55"/>
      <c r="S912" s="41"/>
      <c r="T912" s="40"/>
    </row>
    <row r="913" spans="1:20" ht="24">
      <c r="A913" s="40" t="s">
        <v>655</v>
      </c>
      <c r="B913" s="40"/>
      <c r="C913" s="41"/>
      <c r="D913" s="40"/>
      <c r="E913" s="40" t="s">
        <v>3012</v>
      </c>
      <c r="F913" s="47">
        <f>LEN(G913)</f>
        <v>0</v>
      </c>
      <c r="G913" s="40"/>
      <c r="H913" s="40"/>
      <c r="I913" s="40"/>
      <c r="J913" s="40"/>
      <c r="K913" s="40"/>
      <c r="L913" s="40"/>
      <c r="M913" s="40"/>
      <c r="N913" s="47"/>
      <c r="O913" s="40"/>
      <c r="P913" s="40"/>
      <c r="Q913" s="40"/>
      <c r="R913" s="55"/>
      <c r="S913" s="41"/>
      <c r="T913" s="40"/>
    </row>
    <row r="914" spans="1:20" ht="24">
      <c r="A914" s="40" t="s">
        <v>655</v>
      </c>
      <c r="B914" s="40"/>
      <c r="C914" s="41"/>
      <c r="D914" s="40"/>
      <c r="E914" s="40" t="s">
        <v>3012</v>
      </c>
      <c r="F914" s="47">
        <f>LEN(G914)</f>
        <v>0</v>
      </c>
      <c r="G914" s="40"/>
      <c r="H914" s="40"/>
      <c r="I914" s="40"/>
      <c r="J914" s="40"/>
      <c r="K914" s="40"/>
      <c r="L914" s="40"/>
      <c r="M914" s="40"/>
      <c r="N914" s="47"/>
      <c r="O914" s="40"/>
      <c r="P914" s="40"/>
      <c r="Q914" s="40"/>
      <c r="R914" s="55"/>
      <c r="S914" s="41"/>
      <c r="T914" s="40"/>
    </row>
    <row r="915" spans="1:20" ht="24">
      <c r="A915" s="40" t="s">
        <v>655</v>
      </c>
      <c r="B915" s="40"/>
      <c r="C915" s="41"/>
      <c r="D915" s="40"/>
      <c r="E915" s="40" t="s">
        <v>3012</v>
      </c>
      <c r="F915" s="47">
        <f>LEN(G915)</f>
        <v>0</v>
      </c>
      <c r="G915" s="40"/>
      <c r="H915" s="40"/>
      <c r="I915" s="40"/>
      <c r="J915" s="40"/>
      <c r="K915" s="40"/>
      <c r="L915" s="40"/>
      <c r="M915" s="40"/>
      <c r="N915" s="47"/>
      <c r="O915" s="40"/>
      <c r="P915" s="40"/>
      <c r="Q915" s="40"/>
      <c r="R915" s="55"/>
      <c r="S915" s="41"/>
      <c r="T915" s="40"/>
    </row>
    <row r="916" spans="1:20" ht="24">
      <c r="A916" s="40" t="s">
        <v>655</v>
      </c>
      <c r="B916" s="40"/>
      <c r="C916" s="41"/>
      <c r="D916" s="40"/>
      <c r="E916" s="40" t="s">
        <v>3012</v>
      </c>
      <c r="F916" s="47">
        <f>LEN(G916)</f>
        <v>0</v>
      </c>
      <c r="G916" s="40"/>
      <c r="H916" s="40"/>
      <c r="I916" s="40"/>
      <c r="J916" s="40"/>
      <c r="K916" s="40"/>
      <c r="L916" s="40"/>
      <c r="M916" s="40"/>
      <c r="N916" s="47"/>
      <c r="O916" s="40"/>
      <c r="P916" s="40"/>
      <c r="Q916" s="40"/>
      <c r="R916" s="55"/>
      <c r="S916" s="41"/>
      <c r="T916" s="40"/>
    </row>
    <row r="917" spans="1:20" ht="24">
      <c r="A917" s="40" t="s">
        <v>655</v>
      </c>
      <c r="B917" s="40"/>
      <c r="C917" s="41"/>
      <c r="D917" s="40"/>
      <c r="E917" s="40" t="s">
        <v>3012</v>
      </c>
      <c r="F917" s="47">
        <f>LEN(G917)</f>
        <v>0</v>
      </c>
      <c r="G917" s="40"/>
      <c r="H917" s="40"/>
      <c r="I917" s="40"/>
      <c r="J917" s="40"/>
      <c r="K917" s="40"/>
      <c r="L917" s="40"/>
      <c r="M917" s="40"/>
      <c r="N917" s="47"/>
      <c r="O917" s="40"/>
      <c r="P917" s="40"/>
      <c r="Q917" s="40"/>
      <c r="R917" s="55"/>
      <c r="S917" s="41"/>
      <c r="T917" s="40"/>
    </row>
    <row r="918" spans="1:20" ht="24">
      <c r="A918" s="40" t="s">
        <v>655</v>
      </c>
      <c r="B918" s="40"/>
      <c r="C918" s="41"/>
      <c r="D918" s="40"/>
      <c r="E918" s="40" t="s">
        <v>3012</v>
      </c>
      <c r="F918" s="47">
        <f>LEN(G918)</f>
        <v>0</v>
      </c>
      <c r="G918" s="40"/>
      <c r="H918" s="40"/>
      <c r="I918" s="40"/>
      <c r="J918" s="40"/>
      <c r="K918" s="40"/>
      <c r="L918" s="40"/>
      <c r="M918" s="40"/>
      <c r="N918" s="47"/>
      <c r="O918" s="40"/>
      <c r="P918" s="40"/>
      <c r="Q918" s="40"/>
      <c r="R918" s="55"/>
      <c r="S918" s="41"/>
      <c r="T918" s="40"/>
    </row>
    <row r="919" spans="1:20" ht="24">
      <c r="A919" s="40" t="s">
        <v>655</v>
      </c>
      <c r="B919" s="40"/>
      <c r="C919" s="41"/>
      <c r="D919" s="40"/>
      <c r="E919" s="40" t="s">
        <v>3012</v>
      </c>
      <c r="F919" s="47">
        <f>LEN(G919)</f>
        <v>0</v>
      </c>
      <c r="G919" s="40"/>
      <c r="H919" s="40"/>
      <c r="I919" s="40"/>
      <c r="J919" s="40"/>
      <c r="K919" s="40"/>
      <c r="L919" s="40"/>
      <c r="M919" s="40"/>
      <c r="N919" s="47"/>
      <c r="O919" s="40"/>
      <c r="P919" s="40"/>
      <c r="Q919" s="40"/>
      <c r="R919" s="55"/>
      <c r="S919" s="41"/>
      <c r="T919" s="40"/>
    </row>
    <row r="920" spans="1:20" ht="24">
      <c r="A920" s="40" t="s">
        <v>655</v>
      </c>
      <c r="B920" s="40"/>
      <c r="C920" s="41"/>
      <c r="D920" s="40"/>
      <c r="E920" s="40" t="s">
        <v>3012</v>
      </c>
      <c r="F920" s="47">
        <f>LEN(G920)</f>
        <v>0</v>
      </c>
      <c r="G920" s="40"/>
      <c r="H920" s="40"/>
      <c r="I920" s="40"/>
      <c r="J920" s="40"/>
      <c r="K920" s="40"/>
      <c r="L920" s="40"/>
      <c r="M920" s="40"/>
      <c r="N920" s="47"/>
      <c r="O920" s="40"/>
      <c r="P920" s="40"/>
      <c r="Q920" s="40"/>
      <c r="R920" s="55"/>
      <c r="S920" s="41"/>
      <c r="T920" s="40"/>
    </row>
  </sheetData>
  <mergeCells count="1">
    <mergeCell ref="U1:AS1"/>
  </mergeCells>
  <conditionalFormatting sqref="Y3:Y48">
    <cfRule type="containsText" dxfId="86" priority="1" operator="containsText" text="DEJA CREE">
      <formula>NOT(ISERROR(SEARCH("DEJA CREE",Y3)))</formula>
    </cfRule>
  </conditionalFormatting>
  <conditionalFormatting sqref="AN3:AN48">
    <cfRule type="containsText" dxfId="85" priority="2" operator="containsText" text="Élevé">
      <formula>NOT(ISERROR(SEARCH("Élevé",AN3)))</formula>
    </cfRule>
  </conditionalFormatting>
  <conditionalFormatting sqref="AN3:AN48">
    <cfRule type="containsText" dxfId="84" priority="3" operator="containsText" text="Moyen">
      <formula>NOT(ISERROR(SEARCH("Moyen",AN3)))</formula>
    </cfRule>
  </conditionalFormatting>
  <conditionalFormatting sqref="AN3:AN48">
    <cfRule type="containsText" dxfId="83" priority="4" operator="containsText" text="Faible">
      <formula>NOT(ISERROR(SEARCH("Faible",AN3)))</formula>
    </cfRule>
  </conditionalFormatting>
  <conditionalFormatting sqref="AN3:AN48">
    <cfRule type="containsText" dxfId="82" priority="5" operator="containsText" text="Non applicable">
      <formula>NOT(ISERROR(SEARCH("Non applicable",AN3)))</formula>
    </cfRule>
  </conditionalFormatting>
  <conditionalFormatting sqref="Y3:Y48">
    <cfRule type="containsText" dxfId="81" priority="6" operator="containsText" text="VALIDER">
      <formula>NOT(ISERROR(SEARCH("VALIDER",Y3)))</formula>
    </cfRule>
  </conditionalFormatting>
  <conditionalFormatting sqref="Y3:Y48">
    <cfRule type="containsText" dxfId="80" priority="7" operator="containsText" text="RENSEIGNER">
      <formula>NOT(ISERROR(SEARCH("RENSEIGNER",Y3)))</formula>
    </cfRule>
  </conditionalFormatting>
  <conditionalFormatting sqref="AQ3:AQ48">
    <cfRule type="containsText" dxfId="79" priority="8" operator="containsText" text="VALIDER">
      <formula>NOT(ISERROR(SEARCH("VALIDER",AQ3)))</formula>
    </cfRule>
  </conditionalFormatting>
  <conditionalFormatting sqref="AQ3:AQ48">
    <cfRule type="containsText" dxfId="78" priority="9" operator="containsText" text="RENSEIGNER">
      <formula>NOT(ISERROR(SEARCH("RENSEIGNER",AQ3)))</formula>
    </cfRule>
  </conditionalFormatting>
  <conditionalFormatting sqref="AS3:AS48">
    <cfRule type="containsText" dxfId="77" priority="10" operator="containsText" text="VALIDER">
      <formula>NOT(ISERROR(SEARCH("VALIDER",AS3)))</formula>
    </cfRule>
  </conditionalFormatting>
  <conditionalFormatting sqref="AS3:AS48">
    <cfRule type="containsText" dxfId="76" priority="11" operator="containsText" text="RENSEIGNER">
      <formula>NOT(ISERROR(SEARCH("RENSEIGNER",AS3)))</formula>
    </cfRule>
  </conditionalFormatting>
  <dataValidations count="4">
    <dataValidation type="list" allowBlank="1" showInputMessage="1" showErrorMessage="1" errorTitle="Famille non valide" error="Sélectionnez une famille dans la liste déroulante." promptTitle="Famille" prompt="Choisissez une famille COSWIN dans la liste." sqref="H45:H920 H3:H43" xr:uid="{8E4C2FE4-1961-4654-9645-B2D28E14ABE6}">
      <formula1>"Liste_Familles_COSWIN"</formula1>
    </dataValidation>
    <dataValidation type="list" allowBlank="1" showInputMessage="1" showErrorMessage="1" sqref="L3:L34 L35:L43 L45:L920" xr:uid="{E0602C21-2097-4985-A1F6-0B9A02A946F7}">
      <formula1>"'Ne pas modifier'!$A$9:$A$10"</formula1>
    </dataValidation>
    <dataValidation type="list" allowBlank="1" showInputMessage="1" showErrorMessage="1" sqref="P3:P34 P35:P43 P45:P920" xr:uid="{F10BD390-631B-422E-90C3-D2763C42A1C8}">
      <formula1>"'Ne pas modifier'!$H$1:$H$18"</formula1>
    </dataValidation>
    <dataValidation type="list" allowBlank="1" showInputMessage="1" showErrorMessage="1" error="Demandeur incorrect_x000a_" sqref="B31:B920 B3:B26" xr:uid="{D3783010-10D4-42A2-87C9-F6FDFC203AEB}">
      <formula1>"'Ne pas modifier'!$H$21:$H$48"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1B63-0C24-42AA-9505-B5AF966F890D}">
  <dimension ref="A1:N805"/>
  <sheetViews>
    <sheetView workbookViewId="0">
      <pane xSplit="5" ySplit="2" topLeftCell="F3" activePane="bottomRight" state="frozen"/>
      <selection pane="bottomRight"/>
      <selection pane="bottomLeft"/>
      <selection pane="topRight"/>
    </sheetView>
  </sheetViews>
  <sheetFormatPr defaultRowHeight="15"/>
  <cols>
    <col min="1" max="1" width="12.140625" customWidth="1"/>
    <col min="2" max="2" width="14.7109375" customWidth="1"/>
    <col min="3" max="3" width="19" customWidth="1"/>
    <col min="4" max="4" width="12.140625" customWidth="1"/>
    <col min="5" max="5" width="109.5703125" customWidth="1"/>
    <col min="6" max="6" width="12.140625" customWidth="1"/>
    <col min="7" max="7" width="14.7109375" customWidth="1"/>
    <col min="8" max="8" width="22.28515625" customWidth="1"/>
    <col min="9" max="9" width="12.140625" customWidth="1"/>
    <col min="10" max="10" width="29.7109375" customWidth="1"/>
    <col min="11" max="11" width="70.7109375" customWidth="1"/>
    <col min="12" max="14" width="16.7109375" customWidth="1"/>
  </cols>
  <sheetData>
    <row r="1" spans="1:14" ht="26.25" customHeight="1">
      <c r="A1" s="1" t="s">
        <v>95</v>
      </c>
      <c r="B1" s="5"/>
      <c r="C1" s="5"/>
      <c r="D1" s="56" t="s">
        <v>3265</v>
      </c>
      <c r="E1" s="57" t="s">
        <v>2811</v>
      </c>
      <c r="F1" s="5"/>
      <c r="G1" s="56" t="s">
        <v>3266</v>
      </c>
      <c r="H1" s="48" t="s">
        <v>3267</v>
      </c>
      <c r="I1" s="5"/>
      <c r="J1" s="96" t="s">
        <v>3268</v>
      </c>
      <c r="K1" s="96"/>
      <c r="L1" s="96"/>
      <c r="M1" s="96"/>
      <c r="N1" s="96"/>
    </row>
    <row r="2" spans="1:14" ht="24">
      <c r="A2" s="26"/>
      <c r="B2" s="5"/>
      <c r="C2" s="5"/>
      <c r="D2" s="5"/>
      <c r="E2" s="58" t="s">
        <v>3269</v>
      </c>
      <c r="F2" s="5"/>
      <c r="G2" s="5"/>
      <c r="H2" s="48" t="s">
        <v>183</v>
      </c>
      <c r="I2" s="5"/>
      <c r="J2" s="70" t="s">
        <v>3270</v>
      </c>
      <c r="K2" s="70" t="s">
        <v>3271</v>
      </c>
      <c r="L2" s="70"/>
      <c r="M2" s="70"/>
      <c r="N2" s="70"/>
    </row>
    <row r="3" spans="1:14" ht="32.25" customHeight="1">
      <c r="A3" s="26"/>
      <c r="B3" s="5"/>
      <c r="C3" s="5"/>
      <c r="D3" s="5"/>
      <c r="E3" s="58" t="s">
        <v>3272</v>
      </c>
      <c r="F3" s="5"/>
      <c r="G3" s="5"/>
      <c r="H3" s="48" t="s">
        <v>910</v>
      </c>
      <c r="I3" s="5"/>
      <c r="J3" s="39" t="s">
        <v>3273</v>
      </c>
      <c r="K3" s="39" t="s">
        <v>3274</v>
      </c>
      <c r="L3" s="39"/>
      <c r="M3" s="39"/>
      <c r="N3" s="39"/>
    </row>
    <row r="4" spans="1:14" ht="45.75" customHeight="1">
      <c r="A4" s="26"/>
      <c r="B4" s="5"/>
      <c r="C4" s="5"/>
      <c r="D4" s="5"/>
      <c r="E4" s="58" t="s">
        <v>3275</v>
      </c>
      <c r="F4" s="5"/>
      <c r="G4" s="5"/>
      <c r="H4" s="5" t="s">
        <v>3276</v>
      </c>
      <c r="I4" s="5"/>
      <c r="J4" s="39" t="s">
        <v>3277</v>
      </c>
      <c r="K4" s="39" t="s">
        <v>3278</v>
      </c>
      <c r="L4" s="39"/>
      <c r="M4" s="39"/>
      <c r="N4" s="39"/>
    </row>
    <row r="5" spans="1:14" ht="36" customHeight="1">
      <c r="A5" s="5"/>
      <c r="B5" s="5"/>
      <c r="C5" s="5"/>
      <c r="D5" s="5"/>
      <c r="E5" s="58" t="s">
        <v>1986</v>
      </c>
      <c r="F5" s="5"/>
      <c r="G5" s="5"/>
      <c r="H5" s="48" t="s">
        <v>157</v>
      </c>
      <c r="I5" s="5"/>
      <c r="J5" s="39" t="s">
        <v>3279</v>
      </c>
      <c r="K5" s="39" t="s">
        <v>3280</v>
      </c>
      <c r="L5" s="39"/>
      <c r="M5" s="39"/>
      <c r="N5" s="39"/>
    </row>
    <row r="6" spans="1:14">
      <c r="A6" s="5"/>
      <c r="B6" s="5"/>
      <c r="C6" s="5"/>
      <c r="D6" s="5"/>
      <c r="E6" s="58" t="s">
        <v>3281</v>
      </c>
      <c r="F6" s="5"/>
      <c r="G6" s="5"/>
      <c r="H6" s="48" t="s">
        <v>2442</v>
      </c>
      <c r="I6" s="5"/>
      <c r="J6" s="39"/>
      <c r="K6" s="39"/>
      <c r="L6" s="39"/>
      <c r="M6" s="39"/>
      <c r="N6" s="39"/>
    </row>
    <row r="7" spans="1:14">
      <c r="A7" s="5"/>
      <c r="B7" s="5"/>
      <c r="C7" s="5"/>
      <c r="D7" s="5"/>
      <c r="E7" s="58" t="s">
        <v>2002</v>
      </c>
      <c r="F7" s="5"/>
      <c r="G7" s="5"/>
      <c r="H7" s="48" t="s">
        <v>663</v>
      </c>
      <c r="I7" s="5"/>
      <c r="J7" s="39"/>
      <c r="K7" s="39"/>
      <c r="L7" s="39"/>
      <c r="M7" s="39"/>
      <c r="N7" s="39"/>
    </row>
    <row r="8" spans="1:14">
      <c r="A8" s="5"/>
      <c r="B8" s="5"/>
      <c r="C8" s="5"/>
      <c r="D8" s="5"/>
      <c r="E8" s="58" t="s">
        <v>3282</v>
      </c>
      <c r="F8" s="5"/>
      <c r="G8" s="5"/>
      <c r="H8" s="48" t="s">
        <v>3283</v>
      </c>
      <c r="I8" s="5"/>
      <c r="J8" s="39"/>
      <c r="K8" s="39"/>
      <c r="L8" s="39"/>
      <c r="M8" s="39"/>
      <c r="N8" s="39"/>
    </row>
    <row r="9" spans="1:14" ht="96">
      <c r="A9" s="48" t="s">
        <v>1067</v>
      </c>
      <c r="B9" s="5"/>
      <c r="C9" s="5"/>
      <c r="D9" s="5"/>
      <c r="E9" s="58" t="s">
        <v>3284</v>
      </c>
      <c r="F9" s="5"/>
      <c r="G9" s="5"/>
      <c r="H9" s="48" t="s">
        <v>3285</v>
      </c>
      <c r="I9" s="5"/>
    </row>
    <row r="10" spans="1:14" ht="48">
      <c r="A10" s="48" t="s">
        <v>661</v>
      </c>
      <c r="B10" s="5"/>
      <c r="C10" s="5"/>
      <c r="D10" s="5"/>
      <c r="E10" s="58" t="s">
        <v>3286</v>
      </c>
      <c r="F10" s="5"/>
      <c r="G10" s="5"/>
      <c r="H10" s="48" t="s">
        <v>3287</v>
      </c>
      <c r="I10" s="5"/>
    </row>
    <row r="11" spans="1:14" ht="48">
      <c r="A11" s="5"/>
      <c r="B11" s="5"/>
      <c r="C11" s="5"/>
      <c r="D11" s="5"/>
      <c r="E11" s="58" t="s">
        <v>3288</v>
      </c>
      <c r="F11" s="5"/>
      <c r="G11" s="5"/>
      <c r="H11" s="48" t="s">
        <v>943</v>
      </c>
      <c r="I11" s="5"/>
    </row>
    <row r="12" spans="1:14" ht="72">
      <c r="A12" s="5"/>
      <c r="B12" s="5"/>
      <c r="C12" s="5"/>
      <c r="D12" s="5"/>
      <c r="E12" s="58" t="s">
        <v>3289</v>
      </c>
      <c r="F12" s="5"/>
      <c r="G12" s="5"/>
      <c r="H12" s="48" t="s">
        <v>672</v>
      </c>
      <c r="I12" s="5"/>
    </row>
    <row r="13" spans="1:14" ht="72">
      <c r="A13" s="5"/>
      <c r="B13" s="5"/>
      <c r="C13" s="5"/>
      <c r="D13" s="5"/>
      <c r="E13" s="58" t="s">
        <v>3290</v>
      </c>
      <c r="F13" s="5"/>
      <c r="G13" s="5"/>
      <c r="H13" s="48" t="s">
        <v>3291</v>
      </c>
      <c r="I13" s="5"/>
    </row>
    <row r="14" spans="1:14" ht="107.25">
      <c r="A14" s="5"/>
      <c r="B14" s="5"/>
      <c r="C14" s="5"/>
      <c r="D14" s="5"/>
      <c r="E14" s="58" t="s">
        <v>3155</v>
      </c>
      <c r="F14" s="5"/>
      <c r="G14" s="5"/>
      <c r="H14" s="48" t="s">
        <v>969</v>
      </c>
      <c r="I14" s="5"/>
    </row>
    <row r="15" spans="1:14" ht="60">
      <c r="A15" s="5"/>
      <c r="B15" s="5"/>
      <c r="C15" s="5"/>
      <c r="D15" s="5"/>
      <c r="E15" s="58" t="s">
        <v>2994</v>
      </c>
      <c r="F15" s="5"/>
      <c r="G15" s="5"/>
      <c r="H15" s="48" t="s">
        <v>3292</v>
      </c>
      <c r="I15" s="5"/>
    </row>
    <row r="16" spans="1:14" ht="48">
      <c r="A16" s="5"/>
      <c r="B16" s="5"/>
      <c r="C16" s="5"/>
      <c r="D16" s="5"/>
      <c r="E16" s="58" t="s">
        <v>3293</v>
      </c>
      <c r="F16" s="5"/>
      <c r="G16" s="5"/>
      <c r="H16" s="48" t="s">
        <v>772</v>
      </c>
      <c r="I16" s="5"/>
    </row>
    <row r="17" spans="1:9" ht="60">
      <c r="A17" s="5"/>
      <c r="B17" s="5"/>
      <c r="C17" s="5"/>
      <c r="D17" s="5"/>
      <c r="E17" s="58" t="s">
        <v>3294</v>
      </c>
      <c r="F17" s="5"/>
      <c r="G17" s="5"/>
      <c r="H17" s="48" t="s">
        <v>3295</v>
      </c>
      <c r="I17" s="5"/>
    </row>
    <row r="18" spans="1:9" ht="60">
      <c r="A18" s="5"/>
      <c r="B18" s="5"/>
      <c r="C18" s="5"/>
      <c r="D18" s="5"/>
      <c r="E18" s="58" t="s">
        <v>3296</v>
      </c>
      <c r="F18" s="5"/>
      <c r="G18" s="5"/>
      <c r="H18" s="48" t="s">
        <v>535</v>
      </c>
      <c r="I18" s="5"/>
    </row>
    <row r="19" spans="1:9" ht="60">
      <c r="A19" s="5"/>
      <c r="B19" s="5"/>
      <c r="C19" s="5"/>
      <c r="D19" s="5"/>
      <c r="E19" s="58" t="s">
        <v>925</v>
      </c>
      <c r="F19" s="5"/>
      <c r="G19" s="5"/>
      <c r="H19" s="5"/>
      <c r="I19" s="5"/>
    </row>
    <row r="20" spans="1:9" ht="72">
      <c r="A20" s="5"/>
      <c r="B20" s="5"/>
      <c r="C20" s="5"/>
      <c r="D20" s="5"/>
      <c r="E20" s="58" t="s">
        <v>614</v>
      </c>
      <c r="F20" s="5"/>
      <c r="G20" s="5"/>
      <c r="H20" s="5"/>
      <c r="I20" s="5"/>
    </row>
    <row r="21" spans="1:9" ht="84">
      <c r="A21" s="5"/>
      <c r="B21" s="5"/>
      <c r="C21" s="5"/>
      <c r="D21" s="5"/>
      <c r="E21" s="58" t="s">
        <v>3297</v>
      </c>
      <c r="F21" s="5"/>
      <c r="G21" s="56" t="s">
        <v>3298</v>
      </c>
      <c r="H21" s="5" t="s">
        <v>160</v>
      </c>
      <c r="I21" s="5"/>
    </row>
    <row r="22" spans="1:9" ht="118.5">
      <c r="A22" s="5"/>
      <c r="B22" s="5"/>
      <c r="C22" s="5"/>
      <c r="D22" s="5"/>
      <c r="E22" s="58" t="s">
        <v>3299</v>
      </c>
      <c r="F22" s="5"/>
      <c r="G22" s="5"/>
      <c r="H22" s="5" t="s">
        <v>149</v>
      </c>
      <c r="I22" s="5"/>
    </row>
    <row r="23" spans="1:9" ht="84">
      <c r="A23" s="5"/>
      <c r="B23" s="5"/>
      <c r="C23" s="5"/>
      <c r="D23" s="5"/>
      <c r="E23" s="58" t="s">
        <v>3300</v>
      </c>
      <c r="F23" s="5"/>
      <c r="G23" s="5"/>
      <c r="H23" s="5" t="s">
        <v>2829</v>
      </c>
      <c r="I23" s="5"/>
    </row>
    <row r="24" spans="1:9" ht="96">
      <c r="A24" s="5"/>
      <c r="B24" s="5"/>
      <c r="C24" s="5"/>
      <c r="D24" s="5"/>
      <c r="E24" s="58" t="s">
        <v>3301</v>
      </c>
      <c r="F24" s="5"/>
      <c r="G24" s="5"/>
      <c r="H24" s="5" t="s">
        <v>539</v>
      </c>
      <c r="I24" s="5"/>
    </row>
    <row r="25" spans="1:9" ht="96">
      <c r="A25" s="5"/>
      <c r="B25" s="5"/>
      <c r="C25" s="5"/>
      <c r="D25" s="5"/>
      <c r="E25" s="58" t="s">
        <v>3302</v>
      </c>
      <c r="F25" s="5"/>
      <c r="G25" s="5"/>
      <c r="H25" s="5" t="s">
        <v>936</v>
      </c>
      <c r="I25" s="5"/>
    </row>
    <row r="26" spans="1:9" ht="96">
      <c r="A26" s="5"/>
      <c r="B26" s="5"/>
      <c r="C26" s="5"/>
      <c r="D26" s="5"/>
      <c r="E26" s="58" t="s">
        <v>3303</v>
      </c>
      <c r="F26" s="5"/>
      <c r="G26" s="5"/>
      <c r="H26" s="5" t="s">
        <v>529</v>
      </c>
      <c r="I26" s="5"/>
    </row>
    <row r="27" spans="1:9" ht="60">
      <c r="A27" s="5"/>
      <c r="B27" s="5"/>
      <c r="C27" s="5"/>
      <c r="D27" s="5"/>
      <c r="E27" s="58" t="s">
        <v>3304</v>
      </c>
      <c r="F27" s="5"/>
      <c r="G27" s="5"/>
      <c r="H27" s="5" t="s">
        <v>905</v>
      </c>
      <c r="I27" s="5"/>
    </row>
    <row r="28" spans="1:9" ht="72">
      <c r="A28" s="5"/>
      <c r="B28" s="5"/>
      <c r="C28" s="5"/>
      <c r="D28" s="5"/>
      <c r="E28" s="58" t="s">
        <v>3305</v>
      </c>
      <c r="F28" s="5"/>
      <c r="G28" s="5"/>
      <c r="H28" s="5" t="s">
        <v>2434</v>
      </c>
      <c r="I28" s="5"/>
    </row>
    <row r="29" spans="1:9" ht="72">
      <c r="A29" s="5"/>
      <c r="B29" s="5"/>
      <c r="C29" s="5"/>
      <c r="D29" s="5"/>
      <c r="E29" s="58" t="s">
        <v>3306</v>
      </c>
      <c r="F29" s="5"/>
      <c r="G29" s="5"/>
      <c r="H29" s="5" t="s">
        <v>3307</v>
      </c>
      <c r="I29" s="5"/>
    </row>
    <row r="30" spans="1:9" ht="107.25">
      <c r="A30" s="5"/>
      <c r="B30" s="5"/>
      <c r="C30" s="5"/>
      <c r="D30" s="5"/>
      <c r="E30" s="58" t="s">
        <v>3308</v>
      </c>
      <c r="F30" s="5"/>
      <c r="G30" s="5"/>
      <c r="H30" s="5" t="s">
        <v>176</v>
      </c>
      <c r="I30" s="5"/>
    </row>
    <row r="31" spans="1:9" ht="72">
      <c r="A31" s="5"/>
      <c r="B31" s="5"/>
      <c r="C31" s="5"/>
      <c r="D31" s="5"/>
      <c r="E31" s="58" t="s">
        <v>3309</v>
      </c>
      <c r="F31" s="5"/>
      <c r="G31" s="5"/>
      <c r="H31" s="5" t="s">
        <v>703</v>
      </c>
      <c r="I31" s="5"/>
    </row>
    <row r="32" spans="1:9" ht="48">
      <c r="A32" s="5"/>
      <c r="B32" s="5"/>
      <c r="C32" s="5"/>
      <c r="D32" s="5"/>
      <c r="E32" s="58" t="s">
        <v>3310</v>
      </c>
      <c r="F32" s="5"/>
      <c r="G32" s="5"/>
      <c r="H32" s="5" t="s">
        <v>965</v>
      </c>
      <c r="I32" s="5"/>
    </row>
    <row r="33" spans="1:9" ht="48">
      <c r="A33" s="5"/>
      <c r="B33" s="5"/>
      <c r="C33" s="5"/>
      <c r="D33" s="5"/>
      <c r="E33" s="58" t="s">
        <v>3311</v>
      </c>
      <c r="F33" s="5"/>
      <c r="G33" s="5"/>
      <c r="H33" s="5" t="s">
        <v>666</v>
      </c>
      <c r="I33" s="5"/>
    </row>
    <row r="34" spans="1:9" ht="48">
      <c r="A34" s="5"/>
      <c r="B34" s="5"/>
      <c r="C34" s="5"/>
      <c r="D34" s="5"/>
      <c r="E34" s="58" t="s">
        <v>220</v>
      </c>
      <c r="F34" s="5"/>
      <c r="G34" s="5"/>
      <c r="H34" s="48" t="s">
        <v>816</v>
      </c>
      <c r="I34" s="5"/>
    </row>
    <row r="35" spans="1:9" ht="36">
      <c r="A35" s="5"/>
      <c r="B35" s="5"/>
      <c r="C35" s="5"/>
      <c r="D35" s="5"/>
      <c r="E35" s="58" t="s">
        <v>3312</v>
      </c>
      <c r="F35" s="5"/>
      <c r="G35" s="5"/>
      <c r="H35" s="48" t="s">
        <v>149</v>
      </c>
      <c r="I35" s="5"/>
    </row>
    <row r="36" spans="1:9" ht="48">
      <c r="A36" s="5"/>
      <c r="B36" s="5"/>
      <c r="C36" s="5"/>
      <c r="D36" s="5"/>
      <c r="E36" s="58" t="s">
        <v>3313</v>
      </c>
      <c r="F36" s="5"/>
      <c r="G36" s="5"/>
      <c r="H36" s="48" t="s">
        <v>2829</v>
      </c>
      <c r="I36" s="5"/>
    </row>
    <row r="37" spans="1:9" ht="48">
      <c r="A37" s="5"/>
      <c r="B37" s="5"/>
      <c r="C37" s="5"/>
      <c r="D37" s="5"/>
      <c r="E37" s="58" t="s">
        <v>3314</v>
      </c>
      <c r="F37" s="5"/>
      <c r="G37" s="5"/>
      <c r="H37" s="48" t="s">
        <v>539</v>
      </c>
      <c r="I37" s="5"/>
    </row>
    <row r="38" spans="1:9" ht="36">
      <c r="A38" s="5"/>
      <c r="B38" s="5"/>
      <c r="C38" s="5"/>
      <c r="D38" s="5"/>
      <c r="E38" s="58" t="s">
        <v>3315</v>
      </c>
      <c r="F38" s="5"/>
      <c r="G38" s="5"/>
      <c r="H38" s="48" t="s">
        <v>1026</v>
      </c>
      <c r="I38" s="5"/>
    </row>
    <row r="39" spans="1:9" ht="84">
      <c r="A39" s="5"/>
      <c r="B39" s="5"/>
      <c r="C39" s="5"/>
      <c r="D39" s="5"/>
      <c r="E39" s="57" t="s">
        <v>1017</v>
      </c>
      <c r="F39" s="5"/>
      <c r="G39" s="5"/>
      <c r="H39" s="48" t="s">
        <v>3316</v>
      </c>
      <c r="I39" s="5"/>
    </row>
    <row r="40" spans="1:9" ht="60">
      <c r="A40" s="5"/>
      <c r="B40" s="5"/>
      <c r="C40" s="5"/>
      <c r="D40" s="5"/>
      <c r="E40" s="58" t="s">
        <v>3317</v>
      </c>
      <c r="F40" s="5"/>
      <c r="G40" s="5"/>
      <c r="H40" s="48" t="s">
        <v>3318</v>
      </c>
      <c r="I40" s="5"/>
    </row>
    <row r="41" spans="1:9" ht="84">
      <c r="A41" s="5"/>
      <c r="B41" s="5"/>
      <c r="C41" s="5"/>
      <c r="D41" s="5"/>
      <c r="E41" s="58" t="s">
        <v>3319</v>
      </c>
      <c r="F41" s="5"/>
      <c r="G41" s="5"/>
      <c r="H41" s="48" t="s">
        <v>3320</v>
      </c>
      <c r="I41" s="5"/>
    </row>
    <row r="42" spans="1:9" ht="84">
      <c r="A42" s="5"/>
      <c r="B42" s="5"/>
      <c r="C42" s="5"/>
      <c r="D42" s="5"/>
      <c r="E42" s="58" t="s">
        <v>3321</v>
      </c>
      <c r="F42" s="5"/>
      <c r="G42" s="5"/>
      <c r="H42" s="48" t="s">
        <v>3322</v>
      </c>
      <c r="I42" s="5"/>
    </row>
    <row r="43" spans="1:9" ht="84">
      <c r="A43" s="5"/>
      <c r="B43" s="5"/>
      <c r="C43" s="5"/>
      <c r="D43" s="5"/>
      <c r="E43" s="58" t="s">
        <v>3323</v>
      </c>
      <c r="F43" s="5"/>
      <c r="G43" s="5"/>
      <c r="H43" s="48" t="s">
        <v>980</v>
      </c>
      <c r="I43" s="5"/>
    </row>
    <row r="44" spans="1:9" ht="107.25">
      <c r="A44" s="5"/>
      <c r="B44" s="5"/>
      <c r="C44" s="5"/>
      <c r="D44" s="5"/>
      <c r="E44" s="58" t="s">
        <v>3324</v>
      </c>
      <c r="F44" s="5"/>
      <c r="G44" s="5"/>
      <c r="H44" s="48" t="s">
        <v>3325</v>
      </c>
      <c r="I44" s="5"/>
    </row>
    <row r="45" spans="1:9" ht="84">
      <c r="A45" s="5"/>
      <c r="B45" s="5"/>
      <c r="C45" s="5"/>
      <c r="D45" s="5"/>
      <c r="E45" s="58" t="s">
        <v>3326</v>
      </c>
      <c r="F45" s="5"/>
      <c r="G45" s="5"/>
      <c r="H45" s="48" t="s">
        <v>3327</v>
      </c>
      <c r="I45" s="5"/>
    </row>
    <row r="46" spans="1:9" ht="84">
      <c r="A46" s="5"/>
      <c r="B46" s="5"/>
      <c r="C46" s="5"/>
      <c r="D46" s="5"/>
      <c r="E46" s="58" t="s">
        <v>3328</v>
      </c>
      <c r="F46" s="5"/>
      <c r="G46" s="5"/>
      <c r="H46" s="48" t="s">
        <v>3329</v>
      </c>
      <c r="I46" s="5"/>
    </row>
    <row r="47" spans="1:9" ht="25.5" customHeight="1">
      <c r="A47" s="5"/>
      <c r="B47" s="5"/>
      <c r="C47" s="5"/>
      <c r="D47" s="5"/>
      <c r="E47" s="58" t="s">
        <v>3330</v>
      </c>
      <c r="F47" s="5"/>
      <c r="G47" s="5"/>
      <c r="H47" s="48" t="s">
        <v>656</v>
      </c>
      <c r="I47" s="5"/>
    </row>
    <row r="48" spans="1:9" ht="84">
      <c r="A48" s="5"/>
      <c r="B48" s="5"/>
      <c r="C48" s="5"/>
      <c r="D48" s="5"/>
      <c r="E48" s="58" t="s">
        <v>3331</v>
      </c>
      <c r="F48" s="5"/>
      <c r="G48" s="5"/>
      <c r="H48" s="48" t="s">
        <v>2902</v>
      </c>
      <c r="I48" s="5"/>
    </row>
    <row r="49" spans="1:9" ht="84">
      <c r="A49" s="5"/>
      <c r="B49" s="5"/>
      <c r="C49" s="5"/>
      <c r="D49" s="5"/>
      <c r="E49" s="58" t="s">
        <v>3332</v>
      </c>
      <c r="F49" s="5"/>
      <c r="G49" s="5"/>
      <c r="H49" s="48" t="s">
        <v>3333</v>
      </c>
      <c r="I49" s="48" t="s">
        <v>3334</v>
      </c>
    </row>
    <row r="50" spans="1:9" ht="107.25">
      <c r="A50" s="5"/>
      <c r="B50" s="5"/>
      <c r="C50" s="5"/>
      <c r="D50" s="5"/>
      <c r="E50" s="58" t="s">
        <v>3335</v>
      </c>
      <c r="F50" s="5"/>
      <c r="G50" s="5"/>
      <c r="H50" s="48" t="s">
        <v>3336</v>
      </c>
      <c r="I50" s="48" t="s">
        <v>3334</v>
      </c>
    </row>
    <row r="51" spans="1:9" ht="96">
      <c r="A51" s="5"/>
      <c r="B51" s="5"/>
      <c r="C51" s="5"/>
      <c r="D51" s="5"/>
      <c r="E51" s="58" t="s">
        <v>3337</v>
      </c>
      <c r="F51" s="5"/>
      <c r="G51" s="5"/>
      <c r="H51" s="5"/>
      <c r="I51" s="5"/>
    </row>
    <row r="52" spans="1:9" ht="118.5">
      <c r="A52" s="5"/>
      <c r="B52" s="5"/>
      <c r="C52" s="5"/>
      <c r="D52" s="5"/>
      <c r="E52" s="58" t="s">
        <v>3338</v>
      </c>
      <c r="F52" s="5"/>
      <c r="G52" s="5"/>
      <c r="H52" s="5"/>
      <c r="I52" s="5"/>
    </row>
    <row r="53" spans="1:9" ht="72">
      <c r="A53" s="5"/>
      <c r="B53" s="5"/>
      <c r="C53" s="5"/>
      <c r="D53" s="5"/>
      <c r="E53" s="58" t="s">
        <v>3339</v>
      </c>
      <c r="F53" s="5"/>
      <c r="G53" s="5"/>
      <c r="H53" s="5"/>
      <c r="I53" s="5"/>
    </row>
    <row r="54" spans="1:9" ht="84">
      <c r="A54" s="5"/>
      <c r="B54" s="5"/>
      <c r="C54" s="5"/>
      <c r="D54" s="5"/>
      <c r="E54" s="58" t="s">
        <v>3340</v>
      </c>
      <c r="F54" s="5"/>
      <c r="G54" s="5"/>
      <c r="H54" s="5"/>
      <c r="I54" s="5"/>
    </row>
    <row r="55" spans="1:9" ht="36">
      <c r="A55" s="5"/>
      <c r="B55" s="5"/>
      <c r="C55" s="5"/>
      <c r="D55" s="5"/>
      <c r="E55" s="58" t="s">
        <v>500</v>
      </c>
      <c r="F55" s="5"/>
      <c r="G55" s="5"/>
      <c r="H55" s="5"/>
      <c r="I55" s="5"/>
    </row>
    <row r="56" spans="1:9" ht="118.5">
      <c r="A56" s="5"/>
      <c r="B56" s="5"/>
      <c r="C56" s="5"/>
      <c r="D56" s="5"/>
      <c r="E56" s="58" t="s">
        <v>494</v>
      </c>
      <c r="F56" s="5"/>
      <c r="G56" s="5"/>
      <c r="H56" s="5"/>
      <c r="I56" s="5"/>
    </row>
    <row r="57" spans="1:9" ht="130.5">
      <c r="A57" s="5"/>
      <c r="B57" s="5"/>
      <c r="C57" s="5"/>
      <c r="D57" s="5"/>
      <c r="E57" s="58" t="s">
        <v>468</v>
      </c>
      <c r="F57" s="5"/>
      <c r="G57" s="5"/>
      <c r="H57" s="5"/>
      <c r="I57" s="5"/>
    </row>
    <row r="58" spans="1:9" ht="96">
      <c r="A58" s="5"/>
      <c r="B58" s="5"/>
      <c r="C58" s="5"/>
      <c r="D58" s="5"/>
      <c r="E58" s="58" t="s">
        <v>478</v>
      </c>
      <c r="F58" s="5"/>
      <c r="G58" s="5"/>
      <c r="H58" s="5"/>
      <c r="I58" s="5"/>
    </row>
    <row r="59" spans="1:9" ht="84">
      <c r="A59" s="5"/>
      <c r="B59" s="5"/>
      <c r="C59" s="5"/>
      <c r="D59" s="5"/>
      <c r="E59" s="58" t="s">
        <v>473</v>
      </c>
      <c r="F59" s="5"/>
      <c r="G59" s="5"/>
      <c r="H59" s="5"/>
      <c r="I59" s="5"/>
    </row>
    <row r="60" spans="1:9" ht="84">
      <c r="A60" s="5"/>
      <c r="B60" s="5"/>
      <c r="C60" s="5"/>
      <c r="D60" s="5"/>
      <c r="E60" s="58" t="s">
        <v>2519</v>
      </c>
      <c r="F60" s="5"/>
      <c r="G60" s="5"/>
      <c r="H60" s="5"/>
      <c r="I60" s="5"/>
    </row>
    <row r="61" spans="1:9" ht="84">
      <c r="A61" s="5"/>
      <c r="B61" s="5"/>
      <c r="C61" s="5"/>
      <c r="D61" s="5"/>
      <c r="E61" s="58" t="s">
        <v>3341</v>
      </c>
      <c r="F61" s="5"/>
      <c r="G61" s="5"/>
      <c r="H61" s="5"/>
      <c r="I61" s="5"/>
    </row>
    <row r="62" spans="1:9" ht="96">
      <c r="A62" s="5"/>
      <c r="B62" s="5"/>
      <c r="C62" s="5"/>
      <c r="D62" s="5"/>
      <c r="E62" s="58" t="s">
        <v>2763</v>
      </c>
      <c r="F62" s="5"/>
      <c r="G62" s="5"/>
      <c r="H62" s="5"/>
      <c r="I62" s="5"/>
    </row>
    <row r="63" spans="1:9" ht="107.25">
      <c r="A63" s="5"/>
      <c r="B63" s="5"/>
      <c r="C63" s="5"/>
      <c r="D63" s="5"/>
      <c r="E63" s="58" t="s">
        <v>3342</v>
      </c>
      <c r="F63" s="5"/>
      <c r="G63" s="5"/>
      <c r="H63" s="5"/>
      <c r="I63" s="5"/>
    </row>
    <row r="64" spans="1:9" ht="72">
      <c r="A64" s="5"/>
      <c r="B64" s="5"/>
      <c r="C64" s="5"/>
      <c r="D64" s="5"/>
      <c r="E64" s="58" t="s">
        <v>3343</v>
      </c>
      <c r="F64" s="5"/>
      <c r="G64" s="5"/>
      <c r="H64" s="5"/>
      <c r="I64" s="5"/>
    </row>
    <row r="65" spans="1:9" ht="107.25">
      <c r="A65" s="5"/>
      <c r="B65" s="5"/>
      <c r="C65" s="5"/>
      <c r="D65" s="5"/>
      <c r="E65" s="58" t="s">
        <v>255</v>
      </c>
      <c r="F65" s="5"/>
      <c r="G65" s="5"/>
      <c r="H65" s="5"/>
      <c r="I65" s="5"/>
    </row>
    <row r="66" spans="1:9" ht="96">
      <c r="A66" s="5"/>
      <c r="B66" s="5"/>
      <c r="C66" s="5"/>
      <c r="D66" s="5"/>
      <c r="E66" s="58" t="s">
        <v>2754</v>
      </c>
      <c r="F66" s="5"/>
      <c r="G66" s="5"/>
      <c r="H66" s="5"/>
      <c r="I66" s="5"/>
    </row>
    <row r="67" spans="1:9" ht="72">
      <c r="A67" s="5"/>
      <c r="B67" s="5"/>
      <c r="C67" s="5"/>
      <c r="D67" s="5"/>
      <c r="E67" s="58" t="s">
        <v>3344</v>
      </c>
      <c r="F67" s="5"/>
      <c r="G67" s="5"/>
      <c r="H67" s="5"/>
      <c r="I67" s="5"/>
    </row>
    <row r="68" spans="1:9" ht="84">
      <c r="A68" s="5"/>
      <c r="B68" s="5"/>
      <c r="C68" s="5"/>
      <c r="D68" s="5"/>
      <c r="E68" s="58" t="s">
        <v>343</v>
      </c>
      <c r="F68" s="5"/>
      <c r="G68" s="5"/>
      <c r="H68" s="5"/>
      <c r="I68" s="5"/>
    </row>
    <row r="69" spans="1:9" ht="60">
      <c r="A69" s="5"/>
      <c r="B69" s="5"/>
      <c r="C69" s="5"/>
      <c r="D69" s="5"/>
      <c r="E69" s="58" t="s">
        <v>3345</v>
      </c>
      <c r="F69" s="5"/>
      <c r="G69" s="5"/>
      <c r="H69" s="5"/>
      <c r="I69" s="5"/>
    </row>
    <row r="70" spans="1:9" ht="96">
      <c r="A70" s="5"/>
      <c r="B70" s="5"/>
      <c r="C70" s="5"/>
      <c r="D70" s="5"/>
      <c r="E70" s="58" t="s">
        <v>3346</v>
      </c>
      <c r="F70" s="5"/>
      <c r="G70" s="5"/>
      <c r="H70" s="5"/>
      <c r="I70" s="5"/>
    </row>
    <row r="71" spans="1:9" ht="107.25">
      <c r="A71" s="5"/>
      <c r="B71" s="5"/>
      <c r="C71" s="5"/>
      <c r="D71" s="5"/>
      <c r="E71" s="58" t="s">
        <v>3347</v>
      </c>
      <c r="F71" s="5"/>
      <c r="G71" s="5"/>
      <c r="H71" s="5"/>
      <c r="I71" s="5"/>
    </row>
    <row r="72" spans="1:9" ht="130.5">
      <c r="A72" s="5"/>
      <c r="B72" s="5"/>
      <c r="C72" s="5"/>
      <c r="D72" s="5"/>
      <c r="E72" s="58" t="s">
        <v>3172</v>
      </c>
      <c r="F72" s="5"/>
      <c r="G72" s="5"/>
      <c r="H72" s="5"/>
      <c r="I72" s="5"/>
    </row>
    <row r="73" spans="1:9" ht="130.5">
      <c r="A73" s="5"/>
      <c r="B73" s="5"/>
      <c r="C73" s="5"/>
      <c r="D73" s="5"/>
      <c r="E73" s="58" t="s">
        <v>3348</v>
      </c>
      <c r="F73" s="5"/>
      <c r="G73" s="5"/>
      <c r="H73" s="5"/>
      <c r="I73" s="5"/>
    </row>
    <row r="74" spans="1:9" ht="130.5">
      <c r="A74" s="5"/>
      <c r="B74" s="5"/>
      <c r="C74" s="5"/>
      <c r="D74" s="5"/>
      <c r="E74" s="58" t="s">
        <v>3349</v>
      </c>
      <c r="F74" s="5"/>
      <c r="G74" s="5"/>
      <c r="H74" s="5"/>
      <c r="I74" s="5"/>
    </row>
    <row r="75" spans="1:9" ht="84">
      <c r="A75" s="5"/>
      <c r="B75" s="5"/>
      <c r="C75" s="5"/>
      <c r="D75" s="5"/>
      <c r="E75" s="58" t="s">
        <v>3350</v>
      </c>
      <c r="F75" s="5"/>
      <c r="G75" s="5"/>
      <c r="H75" s="5"/>
      <c r="I75" s="5"/>
    </row>
    <row r="76" spans="1:9" ht="107.25">
      <c r="A76" s="5"/>
      <c r="B76" s="5"/>
      <c r="C76" s="5"/>
      <c r="D76" s="5"/>
      <c r="E76" s="58" t="s">
        <v>3351</v>
      </c>
      <c r="F76" s="5"/>
      <c r="G76" s="5"/>
      <c r="H76" s="5"/>
      <c r="I76" s="5"/>
    </row>
    <row r="77" spans="1:9" ht="107.25">
      <c r="A77" s="5"/>
      <c r="B77" s="5"/>
      <c r="C77" s="5"/>
      <c r="D77" s="5"/>
      <c r="E77" s="58" t="s">
        <v>3352</v>
      </c>
      <c r="F77" s="5"/>
      <c r="G77" s="5"/>
      <c r="H77" s="5"/>
      <c r="I77" s="5"/>
    </row>
    <row r="78" spans="1:9" ht="154.5">
      <c r="A78" s="5"/>
      <c r="B78" s="5"/>
      <c r="C78" s="5"/>
      <c r="D78" s="5"/>
      <c r="E78" s="58" t="s">
        <v>3353</v>
      </c>
      <c r="F78" s="5"/>
      <c r="G78" s="5"/>
      <c r="H78" s="5"/>
      <c r="I78" s="5"/>
    </row>
    <row r="79" spans="1:9" ht="72">
      <c r="A79" s="5"/>
      <c r="B79" s="5"/>
      <c r="C79" s="5"/>
      <c r="D79" s="5"/>
      <c r="E79" s="58" t="s">
        <v>3354</v>
      </c>
      <c r="F79" s="5"/>
      <c r="G79" s="5"/>
      <c r="H79" s="5"/>
      <c r="I79" s="5"/>
    </row>
    <row r="80" spans="1:9" ht="130.5">
      <c r="A80" s="5"/>
      <c r="B80" s="5"/>
      <c r="C80" s="5"/>
      <c r="D80" s="5"/>
      <c r="E80" s="58" t="s">
        <v>3355</v>
      </c>
      <c r="F80" s="5"/>
      <c r="G80" s="5"/>
      <c r="H80" s="5"/>
      <c r="I80" s="5"/>
    </row>
    <row r="81" spans="1:9" ht="130.5">
      <c r="A81" s="5"/>
      <c r="B81" s="5"/>
      <c r="C81" s="5"/>
      <c r="D81" s="5"/>
      <c r="E81" s="58" t="s">
        <v>3356</v>
      </c>
      <c r="F81" s="5"/>
      <c r="G81" s="5"/>
      <c r="H81" s="5"/>
      <c r="I81" s="5"/>
    </row>
    <row r="82" spans="1:9" ht="130.5">
      <c r="A82" s="5"/>
      <c r="B82" s="5"/>
      <c r="C82" s="5"/>
      <c r="D82" s="5"/>
      <c r="E82" s="58" t="s">
        <v>3357</v>
      </c>
      <c r="F82" s="5"/>
      <c r="G82" s="5"/>
      <c r="H82" s="5"/>
      <c r="I82" s="5"/>
    </row>
    <row r="83" spans="1:9" ht="36">
      <c r="A83" s="5"/>
      <c r="B83" s="5"/>
      <c r="C83" s="5"/>
      <c r="D83" s="5"/>
      <c r="E83" s="58" t="s">
        <v>3358</v>
      </c>
      <c r="F83" s="5"/>
      <c r="G83" s="5"/>
      <c r="H83" s="5"/>
      <c r="I83" s="5"/>
    </row>
    <row r="84" spans="1:9" ht="84">
      <c r="A84" s="5"/>
      <c r="B84" s="5"/>
      <c r="C84" s="5"/>
      <c r="D84" s="5"/>
      <c r="E84" s="58" t="s">
        <v>3359</v>
      </c>
      <c r="F84" s="5"/>
      <c r="G84" s="5"/>
      <c r="H84" s="5"/>
      <c r="I84" s="5"/>
    </row>
    <row r="85" spans="1:9" ht="72">
      <c r="A85" s="5"/>
      <c r="B85" s="5"/>
      <c r="C85" s="5"/>
      <c r="D85" s="5"/>
      <c r="E85" s="58" t="s">
        <v>3360</v>
      </c>
      <c r="F85" s="5"/>
      <c r="G85" s="5"/>
      <c r="H85" s="5"/>
      <c r="I85" s="5"/>
    </row>
    <row r="86" spans="1:9" ht="48">
      <c r="A86" s="5"/>
      <c r="B86" s="5"/>
      <c r="C86" s="5"/>
      <c r="D86" s="5"/>
      <c r="E86" s="58" t="s">
        <v>3361</v>
      </c>
      <c r="F86" s="5"/>
      <c r="G86" s="5"/>
      <c r="H86" s="5"/>
      <c r="I86" s="5"/>
    </row>
    <row r="87" spans="1:9" ht="60">
      <c r="A87" s="5"/>
      <c r="B87" s="5"/>
      <c r="C87" s="5"/>
      <c r="D87" s="5"/>
      <c r="E87" s="58" t="s">
        <v>3362</v>
      </c>
      <c r="F87" s="5"/>
      <c r="G87" s="5"/>
      <c r="H87" s="5"/>
      <c r="I87" s="5"/>
    </row>
    <row r="88" spans="1:9" ht="48">
      <c r="A88" s="5"/>
      <c r="B88" s="5"/>
      <c r="C88" s="5"/>
      <c r="D88" s="5"/>
      <c r="E88" s="58" t="s">
        <v>3363</v>
      </c>
      <c r="F88" s="5"/>
      <c r="G88" s="5"/>
      <c r="H88" s="5"/>
      <c r="I88" s="5"/>
    </row>
    <row r="89" spans="1:9" ht="60">
      <c r="A89" s="5"/>
      <c r="B89" s="5"/>
      <c r="C89" s="5"/>
      <c r="D89" s="5"/>
      <c r="E89" s="58" t="s">
        <v>3364</v>
      </c>
      <c r="F89" s="5"/>
      <c r="G89" s="5"/>
      <c r="H89" s="5"/>
      <c r="I89" s="5"/>
    </row>
    <row r="90" spans="1:9" ht="84">
      <c r="A90" s="5"/>
      <c r="B90" s="5"/>
      <c r="C90" s="5"/>
      <c r="D90" s="5"/>
      <c r="E90" s="58" t="s">
        <v>3365</v>
      </c>
      <c r="F90" s="5"/>
      <c r="G90" s="5"/>
      <c r="H90" s="5"/>
      <c r="I90" s="5"/>
    </row>
    <row r="91" spans="1:9" ht="107.25">
      <c r="A91" s="5"/>
      <c r="B91" s="5"/>
      <c r="C91" s="5"/>
      <c r="D91" s="5"/>
      <c r="E91" s="58" t="s">
        <v>325</v>
      </c>
      <c r="F91" s="5"/>
      <c r="G91" s="5"/>
      <c r="H91" s="5"/>
      <c r="I91" s="5"/>
    </row>
    <row r="92" spans="1:9" ht="72">
      <c r="A92" s="5"/>
      <c r="B92" s="5"/>
      <c r="C92" s="5"/>
      <c r="D92" s="5"/>
      <c r="E92" s="58" t="s">
        <v>643</v>
      </c>
      <c r="F92" s="5"/>
      <c r="G92" s="5"/>
      <c r="H92" s="5"/>
      <c r="I92" s="5"/>
    </row>
    <row r="93" spans="1:9" ht="84">
      <c r="A93" s="5"/>
      <c r="B93" s="5"/>
      <c r="C93" s="5"/>
      <c r="D93" s="5"/>
      <c r="E93" s="58" t="s">
        <v>3366</v>
      </c>
      <c r="F93" s="5"/>
      <c r="G93" s="5"/>
      <c r="H93" s="5"/>
      <c r="I93" s="5"/>
    </row>
    <row r="94" spans="1:9" ht="72">
      <c r="A94" s="5"/>
      <c r="B94" s="5"/>
      <c r="C94" s="5"/>
      <c r="D94" s="5"/>
      <c r="E94" s="58" t="s">
        <v>3367</v>
      </c>
      <c r="F94" s="5"/>
      <c r="G94" s="5"/>
      <c r="H94" s="5"/>
      <c r="I94" s="5"/>
    </row>
    <row r="95" spans="1:9" ht="84">
      <c r="A95" s="5"/>
      <c r="B95" s="5"/>
      <c r="C95" s="5"/>
      <c r="D95" s="5"/>
      <c r="E95" s="58" t="s">
        <v>3368</v>
      </c>
      <c r="F95" s="5"/>
      <c r="G95" s="5"/>
      <c r="H95" s="5"/>
      <c r="I95" s="5"/>
    </row>
    <row r="96" spans="1:9" ht="96">
      <c r="A96" s="5"/>
      <c r="B96" s="5"/>
      <c r="C96" s="5"/>
      <c r="D96" s="5"/>
      <c r="E96" s="58" t="s">
        <v>3369</v>
      </c>
      <c r="F96" s="5"/>
      <c r="G96" s="5"/>
      <c r="H96" s="5"/>
      <c r="I96" s="5"/>
    </row>
    <row r="97" spans="1:9" ht="107.25">
      <c r="A97" s="5"/>
      <c r="B97" s="5"/>
      <c r="C97" s="5"/>
      <c r="D97" s="5"/>
      <c r="E97" s="58" t="s">
        <v>3370</v>
      </c>
      <c r="F97" s="5"/>
      <c r="G97" s="5"/>
      <c r="H97" s="5"/>
      <c r="I97" s="5"/>
    </row>
    <row r="98" spans="1:9" ht="118.5">
      <c r="A98" s="5"/>
      <c r="B98" s="5"/>
      <c r="C98" s="5"/>
      <c r="D98" s="5"/>
      <c r="E98" s="58" t="s">
        <v>2566</v>
      </c>
      <c r="F98" s="5"/>
      <c r="G98" s="5"/>
      <c r="H98" s="5"/>
      <c r="I98" s="5"/>
    </row>
    <row r="99" spans="1:9" ht="84">
      <c r="A99" s="5"/>
      <c r="B99" s="5"/>
      <c r="C99" s="5"/>
      <c r="D99" s="5"/>
      <c r="E99" s="58" t="s">
        <v>3371</v>
      </c>
      <c r="F99" s="5"/>
      <c r="G99" s="5"/>
      <c r="H99" s="5"/>
      <c r="I99" s="5"/>
    </row>
    <row r="100" spans="1:9" ht="72">
      <c r="A100" s="5"/>
      <c r="B100" s="5"/>
      <c r="C100" s="5"/>
      <c r="D100" s="5"/>
      <c r="E100" s="58" t="s">
        <v>3372</v>
      </c>
      <c r="F100" s="5"/>
      <c r="G100" s="5"/>
      <c r="H100" s="5"/>
      <c r="I100" s="5"/>
    </row>
    <row r="101" spans="1:9" ht="107.25">
      <c r="A101" s="5"/>
      <c r="B101" s="5"/>
      <c r="C101" s="5"/>
      <c r="D101" s="5"/>
      <c r="E101" s="58" t="s">
        <v>3373</v>
      </c>
      <c r="F101" s="5"/>
      <c r="G101" s="5"/>
      <c r="H101" s="5"/>
      <c r="I101" s="5"/>
    </row>
    <row r="102" spans="1:9" ht="118.5">
      <c r="A102" s="5"/>
      <c r="B102" s="5"/>
      <c r="C102" s="5"/>
      <c r="D102" s="5"/>
      <c r="E102" s="58" t="s">
        <v>3374</v>
      </c>
      <c r="F102" s="5"/>
      <c r="G102" s="5"/>
      <c r="H102" s="5"/>
      <c r="I102" s="5"/>
    </row>
    <row r="103" spans="1:9" ht="107.25">
      <c r="A103" s="5"/>
      <c r="B103" s="5"/>
      <c r="C103" s="5"/>
      <c r="D103" s="5"/>
      <c r="E103" s="58" t="s">
        <v>3375</v>
      </c>
      <c r="F103" s="5"/>
      <c r="G103" s="5"/>
      <c r="H103" s="5"/>
      <c r="I103" s="5"/>
    </row>
    <row r="104" spans="1:9" ht="84">
      <c r="A104" s="5"/>
      <c r="B104" s="5"/>
      <c r="C104" s="5"/>
      <c r="D104" s="5"/>
      <c r="E104" s="58" t="s">
        <v>3376</v>
      </c>
      <c r="F104" s="5"/>
      <c r="G104" s="5"/>
      <c r="H104" s="5"/>
      <c r="I104" s="5"/>
    </row>
    <row r="105" spans="1:9" ht="96">
      <c r="A105" s="5"/>
      <c r="B105" s="5"/>
      <c r="C105" s="5"/>
      <c r="D105" s="5"/>
      <c r="E105" s="58" t="s">
        <v>3377</v>
      </c>
      <c r="F105" s="5"/>
      <c r="G105" s="5"/>
      <c r="H105" s="5"/>
      <c r="I105" s="5"/>
    </row>
    <row r="106" spans="1:9" ht="154.5">
      <c r="A106" s="5"/>
      <c r="B106" s="5"/>
      <c r="C106" s="5"/>
      <c r="D106" s="5"/>
      <c r="E106" s="58" t="s">
        <v>3378</v>
      </c>
      <c r="F106" s="5"/>
      <c r="G106" s="5"/>
      <c r="H106" s="5"/>
      <c r="I106" s="5"/>
    </row>
    <row r="107" spans="1:9" ht="107.25">
      <c r="A107" s="5"/>
      <c r="B107" s="5"/>
      <c r="C107" s="5"/>
      <c r="D107" s="5"/>
      <c r="E107" s="58" t="s">
        <v>2426</v>
      </c>
      <c r="F107" s="5"/>
      <c r="G107" s="5"/>
      <c r="H107" s="5"/>
      <c r="I107" s="5"/>
    </row>
    <row r="108" spans="1:9" ht="96">
      <c r="A108" s="5"/>
      <c r="B108" s="5"/>
      <c r="C108" s="5"/>
      <c r="D108" s="5"/>
      <c r="E108" s="58" t="s">
        <v>3379</v>
      </c>
      <c r="F108" s="5"/>
      <c r="G108" s="5"/>
      <c r="H108" s="5"/>
      <c r="I108" s="5"/>
    </row>
    <row r="109" spans="1:9" ht="96">
      <c r="A109" s="5"/>
      <c r="B109" s="5"/>
      <c r="C109" s="5"/>
      <c r="D109" s="5"/>
      <c r="E109" s="58" t="s">
        <v>3380</v>
      </c>
      <c r="F109" s="5"/>
      <c r="G109" s="5"/>
      <c r="H109" s="5"/>
      <c r="I109" s="5"/>
    </row>
    <row r="110" spans="1:9" ht="96">
      <c r="A110" s="5"/>
      <c r="B110" s="5"/>
      <c r="C110" s="5"/>
      <c r="D110" s="5"/>
      <c r="E110" s="58" t="s">
        <v>3381</v>
      </c>
      <c r="F110" s="5"/>
      <c r="G110" s="5"/>
      <c r="H110" s="5"/>
      <c r="I110" s="5"/>
    </row>
    <row r="111" spans="1:9" ht="107.25">
      <c r="A111" s="5"/>
      <c r="B111" s="5"/>
      <c r="C111" s="5"/>
      <c r="D111" s="5"/>
      <c r="E111" s="58" t="s">
        <v>3382</v>
      </c>
      <c r="F111" s="5"/>
      <c r="G111" s="5"/>
      <c r="H111" s="5"/>
      <c r="I111" s="5"/>
    </row>
    <row r="112" spans="1:9" ht="96">
      <c r="A112" s="5"/>
      <c r="B112" s="5"/>
      <c r="C112" s="5"/>
      <c r="D112" s="5"/>
      <c r="E112" s="58" t="s">
        <v>3383</v>
      </c>
      <c r="F112" s="5"/>
      <c r="G112" s="5"/>
      <c r="H112" s="5"/>
      <c r="I112" s="5"/>
    </row>
    <row r="113" spans="1:9" ht="60">
      <c r="A113" s="5"/>
      <c r="B113" s="5"/>
      <c r="C113" s="5"/>
      <c r="D113" s="5"/>
      <c r="E113" s="58" t="s">
        <v>3384</v>
      </c>
      <c r="F113" s="5"/>
      <c r="G113" s="5"/>
      <c r="H113" s="5"/>
      <c r="I113" s="5"/>
    </row>
    <row r="114" spans="1:9" ht="130.5">
      <c r="A114" s="5"/>
      <c r="B114" s="5"/>
      <c r="C114" s="5"/>
      <c r="D114" s="5"/>
      <c r="E114" s="58" t="s">
        <v>3385</v>
      </c>
      <c r="F114" s="5"/>
      <c r="G114" s="5"/>
      <c r="H114" s="5"/>
      <c r="I114" s="5"/>
    </row>
    <row r="115" spans="1:9" ht="118.5">
      <c r="A115" s="5"/>
      <c r="B115" s="5"/>
      <c r="C115" s="5"/>
      <c r="D115" s="5"/>
      <c r="E115" s="58" t="s">
        <v>3386</v>
      </c>
      <c r="F115" s="5"/>
      <c r="G115" s="5"/>
      <c r="H115" s="5"/>
      <c r="I115" s="5"/>
    </row>
    <row r="116" spans="1:9" ht="107.25">
      <c r="A116" s="5"/>
      <c r="B116" s="5"/>
      <c r="C116" s="5"/>
      <c r="D116" s="5"/>
      <c r="E116" s="58" t="s">
        <v>3387</v>
      </c>
      <c r="F116" s="5"/>
      <c r="G116" s="5"/>
      <c r="H116" s="5"/>
      <c r="I116" s="5"/>
    </row>
    <row r="117" spans="1:9" ht="107.25">
      <c r="A117" s="5"/>
      <c r="B117" s="5"/>
      <c r="C117" s="5"/>
      <c r="D117" s="5"/>
      <c r="E117" s="58" t="s">
        <v>383</v>
      </c>
      <c r="F117" s="5"/>
      <c r="G117" s="5"/>
      <c r="H117" s="5"/>
      <c r="I117" s="5"/>
    </row>
    <row r="118" spans="1:9" ht="107.25">
      <c r="A118" s="5"/>
      <c r="B118" s="5"/>
      <c r="C118" s="5"/>
      <c r="D118" s="5"/>
      <c r="E118" s="58" t="s">
        <v>3388</v>
      </c>
      <c r="F118" s="5"/>
      <c r="G118" s="5"/>
      <c r="H118" s="5"/>
      <c r="I118" s="5"/>
    </row>
    <row r="119" spans="1:9" ht="118.5">
      <c r="A119" s="5"/>
      <c r="B119" s="5"/>
      <c r="C119" s="5"/>
      <c r="D119" s="5"/>
      <c r="E119" s="58" t="s">
        <v>3389</v>
      </c>
      <c r="F119" s="5"/>
      <c r="G119" s="5"/>
      <c r="H119" s="5"/>
      <c r="I119" s="5"/>
    </row>
    <row r="120" spans="1:9" ht="107.25">
      <c r="A120" s="5"/>
      <c r="B120" s="5"/>
      <c r="C120" s="5"/>
      <c r="D120" s="5"/>
      <c r="E120" s="58" t="s">
        <v>3390</v>
      </c>
      <c r="F120" s="5"/>
      <c r="G120" s="5"/>
      <c r="H120" s="5"/>
      <c r="I120" s="5"/>
    </row>
    <row r="121" spans="1:9" ht="166.5">
      <c r="A121" s="5"/>
      <c r="B121" s="5"/>
      <c r="C121" s="5"/>
      <c r="D121" s="5"/>
      <c r="E121" s="58" t="s">
        <v>3391</v>
      </c>
      <c r="F121" s="5"/>
      <c r="G121" s="5"/>
      <c r="H121" s="5"/>
      <c r="I121" s="5"/>
    </row>
    <row r="122" spans="1:9" ht="130.5">
      <c r="A122" s="5"/>
      <c r="B122" s="5"/>
      <c r="C122" s="5"/>
      <c r="D122" s="5"/>
      <c r="E122" s="58" t="s">
        <v>3392</v>
      </c>
      <c r="F122" s="5"/>
      <c r="G122" s="5"/>
      <c r="H122" s="5"/>
      <c r="I122" s="5"/>
    </row>
    <row r="123" spans="1:9" ht="118.5">
      <c r="A123" s="5"/>
      <c r="B123" s="5"/>
      <c r="C123" s="5"/>
      <c r="D123" s="5"/>
      <c r="E123" s="58" t="s">
        <v>3393</v>
      </c>
      <c r="F123" s="5"/>
      <c r="G123" s="5"/>
      <c r="H123" s="5"/>
      <c r="I123" s="5"/>
    </row>
    <row r="124" spans="1:9" ht="130.5">
      <c r="A124" s="5"/>
      <c r="B124" s="5"/>
      <c r="C124" s="5"/>
      <c r="D124" s="5"/>
      <c r="E124" s="58" t="s">
        <v>3394</v>
      </c>
      <c r="F124" s="5"/>
      <c r="G124" s="5"/>
      <c r="H124" s="5"/>
      <c r="I124" s="5"/>
    </row>
    <row r="125" spans="1:9" ht="107.25">
      <c r="A125" s="5"/>
      <c r="B125" s="5"/>
      <c r="C125" s="5"/>
      <c r="D125" s="5"/>
      <c r="E125" s="58" t="s">
        <v>281</v>
      </c>
      <c r="F125" s="5"/>
      <c r="G125" s="5"/>
      <c r="H125" s="5"/>
      <c r="I125" s="5"/>
    </row>
    <row r="126" spans="1:9" ht="130.5">
      <c r="A126" s="5"/>
      <c r="B126" s="5"/>
      <c r="C126" s="5"/>
      <c r="D126" s="5"/>
      <c r="E126" s="58" t="s">
        <v>3395</v>
      </c>
      <c r="F126" s="5"/>
      <c r="G126" s="5"/>
      <c r="H126" s="5"/>
      <c r="I126" s="5"/>
    </row>
    <row r="127" spans="1:9" ht="96">
      <c r="A127" s="5"/>
      <c r="B127" s="5"/>
      <c r="C127" s="5"/>
      <c r="D127" s="5"/>
      <c r="E127" s="58" t="s">
        <v>3396</v>
      </c>
      <c r="F127" s="5"/>
      <c r="G127" s="5"/>
      <c r="H127" s="5"/>
      <c r="I127" s="5"/>
    </row>
    <row r="128" spans="1:9" ht="130.5">
      <c r="A128" s="5"/>
      <c r="B128" s="5"/>
      <c r="C128" s="5"/>
      <c r="D128" s="5"/>
      <c r="E128" s="58" t="s">
        <v>3397</v>
      </c>
      <c r="F128" s="5"/>
      <c r="G128" s="5"/>
      <c r="H128" s="5"/>
      <c r="I128" s="5"/>
    </row>
    <row r="129" spans="1:9" ht="48">
      <c r="A129" s="5"/>
      <c r="B129" s="5"/>
      <c r="C129" s="5"/>
      <c r="D129" s="5"/>
      <c r="E129" s="58" t="s">
        <v>3398</v>
      </c>
      <c r="F129" s="5"/>
      <c r="G129" s="5"/>
      <c r="H129" s="5"/>
      <c r="I129" s="5"/>
    </row>
    <row r="130" spans="1:9" ht="96">
      <c r="A130" s="5"/>
      <c r="B130" s="5"/>
      <c r="C130" s="5"/>
      <c r="D130" s="5"/>
      <c r="E130" s="58" t="s">
        <v>370</v>
      </c>
      <c r="F130" s="5"/>
      <c r="G130" s="5"/>
      <c r="H130" s="5"/>
      <c r="I130" s="5"/>
    </row>
    <row r="131" spans="1:9" ht="96">
      <c r="A131" s="5"/>
      <c r="B131" s="5"/>
      <c r="C131" s="5"/>
      <c r="D131" s="5"/>
      <c r="E131" s="58" t="s">
        <v>288</v>
      </c>
      <c r="F131" s="5"/>
      <c r="G131" s="5"/>
      <c r="H131" s="5"/>
      <c r="I131" s="5"/>
    </row>
    <row r="132" spans="1:9" ht="72">
      <c r="A132" s="5"/>
      <c r="B132" s="5"/>
      <c r="C132" s="5"/>
      <c r="D132" s="5"/>
      <c r="E132" s="58" t="s">
        <v>3399</v>
      </c>
      <c r="F132" s="5"/>
      <c r="G132" s="5"/>
      <c r="H132" s="5"/>
      <c r="I132" s="5"/>
    </row>
    <row r="133" spans="1:9" ht="130.5">
      <c r="A133" s="5"/>
      <c r="B133" s="5"/>
      <c r="C133" s="5"/>
      <c r="D133" s="5"/>
      <c r="E133" s="58" t="s">
        <v>3400</v>
      </c>
      <c r="F133" s="5"/>
      <c r="G133" s="5"/>
      <c r="H133" s="5"/>
      <c r="I133" s="5"/>
    </row>
    <row r="134" spans="1:9" ht="84">
      <c r="A134" s="5"/>
      <c r="B134" s="5"/>
      <c r="C134" s="5"/>
      <c r="D134" s="5"/>
      <c r="E134" s="58" t="s">
        <v>3401</v>
      </c>
      <c r="F134" s="5"/>
      <c r="G134" s="5"/>
      <c r="H134" s="5"/>
      <c r="I134" s="5"/>
    </row>
    <row r="135" spans="1:9" ht="84">
      <c r="A135" s="5"/>
      <c r="B135" s="5"/>
      <c r="C135" s="5"/>
      <c r="D135" s="5"/>
      <c r="E135" s="58" t="s">
        <v>3402</v>
      </c>
      <c r="F135" s="5"/>
      <c r="G135" s="5"/>
      <c r="H135" s="5"/>
      <c r="I135" s="5"/>
    </row>
    <row r="136" spans="1:9" ht="130.5">
      <c r="A136" s="5"/>
      <c r="B136" s="5"/>
      <c r="C136" s="5"/>
      <c r="D136" s="5"/>
      <c r="E136" s="58" t="s">
        <v>3403</v>
      </c>
      <c r="F136" s="5"/>
      <c r="G136" s="5"/>
      <c r="H136" s="5"/>
      <c r="I136" s="5"/>
    </row>
    <row r="137" spans="1:9" ht="107.25">
      <c r="A137" s="5"/>
      <c r="B137" s="5"/>
      <c r="C137" s="5"/>
      <c r="D137" s="5"/>
      <c r="E137" s="58" t="s">
        <v>275</v>
      </c>
      <c r="F137" s="5"/>
      <c r="G137" s="5"/>
      <c r="H137" s="5"/>
      <c r="I137" s="5"/>
    </row>
    <row r="138" spans="1:9" ht="107.25">
      <c r="A138" s="5"/>
      <c r="B138" s="5"/>
      <c r="C138" s="5"/>
      <c r="D138" s="5"/>
      <c r="E138" s="58" t="s">
        <v>3404</v>
      </c>
      <c r="F138" s="5"/>
      <c r="G138" s="5"/>
      <c r="H138" s="5"/>
      <c r="I138" s="5"/>
    </row>
    <row r="139" spans="1:9" ht="36">
      <c r="A139" s="5"/>
      <c r="B139" s="5"/>
      <c r="C139" s="5"/>
      <c r="D139" s="5"/>
      <c r="E139" s="58" t="s">
        <v>1008</v>
      </c>
      <c r="F139" s="5"/>
      <c r="G139" s="5"/>
      <c r="H139" s="5"/>
      <c r="I139" s="5"/>
    </row>
    <row r="140" spans="1:9" ht="84">
      <c r="A140" s="5"/>
      <c r="B140" s="5"/>
      <c r="C140" s="5"/>
      <c r="D140" s="5"/>
      <c r="E140" s="58" t="s">
        <v>2615</v>
      </c>
      <c r="F140" s="5"/>
      <c r="G140" s="5"/>
      <c r="H140" s="5"/>
      <c r="I140" s="5"/>
    </row>
    <row r="141" spans="1:9" ht="72">
      <c r="A141" s="5"/>
      <c r="B141" s="5"/>
      <c r="C141" s="5"/>
      <c r="D141" s="5"/>
      <c r="E141" s="58" t="s">
        <v>1893</v>
      </c>
      <c r="F141" s="5"/>
      <c r="G141" s="5"/>
      <c r="H141" s="5"/>
      <c r="I141" s="5"/>
    </row>
    <row r="142" spans="1:9" ht="118.5">
      <c r="A142" s="5"/>
      <c r="B142" s="5"/>
      <c r="C142" s="5"/>
      <c r="D142" s="5"/>
      <c r="E142" s="58" t="s">
        <v>3405</v>
      </c>
      <c r="F142" s="5"/>
      <c r="G142" s="5"/>
      <c r="H142" s="5"/>
      <c r="I142" s="5"/>
    </row>
    <row r="143" spans="1:9" ht="96">
      <c r="A143" s="5"/>
      <c r="B143" s="5"/>
      <c r="C143" s="5"/>
      <c r="D143" s="5"/>
      <c r="E143" s="58" t="s">
        <v>3406</v>
      </c>
      <c r="F143" s="5"/>
      <c r="G143" s="5"/>
      <c r="H143" s="5"/>
      <c r="I143" s="5"/>
    </row>
    <row r="144" spans="1:9" ht="118.5">
      <c r="A144" s="5"/>
      <c r="B144" s="5"/>
      <c r="C144" s="5"/>
      <c r="D144" s="5"/>
      <c r="E144" s="58" t="s">
        <v>3407</v>
      </c>
      <c r="F144" s="5"/>
      <c r="G144" s="5"/>
      <c r="H144" s="5"/>
      <c r="I144" s="5"/>
    </row>
    <row r="145" spans="1:9" ht="118.5">
      <c r="A145" s="5"/>
      <c r="B145" s="5"/>
      <c r="C145" s="5"/>
      <c r="D145" s="5"/>
      <c r="E145" s="58" t="s">
        <v>3408</v>
      </c>
      <c r="F145" s="5"/>
      <c r="G145" s="5"/>
      <c r="H145" s="5"/>
      <c r="I145" s="5"/>
    </row>
    <row r="146" spans="1:9" ht="96">
      <c r="A146" s="5"/>
      <c r="B146" s="5"/>
      <c r="C146" s="5"/>
      <c r="D146" s="5"/>
      <c r="E146" s="58" t="s">
        <v>359</v>
      </c>
      <c r="F146" s="5"/>
      <c r="G146" s="5"/>
      <c r="H146" s="5"/>
      <c r="I146" s="5"/>
    </row>
    <row r="147" spans="1:9" ht="118.5">
      <c r="A147" s="5"/>
      <c r="B147" s="5"/>
      <c r="C147" s="5"/>
      <c r="D147" s="5"/>
      <c r="E147" s="58" t="s">
        <v>240</v>
      </c>
      <c r="F147" s="5"/>
      <c r="G147" s="5"/>
      <c r="H147" s="5"/>
      <c r="I147" s="5"/>
    </row>
    <row r="148" spans="1:9" ht="118.5">
      <c r="A148" s="5"/>
      <c r="B148" s="5"/>
      <c r="C148" s="5"/>
      <c r="D148" s="5"/>
      <c r="E148" s="58" t="s">
        <v>349</v>
      </c>
      <c r="F148" s="5"/>
      <c r="G148" s="5"/>
      <c r="H148" s="5"/>
      <c r="I148" s="5"/>
    </row>
    <row r="149" spans="1:9" ht="118.5">
      <c r="A149" s="5"/>
      <c r="B149" s="5"/>
      <c r="C149" s="5"/>
      <c r="D149" s="5"/>
      <c r="E149" s="58" t="s">
        <v>3409</v>
      </c>
      <c r="F149" s="5"/>
      <c r="G149" s="5"/>
      <c r="H149" s="5"/>
      <c r="I149" s="5"/>
    </row>
    <row r="150" spans="1:9" ht="118.5">
      <c r="A150" s="5"/>
      <c r="B150" s="5"/>
      <c r="C150" s="5"/>
      <c r="D150" s="5"/>
      <c r="E150" s="58" t="s">
        <v>3410</v>
      </c>
      <c r="F150" s="5"/>
      <c r="G150" s="5"/>
      <c r="H150" s="5"/>
      <c r="I150" s="5"/>
    </row>
    <row r="151" spans="1:9" ht="107.25">
      <c r="A151" s="5"/>
      <c r="B151" s="5"/>
      <c r="C151" s="5"/>
      <c r="D151" s="5"/>
      <c r="E151" s="58" t="s">
        <v>626</v>
      </c>
      <c r="F151" s="5"/>
      <c r="G151" s="5"/>
      <c r="H151" s="5"/>
      <c r="I151" s="5"/>
    </row>
    <row r="152" spans="1:9" ht="130.5">
      <c r="A152" s="5"/>
      <c r="B152" s="5"/>
      <c r="C152" s="5"/>
      <c r="D152" s="5"/>
      <c r="E152" s="58" t="s">
        <v>727</v>
      </c>
      <c r="F152" s="5"/>
      <c r="G152" s="5"/>
      <c r="H152" s="5"/>
      <c r="I152" s="5"/>
    </row>
    <row r="153" spans="1:9" ht="84">
      <c r="A153" s="5"/>
      <c r="B153" s="5"/>
      <c r="C153" s="5"/>
      <c r="D153" s="5"/>
      <c r="E153" s="58" t="s">
        <v>3411</v>
      </c>
      <c r="F153" s="5"/>
      <c r="G153" s="5"/>
      <c r="H153" s="5"/>
      <c r="I153" s="5"/>
    </row>
    <row r="154" spans="1:9" ht="118.5">
      <c r="A154" s="5"/>
      <c r="B154" s="5"/>
      <c r="C154" s="5"/>
      <c r="D154" s="5"/>
      <c r="E154" s="58" t="s">
        <v>3412</v>
      </c>
      <c r="F154" s="5"/>
      <c r="G154" s="5"/>
      <c r="H154" s="5"/>
      <c r="I154" s="5"/>
    </row>
    <row r="155" spans="1:9" ht="60">
      <c r="A155" s="5"/>
      <c r="B155" s="5"/>
      <c r="C155" s="5"/>
      <c r="D155" s="5"/>
      <c r="E155" s="58" t="s">
        <v>3413</v>
      </c>
      <c r="F155" s="5"/>
      <c r="G155" s="5"/>
      <c r="H155" s="5"/>
      <c r="I155" s="5"/>
    </row>
    <row r="156" spans="1:9" ht="60">
      <c r="A156" s="5"/>
      <c r="B156" s="5"/>
      <c r="C156" s="5"/>
      <c r="D156" s="5"/>
      <c r="E156" s="58" t="s">
        <v>3414</v>
      </c>
      <c r="F156" s="5"/>
      <c r="G156" s="5"/>
      <c r="H156" s="5"/>
      <c r="I156" s="5"/>
    </row>
    <row r="157" spans="1:9" ht="60">
      <c r="A157" s="5"/>
      <c r="B157" s="5"/>
      <c r="C157" s="5"/>
      <c r="D157" s="5"/>
      <c r="E157" s="58" t="s">
        <v>3415</v>
      </c>
      <c r="F157" s="5"/>
      <c r="G157" s="5"/>
      <c r="H157" s="5"/>
      <c r="I157" s="5"/>
    </row>
    <row r="158" spans="1:9" ht="72">
      <c r="A158" s="5"/>
      <c r="B158" s="5"/>
      <c r="C158" s="5"/>
      <c r="D158" s="5"/>
      <c r="E158" s="58" t="s">
        <v>3416</v>
      </c>
      <c r="F158" s="5"/>
      <c r="G158" s="5"/>
      <c r="H158" s="5"/>
      <c r="I158" s="5"/>
    </row>
    <row r="159" spans="1:9" ht="36">
      <c r="A159" s="5"/>
      <c r="B159" s="5"/>
      <c r="C159" s="5"/>
      <c r="D159" s="5"/>
      <c r="E159" s="57" t="s">
        <v>3417</v>
      </c>
      <c r="F159" s="5"/>
      <c r="G159" s="5"/>
      <c r="H159" s="5"/>
      <c r="I159" s="5"/>
    </row>
    <row r="160" spans="1:9" ht="107.25">
      <c r="A160" s="5"/>
      <c r="B160" s="5"/>
      <c r="C160" s="5"/>
      <c r="D160" s="5"/>
      <c r="E160" s="58" t="s">
        <v>3418</v>
      </c>
      <c r="F160" s="5"/>
      <c r="G160" s="5"/>
      <c r="H160" s="5"/>
      <c r="I160" s="5"/>
    </row>
    <row r="161" spans="1:9" ht="107.25">
      <c r="A161" s="5"/>
      <c r="B161" s="5"/>
      <c r="C161" s="5"/>
      <c r="D161" s="5"/>
      <c r="E161" s="58" t="s">
        <v>3419</v>
      </c>
      <c r="F161" s="5"/>
      <c r="G161" s="5"/>
      <c r="H161" s="5"/>
      <c r="I161" s="5"/>
    </row>
    <row r="162" spans="1:9" ht="60">
      <c r="A162" s="5"/>
      <c r="B162" s="5"/>
      <c r="C162" s="5"/>
      <c r="D162" s="5"/>
      <c r="E162" s="58" t="s">
        <v>3420</v>
      </c>
      <c r="F162" s="5"/>
      <c r="G162" s="5"/>
      <c r="H162" s="5"/>
      <c r="I162" s="5"/>
    </row>
    <row r="163" spans="1:9" ht="72">
      <c r="A163" s="5"/>
      <c r="B163" s="5"/>
      <c r="C163" s="5"/>
      <c r="D163" s="5"/>
      <c r="E163" s="58" t="s">
        <v>3421</v>
      </c>
      <c r="F163" s="5"/>
      <c r="G163" s="5"/>
      <c r="H163" s="5"/>
      <c r="I163" s="5"/>
    </row>
    <row r="164" spans="1:9" ht="60">
      <c r="A164" s="5"/>
      <c r="B164" s="5"/>
      <c r="C164" s="5"/>
      <c r="D164" s="5"/>
      <c r="E164" s="58" t="s">
        <v>3422</v>
      </c>
      <c r="F164" s="5"/>
      <c r="G164" s="5"/>
      <c r="H164" s="5"/>
      <c r="I164" s="5"/>
    </row>
    <row r="165" spans="1:9" ht="84">
      <c r="A165" s="5"/>
      <c r="B165" s="5"/>
      <c r="C165" s="5"/>
      <c r="D165" s="5"/>
      <c r="E165" s="58" t="s">
        <v>3423</v>
      </c>
      <c r="F165" s="5"/>
      <c r="G165" s="5"/>
      <c r="H165" s="5"/>
      <c r="I165" s="5"/>
    </row>
    <row r="166" spans="1:9" ht="72">
      <c r="A166" s="5"/>
      <c r="B166" s="5"/>
      <c r="C166" s="5"/>
      <c r="D166" s="5"/>
      <c r="E166" s="58" t="s">
        <v>3424</v>
      </c>
      <c r="F166" s="5"/>
      <c r="G166" s="5"/>
      <c r="H166" s="5"/>
      <c r="I166" s="5"/>
    </row>
    <row r="167" spans="1:9" ht="72">
      <c r="A167" s="5"/>
      <c r="B167" s="5"/>
      <c r="C167" s="5"/>
      <c r="D167" s="5"/>
      <c r="E167" s="58" t="s">
        <v>3425</v>
      </c>
      <c r="F167" s="5"/>
      <c r="G167" s="5"/>
      <c r="H167" s="5"/>
      <c r="I167" s="5"/>
    </row>
    <row r="168" spans="1:9" ht="96">
      <c r="A168" s="5"/>
      <c r="B168" s="5"/>
      <c r="C168" s="5"/>
      <c r="D168" s="5"/>
      <c r="E168" s="58" t="s">
        <v>3426</v>
      </c>
      <c r="F168" s="5"/>
      <c r="G168" s="5"/>
      <c r="H168" s="5"/>
      <c r="I168" s="5"/>
    </row>
    <row r="169" spans="1:9" ht="72">
      <c r="A169" s="5"/>
      <c r="B169" s="5"/>
      <c r="C169" s="5"/>
      <c r="D169" s="5"/>
      <c r="E169" s="58" t="s">
        <v>3427</v>
      </c>
      <c r="F169" s="5"/>
      <c r="G169" s="5"/>
      <c r="H169" s="5"/>
      <c r="I169" s="5"/>
    </row>
    <row r="170" spans="1:9" ht="84">
      <c r="A170" s="5"/>
      <c r="B170" s="5"/>
      <c r="C170" s="5"/>
      <c r="D170" s="5"/>
      <c r="E170" s="58" t="s">
        <v>3428</v>
      </c>
      <c r="F170" s="5"/>
      <c r="G170" s="5"/>
      <c r="H170" s="5"/>
      <c r="I170" s="5"/>
    </row>
    <row r="171" spans="1:9" ht="60">
      <c r="A171" s="5"/>
      <c r="B171" s="5"/>
      <c r="C171" s="5"/>
      <c r="D171" s="5"/>
      <c r="E171" s="58" t="s">
        <v>3429</v>
      </c>
      <c r="F171" s="5"/>
      <c r="G171" s="5"/>
      <c r="H171" s="5"/>
      <c r="I171" s="5"/>
    </row>
    <row r="172" spans="1:9" ht="84">
      <c r="A172" s="5"/>
      <c r="B172" s="5"/>
      <c r="C172" s="5"/>
      <c r="D172" s="5"/>
      <c r="E172" s="58" t="s">
        <v>3430</v>
      </c>
      <c r="F172" s="5"/>
      <c r="G172" s="5"/>
      <c r="H172" s="5"/>
      <c r="I172" s="5"/>
    </row>
    <row r="173" spans="1:9" ht="36">
      <c r="A173" s="5"/>
      <c r="B173" s="5"/>
      <c r="C173" s="5"/>
      <c r="D173" s="5"/>
      <c r="E173" s="58" t="s">
        <v>3431</v>
      </c>
      <c r="F173" s="5"/>
      <c r="G173" s="5"/>
      <c r="H173" s="5"/>
      <c r="I173" s="5"/>
    </row>
    <row r="174" spans="1:9" ht="60">
      <c r="A174" s="5"/>
      <c r="B174" s="5"/>
      <c r="C174" s="5"/>
      <c r="D174" s="5"/>
      <c r="E174" s="58" t="s">
        <v>3432</v>
      </c>
      <c r="F174" s="5"/>
      <c r="G174" s="5"/>
      <c r="H174" s="5"/>
      <c r="I174" s="5"/>
    </row>
    <row r="175" spans="1:9" ht="84">
      <c r="A175" s="5"/>
      <c r="B175" s="5"/>
      <c r="C175" s="5"/>
      <c r="D175" s="5"/>
      <c r="E175" s="58" t="s">
        <v>3433</v>
      </c>
      <c r="F175" s="5"/>
      <c r="G175" s="5"/>
      <c r="H175" s="5"/>
      <c r="I175" s="5"/>
    </row>
    <row r="176" spans="1:9" ht="48">
      <c r="A176" s="5"/>
      <c r="B176" s="5"/>
      <c r="C176" s="5"/>
      <c r="D176" s="5"/>
      <c r="E176" s="58" t="s">
        <v>3434</v>
      </c>
      <c r="F176" s="5"/>
      <c r="G176" s="5"/>
      <c r="H176" s="5"/>
      <c r="I176" s="5"/>
    </row>
    <row r="177" spans="1:9" ht="60">
      <c r="A177" s="5"/>
      <c r="B177" s="5"/>
      <c r="C177" s="5"/>
      <c r="D177" s="5"/>
      <c r="E177" s="58" t="s">
        <v>3435</v>
      </c>
      <c r="F177" s="5"/>
      <c r="G177" s="5"/>
      <c r="H177" s="5"/>
      <c r="I177" s="5"/>
    </row>
    <row r="178" spans="1:9" ht="48">
      <c r="A178" s="5"/>
      <c r="B178" s="5"/>
      <c r="C178" s="5"/>
      <c r="D178" s="5"/>
      <c r="E178" s="58" t="s">
        <v>3436</v>
      </c>
      <c r="F178" s="5"/>
      <c r="G178" s="5"/>
      <c r="H178" s="5"/>
      <c r="I178" s="5"/>
    </row>
    <row r="179" spans="1:9" ht="60">
      <c r="A179" s="5"/>
      <c r="B179" s="5"/>
      <c r="C179" s="5"/>
      <c r="D179" s="5"/>
      <c r="E179" s="58" t="s">
        <v>1661</v>
      </c>
      <c r="F179" s="5"/>
      <c r="G179" s="5"/>
      <c r="H179" s="5"/>
      <c r="I179" s="5"/>
    </row>
    <row r="180" spans="1:9" ht="84">
      <c r="A180" s="5"/>
      <c r="B180" s="5"/>
      <c r="C180" s="5"/>
      <c r="D180" s="5"/>
      <c r="E180" s="58" t="s">
        <v>3437</v>
      </c>
      <c r="F180" s="5"/>
      <c r="G180" s="5"/>
      <c r="H180" s="5"/>
      <c r="I180" s="5"/>
    </row>
    <row r="181" spans="1:9" ht="60">
      <c r="A181" s="5"/>
      <c r="B181" s="5"/>
      <c r="C181" s="5"/>
      <c r="D181" s="5"/>
      <c r="E181" s="58" t="s">
        <v>1686</v>
      </c>
      <c r="F181" s="5"/>
      <c r="G181" s="5"/>
      <c r="H181" s="5"/>
      <c r="I181" s="5"/>
    </row>
    <row r="182" spans="1:9" ht="84">
      <c r="A182" s="5"/>
      <c r="B182" s="5"/>
      <c r="C182" s="5"/>
      <c r="D182" s="5"/>
      <c r="E182" s="58" t="s">
        <v>269</v>
      </c>
      <c r="F182" s="5"/>
      <c r="G182" s="5"/>
      <c r="H182" s="5"/>
      <c r="I182" s="5"/>
    </row>
    <row r="183" spans="1:9" ht="84">
      <c r="A183" s="5"/>
      <c r="B183" s="5"/>
      <c r="C183" s="5"/>
      <c r="D183" s="5"/>
      <c r="E183" s="58" t="s">
        <v>3438</v>
      </c>
      <c r="F183" s="5"/>
      <c r="G183" s="5"/>
      <c r="H183" s="5"/>
      <c r="I183" s="5"/>
    </row>
    <row r="184" spans="1:9" ht="84">
      <c r="A184" s="5"/>
      <c r="B184" s="5"/>
      <c r="C184" s="5"/>
      <c r="D184" s="5"/>
      <c r="E184" s="58" t="s">
        <v>3439</v>
      </c>
      <c r="F184" s="5"/>
      <c r="G184" s="5"/>
      <c r="H184" s="5"/>
      <c r="I184" s="5"/>
    </row>
    <row r="185" spans="1:9" ht="84">
      <c r="A185" s="5"/>
      <c r="B185" s="5"/>
      <c r="C185" s="5"/>
      <c r="D185" s="5"/>
      <c r="E185" s="58" t="s">
        <v>3440</v>
      </c>
      <c r="F185" s="5"/>
      <c r="G185" s="5"/>
      <c r="H185" s="5"/>
      <c r="I185" s="5"/>
    </row>
    <row r="186" spans="1:9" ht="96">
      <c r="A186" s="5"/>
      <c r="B186" s="5"/>
      <c r="C186" s="5"/>
      <c r="D186" s="5"/>
      <c r="E186" s="58" t="s">
        <v>313</v>
      </c>
      <c r="F186" s="5"/>
      <c r="G186" s="5"/>
      <c r="H186" s="5"/>
      <c r="I186" s="5"/>
    </row>
    <row r="187" spans="1:9" ht="130.5">
      <c r="A187" s="5"/>
      <c r="B187" s="5"/>
      <c r="C187" s="5"/>
      <c r="D187" s="5"/>
      <c r="E187" s="58" t="s">
        <v>3441</v>
      </c>
      <c r="F187" s="5"/>
      <c r="G187" s="5"/>
      <c r="H187" s="5"/>
      <c r="I187" s="5"/>
    </row>
    <row r="188" spans="1:9" ht="107.25">
      <c r="A188" s="5"/>
      <c r="B188" s="5"/>
      <c r="C188" s="5"/>
      <c r="D188" s="5"/>
      <c r="E188" s="58" t="s">
        <v>3442</v>
      </c>
      <c r="F188" s="5"/>
      <c r="G188" s="5"/>
      <c r="H188" s="5"/>
      <c r="I188" s="5"/>
    </row>
    <row r="189" spans="1:9" ht="107.25">
      <c r="A189" s="5"/>
      <c r="B189" s="5"/>
      <c r="C189" s="5"/>
      <c r="D189" s="5"/>
      <c r="E189" s="58" t="s">
        <v>864</v>
      </c>
      <c r="F189" s="5"/>
      <c r="G189" s="5"/>
      <c r="H189" s="5"/>
      <c r="I189" s="5"/>
    </row>
    <row r="190" spans="1:9" ht="118.5">
      <c r="A190" s="5"/>
      <c r="B190" s="5"/>
      <c r="C190" s="5"/>
      <c r="D190" s="5"/>
      <c r="E190" s="58" t="s">
        <v>302</v>
      </c>
      <c r="F190" s="5"/>
      <c r="G190" s="5"/>
      <c r="H190" s="5"/>
      <c r="I190" s="5"/>
    </row>
    <row r="191" spans="1:9" ht="107.25">
      <c r="A191" s="5"/>
      <c r="B191" s="5"/>
      <c r="C191" s="5"/>
      <c r="D191" s="5"/>
      <c r="E191" s="58" t="s">
        <v>1673</v>
      </c>
      <c r="F191" s="5"/>
      <c r="G191" s="5"/>
      <c r="H191" s="5"/>
      <c r="I191" s="5"/>
    </row>
    <row r="192" spans="1:9" ht="107.25">
      <c r="A192" s="5"/>
      <c r="B192" s="5"/>
      <c r="C192" s="5"/>
      <c r="D192" s="5"/>
      <c r="E192" s="58" t="s">
        <v>3443</v>
      </c>
      <c r="F192" s="5"/>
      <c r="G192" s="5"/>
      <c r="H192" s="5"/>
      <c r="I192" s="5"/>
    </row>
    <row r="193" spans="1:9" ht="130.5">
      <c r="A193" s="5"/>
      <c r="B193" s="5"/>
      <c r="C193" s="5"/>
      <c r="D193" s="5"/>
      <c r="E193" s="58" t="s">
        <v>389</v>
      </c>
      <c r="F193" s="5"/>
      <c r="G193" s="5"/>
      <c r="H193" s="5"/>
      <c r="I193" s="5"/>
    </row>
    <row r="194" spans="1:9" ht="60">
      <c r="A194" s="5"/>
      <c r="B194" s="5"/>
      <c r="C194" s="5"/>
      <c r="D194" s="5"/>
      <c r="E194" s="58" t="s">
        <v>3147</v>
      </c>
      <c r="F194" s="5"/>
      <c r="G194" s="5"/>
      <c r="H194" s="5"/>
      <c r="I194" s="5"/>
    </row>
    <row r="195" spans="1:9" ht="107.25">
      <c r="A195" s="5"/>
      <c r="B195" s="5"/>
      <c r="C195" s="5"/>
      <c r="D195" s="5"/>
      <c r="E195" s="58" t="s">
        <v>3444</v>
      </c>
      <c r="F195" s="5"/>
      <c r="G195" s="5"/>
      <c r="H195" s="5"/>
      <c r="I195" s="5"/>
    </row>
    <row r="196" spans="1:9" ht="96">
      <c r="A196" s="5"/>
      <c r="B196" s="5"/>
      <c r="C196" s="5"/>
      <c r="D196" s="5"/>
      <c r="E196" s="58" t="s">
        <v>3445</v>
      </c>
      <c r="F196" s="5"/>
      <c r="G196" s="5"/>
      <c r="H196" s="5"/>
      <c r="I196" s="5"/>
    </row>
    <row r="197" spans="1:9" ht="107.25">
      <c r="A197" s="5"/>
      <c r="B197" s="5"/>
      <c r="C197" s="5"/>
      <c r="D197" s="5"/>
      <c r="E197" s="58" t="s">
        <v>3446</v>
      </c>
      <c r="F197" s="5"/>
      <c r="G197" s="5"/>
      <c r="H197" s="5"/>
      <c r="I197" s="5"/>
    </row>
    <row r="198" spans="1:9" ht="84">
      <c r="A198" s="5"/>
      <c r="B198" s="5"/>
      <c r="C198" s="5"/>
      <c r="D198" s="5"/>
      <c r="E198" s="58" t="s">
        <v>3447</v>
      </c>
      <c r="F198" s="5"/>
      <c r="G198" s="5"/>
      <c r="H198" s="5"/>
      <c r="I198" s="5"/>
    </row>
    <row r="199" spans="1:9" ht="60">
      <c r="A199" s="5"/>
      <c r="B199" s="5"/>
      <c r="C199" s="5"/>
      <c r="D199" s="5"/>
      <c r="E199" s="58" t="s">
        <v>3448</v>
      </c>
      <c r="F199" s="5"/>
      <c r="G199" s="5"/>
      <c r="H199" s="5"/>
      <c r="I199" s="5"/>
    </row>
    <row r="200" spans="1:9" ht="130.5">
      <c r="A200" s="5"/>
      <c r="B200" s="5"/>
      <c r="C200" s="5"/>
      <c r="D200" s="5"/>
      <c r="E200" s="58" t="s">
        <v>3449</v>
      </c>
      <c r="F200" s="5"/>
      <c r="G200" s="5"/>
      <c r="H200" s="5"/>
      <c r="I200" s="5"/>
    </row>
    <row r="201" spans="1:9" ht="107.25">
      <c r="A201" s="5"/>
      <c r="B201" s="5"/>
      <c r="C201" s="5"/>
      <c r="D201" s="5"/>
      <c r="E201" s="58" t="s">
        <v>3450</v>
      </c>
      <c r="F201" s="5"/>
      <c r="G201" s="5"/>
      <c r="H201" s="5"/>
      <c r="I201" s="5"/>
    </row>
    <row r="202" spans="1:9" ht="107.25">
      <c r="A202" s="5"/>
      <c r="B202" s="5"/>
      <c r="C202" s="5"/>
      <c r="D202" s="5"/>
      <c r="E202" s="58" t="s">
        <v>3451</v>
      </c>
      <c r="F202" s="5"/>
      <c r="G202" s="5"/>
      <c r="H202" s="5"/>
      <c r="I202" s="5"/>
    </row>
    <row r="203" spans="1:9" ht="107.25">
      <c r="A203" s="5"/>
      <c r="B203" s="5"/>
      <c r="C203" s="5"/>
      <c r="D203" s="5"/>
      <c r="E203" s="58" t="s">
        <v>3452</v>
      </c>
      <c r="F203" s="5"/>
      <c r="G203" s="5"/>
      <c r="H203" s="5"/>
      <c r="I203" s="5"/>
    </row>
    <row r="204" spans="1:9" ht="107.25">
      <c r="A204" s="5"/>
      <c r="B204" s="5"/>
      <c r="C204" s="5"/>
      <c r="D204" s="5"/>
      <c r="E204" s="58" t="s">
        <v>3453</v>
      </c>
      <c r="F204" s="5"/>
      <c r="G204" s="5"/>
      <c r="H204" s="5"/>
      <c r="I204" s="5"/>
    </row>
    <row r="205" spans="1:9" ht="107.25">
      <c r="A205" s="5"/>
      <c r="B205" s="5"/>
      <c r="C205" s="5"/>
      <c r="D205" s="5"/>
      <c r="E205" s="58" t="s">
        <v>3454</v>
      </c>
      <c r="F205" s="5"/>
      <c r="G205" s="5"/>
      <c r="H205" s="5"/>
      <c r="I205" s="5"/>
    </row>
    <row r="206" spans="1:9" ht="107.25">
      <c r="A206" s="5"/>
      <c r="B206" s="5"/>
      <c r="C206" s="5"/>
      <c r="D206" s="5"/>
      <c r="E206" s="58" t="s">
        <v>3455</v>
      </c>
      <c r="F206" s="5"/>
      <c r="G206" s="5"/>
      <c r="H206" s="5"/>
      <c r="I206" s="5"/>
    </row>
    <row r="207" spans="1:9" ht="107.25">
      <c r="A207" s="5"/>
      <c r="B207" s="5"/>
      <c r="C207" s="5"/>
      <c r="D207" s="5"/>
      <c r="E207" s="58" t="s">
        <v>3456</v>
      </c>
      <c r="F207" s="5"/>
      <c r="G207" s="5"/>
      <c r="H207" s="5"/>
      <c r="I207" s="5"/>
    </row>
    <row r="208" spans="1:9" ht="107.25">
      <c r="A208" s="5"/>
      <c r="B208" s="5"/>
      <c r="C208" s="5"/>
      <c r="D208" s="5"/>
      <c r="E208" s="58" t="s">
        <v>3457</v>
      </c>
      <c r="F208" s="5"/>
      <c r="G208" s="5"/>
      <c r="H208" s="5"/>
      <c r="I208" s="5"/>
    </row>
    <row r="209" spans="1:9" ht="96">
      <c r="A209" s="5"/>
      <c r="B209" s="5"/>
      <c r="C209" s="5"/>
      <c r="D209" s="5"/>
      <c r="E209" s="58" t="s">
        <v>732</v>
      </c>
      <c r="F209" s="5"/>
      <c r="G209" s="5"/>
      <c r="H209" s="5"/>
      <c r="I209" s="5"/>
    </row>
    <row r="210" spans="1:9" ht="84">
      <c r="A210" s="5"/>
      <c r="B210" s="5"/>
      <c r="C210" s="5"/>
      <c r="D210" s="5"/>
      <c r="E210" s="58" t="s">
        <v>3458</v>
      </c>
      <c r="F210" s="5"/>
      <c r="G210" s="5"/>
      <c r="H210" s="5"/>
      <c r="I210" s="5"/>
    </row>
    <row r="211" spans="1:9" ht="107.25">
      <c r="A211" s="5"/>
      <c r="B211" s="5"/>
      <c r="C211" s="5"/>
      <c r="D211" s="5"/>
      <c r="E211" s="58" t="s">
        <v>3459</v>
      </c>
      <c r="F211" s="5"/>
      <c r="G211" s="5"/>
      <c r="H211" s="5"/>
      <c r="I211" s="5"/>
    </row>
    <row r="212" spans="1:9" ht="107.25">
      <c r="A212" s="5"/>
      <c r="B212" s="5"/>
      <c r="C212" s="5"/>
      <c r="D212" s="5"/>
      <c r="E212" s="58" t="s">
        <v>377</v>
      </c>
      <c r="F212" s="5"/>
      <c r="G212" s="5"/>
      <c r="H212" s="5"/>
      <c r="I212" s="5"/>
    </row>
    <row r="213" spans="1:9" ht="84">
      <c r="A213" s="5"/>
      <c r="B213" s="5"/>
      <c r="C213" s="5"/>
      <c r="D213" s="5"/>
      <c r="E213" s="58" t="s">
        <v>3460</v>
      </c>
      <c r="F213" s="5"/>
      <c r="G213" s="5"/>
      <c r="H213" s="5"/>
      <c r="I213" s="5"/>
    </row>
    <row r="214" spans="1:9" ht="96">
      <c r="A214" s="5"/>
      <c r="B214" s="5"/>
      <c r="C214" s="5"/>
      <c r="D214" s="5"/>
      <c r="E214" s="58" t="s">
        <v>3461</v>
      </c>
      <c r="F214" s="5"/>
      <c r="G214" s="5"/>
      <c r="H214" s="5"/>
      <c r="I214" s="5"/>
    </row>
    <row r="215" spans="1:9" ht="96">
      <c r="A215" s="5"/>
      <c r="B215" s="5"/>
      <c r="C215" s="5"/>
      <c r="D215" s="5"/>
      <c r="E215" s="58" t="s">
        <v>3462</v>
      </c>
      <c r="F215" s="5"/>
      <c r="G215" s="5"/>
      <c r="H215" s="5"/>
      <c r="I215" s="5"/>
    </row>
    <row r="216" spans="1:9" ht="84">
      <c r="A216" s="5"/>
      <c r="B216" s="5"/>
      <c r="C216" s="5"/>
      <c r="D216" s="5"/>
      <c r="E216" s="58" t="s">
        <v>3463</v>
      </c>
      <c r="F216" s="5"/>
      <c r="G216" s="5"/>
      <c r="H216" s="5"/>
      <c r="I216" s="5"/>
    </row>
    <row r="217" spans="1:9" ht="36">
      <c r="A217" s="5"/>
      <c r="B217" s="5"/>
      <c r="C217" s="5"/>
      <c r="D217" s="5"/>
      <c r="E217" s="58" t="s">
        <v>3464</v>
      </c>
      <c r="F217" s="5"/>
      <c r="G217" s="5"/>
      <c r="H217" s="5"/>
      <c r="I217" s="5"/>
    </row>
    <row r="218" spans="1:9" ht="96">
      <c r="A218" s="5"/>
      <c r="B218" s="5"/>
      <c r="C218" s="5"/>
      <c r="D218" s="5"/>
      <c r="E218" s="58" t="s">
        <v>3465</v>
      </c>
      <c r="F218" s="5"/>
      <c r="G218" s="5"/>
      <c r="H218" s="5"/>
      <c r="I218" s="5"/>
    </row>
    <row r="219" spans="1:9" ht="84">
      <c r="A219" s="5"/>
      <c r="B219" s="5"/>
      <c r="C219" s="5"/>
      <c r="D219" s="5"/>
      <c r="E219" s="58" t="s">
        <v>3466</v>
      </c>
      <c r="F219" s="5"/>
      <c r="G219" s="5"/>
      <c r="H219" s="5"/>
      <c r="I219" s="5"/>
    </row>
    <row r="220" spans="1:9" ht="84">
      <c r="A220" s="5"/>
      <c r="B220" s="5"/>
      <c r="C220" s="5"/>
      <c r="D220" s="5"/>
      <c r="E220" s="58" t="s">
        <v>3467</v>
      </c>
      <c r="F220" s="5"/>
      <c r="G220" s="5"/>
      <c r="H220" s="5"/>
      <c r="I220" s="5"/>
    </row>
    <row r="221" spans="1:9" ht="60">
      <c r="A221" s="5"/>
      <c r="B221" s="5"/>
      <c r="C221" s="5"/>
      <c r="D221" s="5"/>
      <c r="E221" s="58" t="s">
        <v>3468</v>
      </c>
      <c r="F221" s="5"/>
      <c r="G221" s="5"/>
      <c r="H221" s="5"/>
      <c r="I221" s="5"/>
    </row>
    <row r="222" spans="1:9" ht="48">
      <c r="A222" s="5"/>
      <c r="B222" s="5"/>
      <c r="C222" s="5"/>
      <c r="D222" s="5"/>
      <c r="E222" s="58" t="s">
        <v>3469</v>
      </c>
      <c r="F222" s="5"/>
      <c r="G222" s="5"/>
      <c r="H222" s="5"/>
      <c r="I222" s="5"/>
    </row>
    <row r="223" spans="1:9" ht="72">
      <c r="A223" s="5"/>
      <c r="B223" s="5"/>
      <c r="C223" s="5"/>
      <c r="D223" s="5"/>
      <c r="E223" s="58" t="s">
        <v>3470</v>
      </c>
      <c r="F223" s="5"/>
      <c r="G223" s="5"/>
      <c r="H223" s="5"/>
      <c r="I223" s="5"/>
    </row>
    <row r="224" spans="1:9" ht="84">
      <c r="A224" s="5"/>
      <c r="B224" s="5"/>
      <c r="C224" s="5"/>
      <c r="D224" s="5"/>
      <c r="E224" s="57" t="s">
        <v>3471</v>
      </c>
      <c r="F224" s="5"/>
      <c r="G224" s="5"/>
      <c r="H224" s="5"/>
      <c r="I224" s="5"/>
    </row>
    <row r="225" spans="1:9" ht="36">
      <c r="A225" s="5"/>
      <c r="B225" s="5"/>
      <c r="C225" s="5"/>
      <c r="D225" s="5"/>
      <c r="E225" s="58" t="s">
        <v>2653</v>
      </c>
      <c r="F225" s="5"/>
      <c r="G225" s="5"/>
      <c r="H225" s="5"/>
      <c r="I225" s="5"/>
    </row>
    <row r="226" spans="1:9" ht="48">
      <c r="A226" s="5"/>
      <c r="B226" s="5"/>
      <c r="C226" s="5"/>
      <c r="D226" s="5"/>
      <c r="E226" s="58" t="s">
        <v>153</v>
      </c>
      <c r="F226" s="5"/>
      <c r="G226" s="5"/>
      <c r="H226" s="5"/>
      <c r="I226" s="5"/>
    </row>
    <row r="227" spans="1:9" ht="60">
      <c r="A227" s="5"/>
      <c r="B227" s="5"/>
      <c r="C227" s="5"/>
      <c r="D227" s="5"/>
      <c r="E227" s="58" t="s">
        <v>3472</v>
      </c>
      <c r="F227" s="5"/>
      <c r="G227" s="5"/>
      <c r="H227" s="5"/>
      <c r="I227" s="5"/>
    </row>
    <row r="228" spans="1:9" ht="84">
      <c r="A228" s="5"/>
      <c r="B228" s="5"/>
      <c r="C228" s="5"/>
      <c r="D228" s="5"/>
      <c r="E228" s="58" t="s">
        <v>3473</v>
      </c>
      <c r="F228" s="5"/>
      <c r="G228" s="5"/>
      <c r="H228" s="5"/>
      <c r="I228" s="5"/>
    </row>
    <row r="229" spans="1:9" ht="24">
      <c r="A229" s="5"/>
      <c r="B229" s="5"/>
      <c r="C229" s="5"/>
      <c r="D229" s="5"/>
      <c r="E229" s="58" t="s">
        <v>3474</v>
      </c>
      <c r="F229" s="5"/>
      <c r="G229" s="5"/>
      <c r="H229" s="5"/>
      <c r="I229" s="5"/>
    </row>
    <row r="230" spans="1:9" ht="36">
      <c r="A230" s="5"/>
      <c r="B230" s="5"/>
      <c r="C230" s="5"/>
      <c r="D230" s="5"/>
      <c r="E230" s="58" t="s">
        <v>3475</v>
      </c>
      <c r="F230" s="5"/>
      <c r="G230" s="5"/>
      <c r="H230" s="5"/>
      <c r="I230" s="5"/>
    </row>
    <row r="231" spans="1:9" ht="72">
      <c r="A231" s="5"/>
      <c r="B231" s="5"/>
      <c r="C231" s="5"/>
      <c r="D231" s="5"/>
      <c r="E231" s="58" t="s">
        <v>3476</v>
      </c>
      <c r="F231" s="5"/>
      <c r="G231" s="5"/>
      <c r="H231" s="5"/>
      <c r="I231" s="5"/>
    </row>
    <row r="232" spans="1:9" ht="84">
      <c r="A232" s="5"/>
      <c r="B232" s="5"/>
      <c r="C232" s="5"/>
      <c r="D232" s="5"/>
      <c r="E232" s="58" t="s">
        <v>1054</v>
      </c>
      <c r="F232" s="5"/>
      <c r="G232" s="5"/>
      <c r="H232" s="5"/>
      <c r="I232" s="5"/>
    </row>
    <row r="233" spans="1:9" ht="36">
      <c r="A233" s="5"/>
      <c r="B233" s="5"/>
      <c r="C233" s="5"/>
      <c r="D233" s="5"/>
      <c r="E233" s="58" t="s">
        <v>714</v>
      </c>
      <c r="F233" s="5"/>
      <c r="G233" s="5"/>
      <c r="H233" s="5"/>
      <c r="I233" s="5"/>
    </row>
    <row r="234" spans="1:9" ht="36">
      <c r="A234" s="5"/>
      <c r="B234" s="5"/>
      <c r="C234" s="5"/>
      <c r="D234" s="5"/>
      <c r="E234" s="58" t="s">
        <v>1059</v>
      </c>
      <c r="F234" s="5"/>
      <c r="G234" s="5"/>
      <c r="H234" s="5"/>
      <c r="I234" s="5"/>
    </row>
    <row r="235" spans="1:9" ht="84">
      <c r="A235" s="5"/>
      <c r="B235" s="5"/>
      <c r="C235" s="5"/>
      <c r="D235" s="5"/>
      <c r="E235" s="58" t="s">
        <v>3477</v>
      </c>
      <c r="F235" s="5"/>
      <c r="G235" s="5"/>
      <c r="H235" s="5"/>
      <c r="I235" s="5"/>
    </row>
    <row r="236" spans="1:9" ht="48">
      <c r="A236" s="5"/>
      <c r="B236" s="5"/>
      <c r="C236" s="5"/>
      <c r="D236" s="5"/>
      <c r="E236" s="58" t="s">
        <v>1775</v>
      </c>
      <c r="F236" s="5"/>
      <c r="G236" s="5"/>
      <c r="H236" s="5"/>
      <c r="I236" s="5"/>
    </row>
    <row r="237" spans="1:9" ht="84">
      <c r="A237" s="5"/>
      <c r="B237" s="5"/>
      <c r="C237" s="5"/>
      <c r="D237" s="5"/>
      <c r="E237" s="58" t="s">
        <v>1738</v>
      </c>
      <c r="F237" s="5"/>
      <c r="G237" s="5"/>
      <c r="H237" s="5"/>
      <c r="I237" s="5"/>
    </row>
    <row r="238" spans="1:9" ht="96">
      <c r="A238" s="5"/>
      <c r="B238" s="5"/>
      <c r="C238" s="5"/>
      <c r="D238" s="5"/>
      <c r="E238" s="58" t="s">
        <v>1049</v>
      </c>
      <c r="F238" s="5"/>
      <c r="G238" s="5"/>
      <c r="H238" s="5"/>
      <c r="I238" s="5"/>
    </row>
    <row r="239" spans="1:9" ht="84">
      <c r="A239" s="5"/>
      <c r="B239" s="5"/>
      <c r="C239" s="5"/>
      <c r="D239" s="5"/>
      <c r="E239" s="58" t="s">
        <v>3478</v>
      </c>
      <c r="F239" s="5"/>
      <c r="G239" s="5"/>
      <c r="H239" s="5"/>
      <c r="I239" s="5"/>
    </row>
    <row r="240" spans="1:9" ht="48">
      <c r="A240" s="5"/>
      <c r="B240" s="5"/>
      <c r="C240" s="5"/>
      <c r="D240" s="5"/>
      <c r="E240" s="58" t="s">
        <v>3479</v>
      </c>
      <c r="F240" s="5"/>
      <c r="G240" s="5"/>
      <c r="H240" s="5"/>
      <c r="I240" s="5"/>
    </row>
    <row r="241" spans="1:9" ht="72">
      <c r="A241" s="5"/>
      <c r="B241" s="5"/>
      <c r="C241" s="5"/>
      <c r="D241" s="5"/>
      <c r="E241" s="58" t="s">
        <v>3480</v>
      </c>
      <c r="F241" s="5"/>
      <c r="G241" s="5"/>
      <c r="H241" s="5"/>
      <c r="I241" s="5"/>
    </row>
    <row r="242" spans="1:9" ht="72">
      <c r="A242" s="5"/>
      <c r="B242" s="5"/>
      <c r="C242" s="5"/>
      <c r="D242" s="5"/>
      <c r="E242" s="58" t="s">
        <v>3481</v>
      </c>
      <c r="F242" s="5"/>
      <c r="G242" s="5"/>
      <c r="H242" s="5"/>
      <c r="I242" s="5"/>
    </row>
    <row r="243" spans="1:9" ht="107.25">
      <c r="A243" s="5"/>
      <c r="B243" s="5"/>
      <c r="C243" s="5"/>
      <c r="D243" s="5"/>
      <c r="E243" s="58" t="s">
        <v>3482</v>
      </c>
      <c r="F243" s="5"/>
      <c r="G243" s="5"/>
      <c r="H243" s="5"/>
      <c r="I243" s="5"/>
    </row>
    <row r="244" spans="1:9" ht="24">
      <c r="A244" s="5"/>
      <c r="B244" s="5"/>
      <c r="C244" s="5"/>
      <c r="D244" s="5"/>
      <c r="E244" s="58" t="s">
        <v>3483</v>
      </c>
      <c r="F244" s="5"/>
      <c r="G244" s="5"/>
      <c r="H244" s="5"/>
      <c r="I244" s="5"/>
    </row>
    <row r="245" spans="1:9" ht="107.25">
      <c r="A245" s="5"/>
      <c r="B245" s="5"/>
      <c r="C245" s="5"/>
      <c r="D245" s="5"/>
      <c r="E245" s="58" t="s">
        <v>3484</v>
      </c>
      <c r="F245" s="5"/>
      <c r="G245" s="5"/>
      <c r="H245" s="5"/>
      <c r="I245" s="5"/>
    </row>
    <row r="246" spans="1:9" ht="36">
      <c r="A246" s="5"/>
      <c r="B246" s="5"/>
      <c r="C246" s="5"/>
      <c r="D246" s="5"/>
      <c r="E246" s="58" t="s">
        <v>3485</v>
      </c>
      <c r="F246" s="5"/>
      <c r="G246" s="5"/>
      <c r="H246" s="5"/>
      <c r="I246" s="5"/>
    </row>
    <row r="247" spans="1:9" ht="60">
      <c r="A247" s="5"/>
      <c r="B247" s="5"/>
      <c r="C247" s="5"/>
      <c r="D247" s="5"/>
      <c r="E247" s="58" t="s">
        <v>3486</v>
      </c>
      <c r="F247" s="5"/>
      <c r="G247" s="5"/>
      <c r="H247" s="5"/>
      <c r="I247" s="5"/>
    </row>
    <row r="248" spans="1:9" ht="84">
      <c r="A248" s="5"/>
      <c r="B248" s="5"/>
      <c r="C248" s="5"/>
      <c r="D248" s="5"/>
      <c r="E248" s="58" t="s">
        <v>3487</v>
      </c>
      <c r="F248" s="5"/>
      <c r="G248" s="5"/>
      <c r="H248" s="5"/>
      <c r="I248" s="5"/>
    </row>
    <row r="249" spans="1:9" ht="60">
      <c r="A249" s="5"/>
      <c r="B249" s="5"/>
      <c r="C249" s="5"/>
      <c r="D249" s="5"/>
      <c r="E249" s="58" t="s">
        <v>2417</v>
      </c>
      <c r="F249" s="5"/>
      <c r="G249" s="5"/>
      <c r="H249" s="5"/>
      <c r="I249" s="5"/>
    </row>
    <row r="250" spans="1:9" ht="72">
      <c r="A250" s="5"/>
      <c r="B250" s="5"/>
      <c r="C250" s="5"/>
      <c r="D250" s="5"/>
      <c r="E250" s="58" t="s">
        <v>3488</v>
      </c>
      <c r="F250" s="5"/>
      <c r="G250" s="5"/>
      <c r="H250" s="5"/>
      <c r="I250" s="5"/>
    </row>
    <row r="251" spans="1:9" ht="60">
      <c r="A251" s="5"/>
      <c r="B251" s="5"/>
      <c r="C251" s="5"/>
      <c r="D251" s="5"/>
      <c r="E251" s="58" t="s">
        <v>3489</v>
      </c>
      <c r="F251" s="5"/>
      <c r="G251" s="5"/>
      <c r="H251" s="5"/>
      <c r="I251" s="5"/>
    </row>
    <row r="252" spans="1:9" ht="60">
      <c r="A252" s="5"/>
      <c r="B252" s="5"/>
      <c r="C252" s="5"/>
      <c r="D252" s="5"/>
      <c r="E252" s="58" t="s">
        <v>3490</v>
      </c>
      <c r="F252" s="5"/>
      <c r="G252" s="5"/>
      <c r="H252" s="5"/>
      <c r="I252" s="5"/>
    </row>
    <row r="253" spans="1:9" ht="36">
      <c r="A253" s="5"/>
      <c r="B253" s="5"/>
      <c r="C253" s="5"/>
      <c r="D253" s="5"/>
      <c r="E253" s="58" t="s">
        <v>1720</v>
      </c>
      <c r="F253" s="5"/>
      <c r="G253" s="5"/>
      <c r="H253" s="5"/>
      <c r="I253" s="5"/>
    </row>
    <row r="254" spans="1:9" ht="24">
      <c r="A254" s="5"/>
      <c r="B254" s="5"/>
      <c r="C254" s="5"/>
      <c r="D254" s="5"/>
      <c r="E254" s="58" t="s">
        <v>3491</v>
      </c>
      <c r="F254" s="5"/>
      <c r="G254" s="5"/>
      <c r="H254" s="5"/>
      <c r="I254" s="5"/>
    </row>
    <row r="255" spans="1:9" ht="48">
      <c r="A255" s="5"/>
      <c r="B255" s="5"/>
      <c r="C255" s="5"/>
      <c r="D255" s="5"/>
      <c r="E255" s="58" t="s">
        <v>3492</v>
      </c>
      <c r="F255" s="5"/>
      <c r="G255" s="5"/>
      <c r="H255" s="5"/>
      <c r="I255" s="5"/>
    </row>
    <row r="256" spans="1:9" ht="60">
      <c r="A256" s="5"/>
      <c r="B256" s="5"/>
      <c r="C256" s="5"/>
      <c r="D256" s="5"/>
      <c r="E256" s="58" t="s">
        <v>3493</v>
      </c>
      <c r="F256" s="5"/>
      <c r="G256" s="5"/>
      <c r="H256" s="5"/>
      <c r="I256" s="5"/>
    </row>
    <row r="257" spans="1:9" ht="84">
      <c r="A257" s="5"/>
      <c r="B257" s="5"/>
      <c r="C257" s="5"/>
      <c r="D257" s="5"/>
      <c r="E257" s="58" t="s">
        <v>3494</v>
      </c>
      <c r="F257" s="5"/>
      <c r="G257" s="5"/>
      <c r="H257" s="5"/>
      <c r="I257" s="5"/>
    </row>
    <row r="258" spans="1:9" ht="96">
      <c r="A258" s="5"/>
      <c r="B258" s="5"/>
      <c r="C258" s="5"/>
      <c r="D258" s="5"/>
      <c r="E258" s="58" t="s">
        <v>955</v>
      </c>
      <c r="F258" s="5"/>
      <c r="G258" s="5"/>
      <c r="H258" s="5"/>
      <c r="I258" s="5"/>
    </row>
    <row r="259" spans="1:9" ht="36">
      <c r="A259" s="5"/>
      <c r="B259" s="5"/>
      <c r="C259" s="5"/>
      <c r="D259" s="5"/>
      <c r="E259" s="57" t="s">
        <v>3495</v>
      </c>
      <c r="F259" s="5"/>
      <c r="G259" s="5"/>
      <c r="H259" s="5"/>
      <c r="I259" s="5"/>
    </row>
    <row r="260" spans="1:9" ht="60">
      <c r="A260" s="5"/>
      <c r="B260" s="5"/>
      <c r="C260" s="5"/>
      <c r="D260" s="5"/>
      <c r="E260" s="58" t="s">
        <v>3496</v>
      </c>
      <c r="F260" s="5"/>
      <c r="G260" s="5"/>
      <c r="H260" s="5"/>
      <c r="I260" s="5"/>
    </row>
    <row r="261" spans="1:9" ht="60">
      <c r="A261" s="5"/>
      <c r="B261" s="5"/>
      <c r="C261" s="5"/>
      <c r="D261" s="5"/>
      <c r="E261" s="58" t="s">
        <v>3497</v>
      </c>
      <c r="F261" s="5"/>
      <c r="G261" s="5"/>
      <c r="H261" s="5"/>
      <c r="I261" s="5"/>
    </row>
    <row r="262" spans="1:9" ht="72">
      <c r="A262" s="5"/>
      <c r="B262" s="5"/>
      <c r="C262" s="5"/>
      <c r="D262" s="5"/>
      <c r="E262" s="58" t="s">
        <v>3498</v>
      </c>
      <c r="F262" s="5"/>
      <c r="G262" s="5"/>
      <c r="H262" s="5"/>
      <c r="I262" s="5"/>
    </row>
    <row r="263" spans="1:9" ht="84">
      <c r="A263" s="5"/>
      <c r="B263" s="5"/>
      <c r="C263" s="5"/>
      <c r="D263" s="5"/>
      <c r="E263" s="58" t="s">
        <v>3499</v>
      </c>
      <c r="F263" s="5"/>
      <c r="G263" s="5"/>
      <c r="H263" s="5"/>
      <c r="I263" s="5"/>
    </row>
    <row r="264" spans="1:9" ht="118.5">
      <c r="A264" s="5"/>
      <c r="B264" s="5"/>
      <c r="C264" s="5"/>
      <c r="D264" s="5"/>
      <c r="E264" s="58" t="s">
        <v>3500</v>
      </c>
      <c r="F264" s="5"/>
      <c r="G264" s="5"/>
      <c r="H264" s="5"/>
      <c r="I264" s="5"/>
    </row>
    <row r="265" spans="1:9" ht="118.5">
      <c r="A265" s="5"/>
      <c r="B265" s="5"/>
      <c r="C265" s="5"/>
      <c r="D265" s="5"/>
      <c r="E265" s="58" t="s">
        <v>2490</v>
      </c>
      <c r="F265" s="5"/>
      <c r="G265" s="5"/>
      <c r="H265" s="5"/>
      <c r="I265" s="5"/>
    </row>
    <row r="266" spans="1:9" ht="60">
      <c r="A266" s="5"/>
      <c r="B266" s="5"/>
      <c r="C266" s="5"/>
      <c r="D266" s="5"/>
      <c r="E266" s="58" t="s">
        <v>2478</v>
      </c>
      <c r="F266" s="5"/>
      <c r="G266" s="5"/>
      <c r="H266" s="5"/>
      <c r="I266" s="5"/>
    </row>
    <row r="267" spans="1:9" ht="60">
      <c r="A267" s="5"/>
      <c r="B267" s="5"/>
      <c r="C267" s="5"/>
      <c r="D267" s="5"/>
      <c r="E267" s="58" t="s">
        <v>3501</v>
      </c>
      <c r="F267" s="5"/>
      <c r="G267" s="5"/>
      <c r="H267" s="5"/>
      <c r="I267" s="5"/>
    </row>
    <row r="268" spans="1:9" ht="48">
      <c r="A268" s="5"/>
      <c r="B268" s="5"/>
      <c r="C268" s="5"/>
      <c r="D268" s="5"/>
      <c r="E268" s="58" t="s">
        <v>1695</v>
      </c>
      <c r="F268" s="5"/>
      <c r="G268" s="5"/>
      <c r="H268" s="5"/>
      <c r="I268" s="5"/>
    </row>
    <row r="269" spans="1:9" ht="60">
      <c r="A269" s="5"/>
      <c r="B269" s="5"/>
      <c r="C269" s="5"/>
      <c r="D269" s="5"/>
      <c r="E269" s="58" t="s">
        <v>3502</v>
      </c>
      <c r="F269" s="5"/>
      <c r="G269" s="5"/>
      <c r="H269" s="5"/>
      <c r="I269" s="5"/>
    </row>
    <row r="270" spans="1:9" ht="48">
      <c r="A270" s="5"/>
      <c r="B270" s="5"/>
      <c r="C270" s="5"/>
      <c r="D270" s="5"/>
      <c r="E270" s="58" t="s">
        <v>3503</v>
      </c>
      <c r="F270" s="5"/>
      <c r="G270" s="5"/>
      <c r="H270" s="5"/>
      <c r="I270" s="5"/>
    </row>
    <row r="271" spans="1:9" ht="60">
      <c r="A271" s="5"/>
      <c r="B271" s="5"/>
      <c r="C271" s="5"/>
      <c r="D271" s="5"/>
      <c r="E271" s="58" t="s">
        <v>3504</v>
      </c>
      <c r="F271" s="5"/>
      <c r="G271" s="5"/>
      <c r="H271" s="5"/>
      <c r="I271" s="5"/>
    </row>
    <row r="272" spans="1:9" ht="96">
      <c r="A272" s="5"/>
      <c r="B272" s="5"/>
      <c r="C272" s="5"/>
      <c r="D272" s="5"/>
      <c r="E272" s="58" t="s">
        <v>3505</v>
      </c>
      <c r="F272" s="5"/>
      <c r="G272" s="5"/>
      <c r="H272" s="5"/>
      <c r="I272" s="5"/>
    </row>
    <row r="273" spans="1:9" ht="107.25">
      <c r="A273" s="5"/>
      <c r="B273" s="5"/>
      <c r="C273" s="5"/>
      <c r="D273" s="5"/>
      <c r="E273" s="58" t="s">
        <v>3506</v>
      </c>
      <c r="F273" s="5"/>
      <c r="G273" s="5"/>
      <c r="H273" s="5"/>
      <c r="I273" s="5"/>
    </row>
    <row r="274" spans="1:9" ht="84">
      <c r="A274" s="5"/>
      <c r="B274" s="5"/>
      <c r="C274" s="5"/>
      <c r="D274" s="5"/>
      <c r="E274" s="58" t="s">
        <v>3507</v>
      </c>
      <c r="F274" s="5"/>
      <c r="G274" s="5"/>
      <c r="H274" s="5"/>
      <c r="I274" s="5"/>
    </row>
    <row r="275" spans="1:9" ht="48">
      <c r="A275" s="5"/>
      <c r="B275" s="5"/>
      <c r="C275" s="5"/>
      <c r="D275" s="5"/>
      <c r="E275" s="58" t="s">
        <v>3508</v>
      </c>
      <c r="F275" s="5"/>
      <c r="G275" s="5"/>
      <c r="H275" s="5"/>
      <c r="I275" s="5"/>
    </row>
    <row r="276" spans="1:9" ht="36">
      <c r="A276" s="5"/>
      <c r="B276" s="5"/>
      <c r="C276" s="5"/>
      <c r="D276" s="5"/>
      <c r="E276" s="58" t="s">
        <v>3509</v>
      </c>
      <c r="F276" s="5"/>
      <c r="G276" s="5"/>
      <c r="H276" s="5"/>
      <c r="I276" s="5"/>
    </row>
    <row r="277" spans="1:9" ht="72">
      <c r="A277" s="5"/>
      <c r="B277" s="5"/>
      <c r="C277" s="5"/>
      <c r="D277" s="5"/>
      <c r="E277" s="57" t="s">
        <v>3510</v>
      </c>
      <c r="F277" s="5"/>
      <c r="G277" s="5"/>
      <c r="H277" s="5"/>
      <c r="I277" s="5"/>
    </row>
    <row r="278" spans="1:9" ht="96">
      <c r="A278" s="5"/>
      <c r="B278" s="5"/>
      <c r="C278" s="5"/>
      <c r="D278" s="5"/>
      <c r="E278" s="58" t="s">
        <v>3511</v>
      </c>
      <c r="F278" s="5"/>
      <c r="G278" s="5"/>
      <c r="H278" s="5"/>
      <c r="I278" s="5"/>
    </row>
    <row r="279" spans="1:9" ht="142.5">
      <c r="A279" s="5"/>
      <c r="B279" s="5"/>
      <c r="C279" s="5"/>
      <c r="D279" s="5"/>
      <c r="E279" s="58" t="s">
        <v>820</v>
      </c>
      <c r="F279" s="5"/>
      <c r="G279" s="5"/>
      <c r="H279" s="5"/>
      <c r="I279" s="5"/>
    </row>
    <row r="280" spans="1:9" ht="107.25">
      <c r="A280" s="5"/>
      <c r="B280" s="5"/>
      <c r="C280" s="5"/>
      <c r="D280" s="5"/>
      <c r="E280" s="58" t="s">
        <v>3512</v>
      </c>
      <c r="F280" s="5"/>
      <c r="G280" s="5"/>
      <c r="H280" s="5"/>
      <c r="I280" s="5"/>
    </row>
    <row r="281" spans="1:9" ht="118.5">
      <c r="A281" s="5"/>
      <c r="B281" s="5"/>
      <c r="C281" s="5"/>
      <c r="D281" s="5"/>
      <c r="E281" s="58" t="s">
        <v>3513</v>
      </c>
      <c r="F281" s="5"/>
      <c r="G281" s="5"/>
      <c r="H281" s="5"/>
      <c r="I281" s="5"/>
    </row>
    <row r="282" spans="1:9" ht="96">
      <c r="A282" s="5"/>
      <c r="B282" s="5"/>
      <c r="C282" s="5"/>
      <c r="D282" s="5"/>
      <c r="E282" s="58" t="s">
        <v>3514</v>
      </c>
      <c r="F282" s="5"/>
      <c r="G282" s="5"/>
      <c r="H282" s="5"/>
      <c r="I282" s="5"/>
    </row>
    <row r="283" spans="1:9" ht="118.5">
      <c r="A283" s="5"/>
      <c r="B283" s="5"/>
      <c r="C283" s="5"/>
      <c r="D283" s="5"/>
      <c r="E283" s="58" t="s">
        <v>3515</v>
      </c>
      <c r="F283" s="5"/>
      <c r="G283" s="5"/>
      <c r="H283" s="5"/>
      <c r="I283" s="5"/>
    </row>
    <row r="284" spans="1:9" ht="24">
      <c r="A284" s="5"/>
      <c r="B284" s="5"/>
      <c r="C284" s="5"/>
      <c r="D284" s="5"/>
      <c r="E284" s="58" t="s">
        <v>3516</v>
      </c>
      <c r="F284" s="5"/>
      <c r="G284" s="5"/>
      <c r="H284" s="5"/>
      <c r="I284" s="5"/>
    </row>
    <row r="285" spans="1:9" ht="48">
      <c r="A285" s="5"/>
      <c r="B285" s="5"/>
      <c r="C285" s="5"/>
      <c r="D285" s="5"/>
      <c r="E285" s="58" t="s">
        <v>3517</v>
      </c>
      <c r="F285" s="5"/>
      <c r="G285" s="5"/>
      <c r="H285" s="5"/>
      <c r="I285" s="5"/>
    </row>
    <row r="286" spans="1:9" ht="96">
      <c r="A286" s="5"/>
      <c r="B286" s="5"/>
      <c r="C286" s="5"/>
      <c r="D286" s="5"/>
      <c r="E286" s="58" t="s">
        <v>3518</v>
      </c>
      <c r="F286" s="5"/>
      <c r="G286" s="5"/>
      <c r="H286" s="5"/>
      <c r="I286" s="5"/>
    </row>
    <row r="287" spans="1:9" ht="96">
      <c r="A287" s="5"/>
      <c r="B287" s="5"/>
      <c r="C287" s="5"/>
      <c r="D287" s="5"/>
      <c r="E287" s="58" t="s">
        <v>3519</v>
      </c>
      <c r="F287" s="5"/>
      <c r="G287" s="5"/>
      <c r="H287" s="5"/>
      <c r="I287" s="5"/>
    </row>
    <row r="288" spans="1:9" ht="96">
      <c r="A288" s="5"/>
      <c r="B288" s="5"/>
      <c r="C288" s="5"/>
      <c r="D288" s="5"/>
      <c r="E288" s="58" t="s">
        <v>3520</v>
      </c>
      <c r="F288" s="5"/>
      <c r="G288" s="5"/>
      <c r="H288" s="5"/>
      <c r="I288" s="5"/>
    </row>
    <row r="289" spans="1:9" ht="96">
      <c r="A289" s="5"/>
      <c r="B289" s="5"/>
      <c r="C289" s="5"/>
      <c r="D289" s="5"/>
      <c r="E289" s="58" t="s">
        <v>3521</v>
      </c>
      <c r="F289" s="5"/>
      <c r="G289" s="5"/>
      <c r="H289" s="5"/>
      <c r="I289" s="5"/>
    </row>
    <row r="290" spans="1:9" ht="84">
      <c r="A290" s="5"/>
      <c r="B290" s="5"/>
      <c r="C290" s="5"/>
      <c r="D290" s="5"/>
      <c r="E290" s="58" t="s">
        <v>3522</v>
      </c>
      <c r="F290" s="5"/>
      <c r="G290" s="5"/>
      <c r="H290" s="5"/>
      <c r="I290" s="5"/>
    </row>
    <row r="291" spans="1:9" ht="96">
      <c r="A291" s="5"/>
      <c r="B291" s="5"/>
      <c r="C291" s="5"/>
      <c r="D291" s="5"/>
      <c r="E291" s="58" t="s">
        <v>3523</v>
      </c>
      <c r="F291" s="5"/>
      <c r="G291" s="5"/>
      <c r="H291" s="5"/>
      <c r="I291" s="5"/>
    </row>
    <row r="292" spans="1:9" ht="96">
      <c r="A292" s="5"/>
      <c r="B292" s="5"/>
      <c r="C292" s="5"/>
      <c r="D292" s="5"/>
      <c r="E292" s="58" t="s">
        <v>3524</v>
      </c>
      <c r="F292" s="5"/>
      <c r="G292" s="5"/>
      <c r="H292" s="5"/>
      <c r="I292" s="5"/>
    </row>
    <row r="293" spans="1:9" ht="84">
      <c r="A293" s="5"/>
      <c r="B293" s="5"/>
      <c r="C293" s="5"/>
      <c r="D293" s="5"/>
      <c r="E293" s="58" t="s">
        <v>3525</v>
      </c>
      <c r="F293" s="5"/>
      <c r="G293" s="5"/>
      <c r="H293" s="5"/>
      <c r="I293" s="5"/>
    </row>
    <row r="294" spans="1:9" ht="72">
      <c r="A294" s="5"/>
      <c r="B294" s="5"/>
      <c r="C294" s="5"/>
      <c r="D294" s="5"/>
      <c r="E294" s="58" t="s">
        <v>3526</v>
      </c>
      <c r="F294" s="5"/>
      <c r="G294" s="5"/>
      <c r="H294" s="5"/>
      <c r="I294" s="5"/>
    </row>
    <row r="295" spans="1:9" ht="96">
      <c r="A295" s="5"/>
      <c r="B295" s="5"/>
      <c r="C295" s="5"/>
      <c r="D295" s="5"/>
      <c r="E295" s="58" t="s">
        <v>3527</v>
      </c>
      <c r="F295" s="5"/>
      <c r="G295" s="5"/>
      <c r="H295" s="5"/>
      <c r="I295" s="5"/>
    </row>
    <row r="296" spans="1:9" ht="96">
      <c r="A296" s="5"/>
      <c r="B296" s="5"/>
      <c r="C296" s="5"/>
      <c r="D296" s="5"/>
      <c r="E296" s="58" t="s">
        <v>3528</v>
      </c>
      <c r="F296" s="5"/>
      <c r="G296" s="5"/>
      <c r="H296" s="5"/>
      <c r="I296" s="5"/>
    </row>
    <row r="297" spans="1:9" ht="84">
      <c r="A297" s="5"/>
      <c r="B297" s="5"/>
      <c r="C297" s="5"/>
      <c r="D297" s="5"/>
      <c r="E297" s="58" t="s">
        <v>3529</v>
      </c>
      <c r="F297" s="5"/>
      <c r="G297" s="5"/>
      <c r="H297" s="5"/>
      <c r="I297" s="5"/>
    </row>
    <row r="298" spans="1:9" ht="84">
      <c r="A298" s="5"/>
      <c r="B298" s="5"/>
      <c r="C298" s="5"/>
      <c r="D298" s="5"/>
      <c r="E298" s="58" t="s">
        <v>3530</v>
      </c>
      <c r="F298" s="5"/>
      <c r="G298" s="5"/>
      <c r="H298" s="5"/>
      <c r="I298" s="5"/>
    </row>
    <row r="299" spans="1:9" ht="84">
      <c r="A299" s="5"/>
      <c r="B299" s="5"/>
      <c r="C299" s="5"/>
      <c r="D299" s="5"/>
      <c r="E299" s="58" t="s">
        <v>3531</v>
      </c>
      <c r="F299" s="5"/>
      <c r="G299" s="5"/>
      <c r="H299" s="5"/>
      <c r="I299" s="5"/>
    </row>
    <row r="300" spans="1:9" ht="96">
      <c r="A300" s="5"/>
      <c r="B300" s="5"/>
      <c r="C300" s="5"/>
      <c r="D300" s="5"/>
      <c r="E300" s="58" t="s">
        <v>3532</v>
      </c>
      <c r="F300" s="5"/>
      <c r="G300" s="5"/>
      <c r="H300" s="5"/>
      <c r="I300" s="5"/>
    </row>
    <row r="301" spans="1:9" ht="84">
      <c r="A301" s="5"/>
      <c r="B301" s="5"/>
      <c r="C301" s="5"/>
      <c r="D301" s="5"/>
      <c r="E301" s="58" t="s">
        <v>3533</v>
      </c>
      <c r="F301" s="5"/>
      <c r="G301" s="5"/>
      <c r="H301" s="5"/>
      <c r="I301" s="5"/>
    </row>
    <row r="302" spans="1:9" ht="84">
      <c r="A302" s="5"/>
      <c r="B302" s="5"/>
      <c r="C302" s="5"/>
      <c r="D302" s="5"/>
      <c r="E302" s="58" t="s">
        <v>3534</v>
      </c>
      <c r="F302" s="5"/>
      <c r="G302" s="5"/>
      <c r="H302" s="5"/>
      <c r="I302" s="5"/>
    </row>
    <row r="303" spans="1:9" ht="72">
      <c r="A303" s="5"/>
      <c r="B303" s="5"/>
      <c r="C303" s="5"/>
      <c r="D303" s="5"/>
      <c r="E303" s="58" t="s">
        <v>3535</v>
      </c>
      <c r="F303" s="5"/>
      <c r="G303" s="5"/>
      <c r="H303" s="5"/>
      <c r="I303" s="5"/>
    </row>
    <row r="304" spans="1:9" ht="72">
      <c r="A304" s="5"/>
      <c r="B304" s="5"/>
      <c r="C304" s="5"/>
      <c r="D304" s="5"/>
      <c r="E304" s="58" t="s">
        <v>3536</v>
      </c>
      <c r="F304" s="5"/>
      <c r="G304" s="5"/>
      <c r="H304" s="5"/>
      <c r="I304" s="5"/>
    </row>
    <row r="305" spans="1:9" ht="96">
      <c r="A305" s="5"/>
      <c r="B305" s="5"/>
      <c r="C305" s="5"/>
      <c r="D305" s="5"/>
      <c r="E305" s="58" t="s">
        <v>3537</v>
      </c>
      <c r="F305" s="5"/>
      <c r="G305" s="5"/>
      <c r="H305" s="5"/>
      <c r="I305" s="5"/>
    </row>
    <row r="306" spans="1:9" ht="84">
      <c r="A306" s="5"/>
      <c r="B306" s="5"/>
      <c r="C306" s="5"/>
      <c r="D306" s="5"/>
      <c r="E306" s="58" t="s">
        <v>3538</v>
      </c>
      <c r="F306" s="5"/>
      <c r="G306" s="5"/>
      <c r="H306" s="5"/>
      <c r="I306" s="5"/>
    </row>
    <row r="307" spans="1:9" ht="36">
      <c r="A307" s="5"/>
      <c r="B307" s="5"/>
      <c r="C307" s="5"/>
      <c r="D307" s="5"/>
      <c r="E307" s="58" t="s">
        <v>3539</v>
      </c>
      <c r="F307" s="5"/>
      <c r="G307" s="5"/>
      <c r="H307" s="5"/>
      <c r="I307" s="5"/>
    </row>
    <row r="308" spans="1:9" ht="60">
      <c r="A308" s="5"/>
      <c r="B308" s="5"/>
      <c r="C308" s="5"/>
      <c r="D308" s="5"/>
      <c r="E308" s="58" t="s">
        <v>3540</v>
      </c>
      <c r="F308" s="5"/>
      <c r="G308" s="5"/>
      <c r="H308" s="5"/>
      <c r="I308" s="5"/>
    </row>
    <row r="309" spans="1:9" ht="60">
      <c r="A309" s="5"/>
      <c r="B309" s="5"/>
      <c r="C309" s="5"/>
      <c r="D309" s="5"/>
      <c r="E309" s="58" t="s">
        <v>3541</v>
      </c>
      <c r="F309" s="5"/>
      <c r="G309" s="5"/>
      <c r="H309" s="5"/>
      <c r="I309" s="5"/>
    </row>
    <row r="310" spans="1:9" ht="72">
      <c r="A310" s="5"/>
      <c r="B310" s="5"/>
      <c r="C310" s="5"/>
      <c r="D310" s="5"/>
      <c r="E310" s="58" t="s">
        <v>3542</v>
      </c>
      <c r="F310" s="5"/>
      <c r="G310" s="5"/>
      <c r="H310" s="5"/>
      <c r="I310" s="5"/>
    </row>
    <row r="311" spans="1:9" ht="72">
      <c r="A311" s="5"/>
      <c r="B311" s="5"/>
      <c r="C311" s="5"/>
      <c r="D311" s="5"/>
      <c r="E311" s="58" t="s">
        <v>2438</v>
      </c>
      <c r="F311" s="5"/>
      <c r="G311" s="5"/>
      <c r="H311" s="5"/>
      <c r="I311" s="5"/>
    </row>
    <row r="312" spans="1:9" ht="60">
      <c r="A312" s="5"/>
      <c r="B312" s="5"/>
      <c r="C312" s="5"/>
      <c r="D312" s="5"/>
      <c r="E312" s="58" t="s">
        <v>3543</v>
      </c>
      <c r="F312" s="5"/>
      <c r="G312" s="5"/>
      <c r="H312" s="5"/>
      <c r="I312" s="5"/>
    </row>
    <row r="313" spans="1:9" ht="48">
      <c r="A313" s="5"/>
      <c r="B313" s="5"/>
      <c r="C313" s="5"/>
      <c r="D313" s="5"/>
      <c r="E313" s="58" t="s">
        <v>3544</v>
      </c>
      <c r="F313" s="5"/>
      <c r="G313" s="5"/>
      <c r="H313" s="5"/>
      <c r="I313" s="5"/>
    </row>
    <row r="314" spans="1:9" ht="48">
      <c r="A314" s="5"/>
      <c r="B314" s="5"/>
      <c r="C314" s="5"/>
      <c r="D314" s="5"/>
      <c r="E314" s="58" t="s">
        <v>3545</v>
      </c>
      <c r="F314" s="5"/>
      <c r="G314" s="5"/>
      <c r="H314" s="5"/>
      <c r="I314" s="5"/>
    </row>
    <row r="315" spans="1:9" ht="36">
      <c r="A315" s="5"/>
      <c r="B315" s="5"/>
      <c r="C315" s="5"/>
      <c r="D315" s="5"/>
      <c r="E315" s="57" t="s">
        <v>3546</v>
      </c>
      <c r="F315" s="5"/>
      <c r="G315" s="5"/>
      <c r="H315" s="5"/>
      <c r="I315" s="5"/>
    </row>
    <row r="316" spans="1:9" ht="72">
      <c r="A316" s="5"/>
      <c r="B316" s="5"/>
      <c r="C316" s="5"/>
      <c r="D316" s="5"/>
      <c r="E316" s="58" t="s">
        <v>3547</v>
      </c>
      <c r="F316" s="5"/>
      <c r="G316" s="5"/>
      <c r="H316" s="5"/>
      <c r="I316" s="5"/>
    </row>
    <row r="317" spans="1:9" ht="72">
      <c r="A317" s="5"/>
      <c r="B317" s="5"/>
      <c r="C317" s="5"/>
      <c r="D317" s="5"/>
      <c r="E317" s="58" t="s">
        <v>3548</v>
      </c>
      <c r="F317" s="5"/>
      <c r="G317" s="5"/>
      <c r="H317" s="5"/>
      <c r="I317" s="5"/>
    </row>
    <row r="318" spans="1:9" ht="60">
      <c r="A318" s="5"/>
      <c r="B318" s="5"/>
      <c r="C318" s="5"/>
      <c r="D318" s="5"/>
      <c r="E318" s="58" t="s">
        <v>3549</v>
      </c>
      <c r="F318" s="5"/>
      <c r="G318" s="5"/>
      <c r="H318" s="5"/>
      <c r="I318" s="5"/>
    </row>
    <row r="319" spans="1:9" ht="48">
      <c r="A319" s="5"/>
      <c r="B319" s="5"/>
      <c r="C319" s="5"/>
      <c r="D319" s="5"/>
      <c r="E319" s="58" t="s">
        <v>3550</v>
      </c>
      <c r="F319" s="5"/>
      <c r="G319" s="5"/>
      <c r="H319" s="5"/>
      <c r="I319" s="5"/>
    </row>
    <row r="320" spans="1:9" ht="36">
      <c r="A320" s="5"/>
      <c r="B320" s="5"/>
      <c r="C320" s="5"/>
      <c r="D320" s="5"/>
      <c r="E320" s="57" t="s">
        <v>3551</v>
      </c>
      <c r="F320" s="5"/>
      <c r="G320" s="5"/>
      <c r="H320" s="5"/>
      <c r="I320" s="5"/>
    </row>
    <row r="321" spans="1:9" ht="48">
      <c r="A321" s="5"/>
      <c r="B321" s="5"/>
      <c r="C321" s="5"/>
      <c r="D321" s="5"/>
      <c r="E321" s="58" t="s">
        <v>3552</v>
      </c>
      <c r="F321" s="5"/>
      <c r="G321" s="5"/>
      <c r="H321" s="5"/>
      <c r="I321" s="5"/>
    </row>
    <row r="322" spans="1:9" ht="60">
      <c r="A322" s="5"/>
      <c r="B322" s="5"/>
      <c r="C322" s="5"/>
      <c r="D322" s="5"/>
      <c r="E322" s="58" t="s">
        <v>3553</v>
      </c>
      <c r="F322" s="5"/>
      <c r="G322" s="5"/>
      <c r="H322" s="5"/>
      <c r="I322" s="5"/>
    </row>
    <row r="323" spans="1:9" ht="48">
      <c r="A323" s="5"/>
      <c r="B323" s="5"/>
      <c r="C323" s="5"/>
      <c r="D323" s="5"/>
      <c r="E323" s="58" t="s">
        <v>3554</v>
      </c>
      <c r="F323" s="5"/>
      <c r="G323" s="5"/>
      <c r="H323" s="5"/>
      <c r="I323" s="5"/>
    </row>
    <row r="324" spans="1:9" ht="48">
      <c r="A324" s="5"/>
      <c r="B324" s="5"/>
      <c r="C324" s="5"/>
      <c r="D324" s="5"/>
      <c r="E324" s="58" t="s">
        <v>3555</v>
      </c>
      <c r="F324" s="5"/>
      <c r="G324" s="5"/>
      <c r="H324" s="5"/>
      <c r="I324" s="5"/>
    </row>
    <row r="325" spans="1:9" ht="60">
      <c r="A325" s="5"/>
      <c r="B325" s="5"/>
      <c r="C325" s="5"/>
      <c r="D325" s="5"/>
      <c r="E325" s="58" t="s">
        <v>3556</v>
      </c>
      <c r="F325" s="5"/>
      <c r="G325" s="5"/>
      <c r="H325" s="5"/>
      <c r="I325" s="5"/>
    </row>
    <row r="326" spans="1:9" ht="84">
      <c r="A326" s="5"/>
      <c r="B326" s="5"/>
      <c r="C326" s="5"/>
      <c r="D326" s="5"/>
      <c r="E326" s="57" t="s">
        <v>3557</v>
      </c>
      <c r="F326" s="5"/>
      <c r="G326" s="5"/>
      <c r="H326" s="5"/>
      <c r="I326" s="5"/>
    </row>
    <row r="327" spans="1:9" ht="60">
      <c r="A327" s="5"/>
      <c r="B327" s="5"/>
      <c r="C327" s="5"/>
      <c r="D327" s="5"/>
      <c r="E327" s="57" t="s">
        <v>3558</v>
      </c>
      <c r="F327" s="5"/>
      <c r="G327" s="5"/>
      <c r="H327" s="5"/>
      <c r="I327" s="5"/>
    </row>
    <row r="328" spans="1:9" ht="96">
      <c r="A328" s="5"/>
      <c r="B328" s="5"/>
      <c r="C328" s="5"/>
      <c r="D328" s="5"/>
      <c r="E328" s="16" t="s">
        <v>1065</v>
      </c>
      <c r="F328" s="5"/>
      <c r="G328" s="5"/>
      <c r="H328" s="5"/>
      <c r="I328" s="5"/>
    </row>
    <row r="329" spans="1:9" ht="84">
      <c r="A329" s="5"/>
      <c r="B329" s="5"/>
      <c r="C329" s="5"/>
      <c r="D329" s="5"/>
      <c r="E329" s="57" t="s">
        <v>3559</v>
      </c>
      <c r="F329" s="5"/>
      <c r="G329" s="5"/>
      <c r="H329" s="5"/>
      <c r="I329" s="5"/>
    </row>
    <row r="330" spans="1:9" ht="130.5">
      <c r="A330" s="5"/>
      <c r="B330" s="5"/>
      <c r="C330" s="5"/>
      <c r="D330" s="5"/>
      <c r="E330" s="58" t="s">
        <v>2659</v>
      </c>
      <c r="F330" s="5"/>
      <c r="G330" s="5"/>
      <c r="H330" s="5"/>
      <c r="I330" s="5"/>
    </row>
    <row r="331" spans="1:9" ht="118.5">
      <c r="A331" s="5"/>
      <c r="B331" s="5"/>
      <c r="C331" s="5"/>
      <c r="D331" s="5"/>
      <c r="E331" s="58" t="s">
        <v>3560</v>
      </c>
      <c r="F331" s="5"/>
      <c r="G331" s="5"/>
      <c r="H331" s="5"/>
      <c r="I331" s="5"/>
    </row>
    <row r="332" spans="1:9" ht="96">
      <c r="A332" s="5"/>
      <c r="B332" s="5"/>
      <c r="C332" s="5"/>
      <c r="D332" s="5"/>
      <c r="E332" s="58" t="s">
        <v>3561</v>
      </c>
      <c r="F332" s="5"/>
      <c r="G332" s="5"/>
      <c r="H332" s="5"/>
      <c r="I332" s="5"/>
    </row>
    <row r="333" spans="1:9" ht="154.5">
      <c r="A333" s="5"/>
      <c r="B333" s="5"/>
      <c r="C333" s="5"/>
      <c r="D333" s="5"/>
      <c r="E333" s="58" t="s">
        <v>3562</v>
      </c>
      <c r="F333" s="5"/>
      <c r="G333" s="5"/>
      <c r="H333" s="5"/>
      <c r="I333" s="5"/>
    </row>
    <row r="334" spans="1:9" ht="107.25">
      <c r="A334" s="5"/>
      <c r="B334" s="5"/>
      <c r="C334" s="5"/>
      <c r="D334" s="5"/>
      <c r="E334" s="58" t="s">
        <v>3563</v>
      </c>
      <c r="F334" s="5"/>
      <c r="G334" s="5"/>
      <c r="H334" s="5"/>
      <c r="I334" s="5"/>
    </row>
    <row r="335" spans="1:9" ht="107.25">
      <c r="A335" s="5"/>
      <c r="B335" s="5"/>
      <c r="C335" s="5"/>
      <c r="D335" s="5"/>
      <c r="E335" s="58" t="s">
        <v>3564</v>
      </c>
      <c r="F335" s="5"/>
      <c r="G335" s="5"/>
      <c r="H335" s="5"/>
      <c r="I335" s="5"/>
    </row>
    <row r="336" spans="1:9" ht="130.5">
      <c r="A336" s="5"/>
      <c r="B336" s="5"/>
      <c r="C336" s="5"/>
      <c r="D336" s="5"/>
      <c r="E336" s="58" t="s">
        <v>3565</v>
      </c>
      <c r="F336" s="5"/>
      <c r="G336" s="5"/>
      <c r="H336" s="5"/>
      <c r="I336" s="5"/>
    </row>
    <row r="337" spans="1:9" ht="154.5">
      <c r="A337" s="5"/>
      <c r="B337" s="5"/>
      <c r="C337" s="5"/>
      <c r="D337" s="5"/>
      <c r="E337" s="58" t="s">
        <v>3566</v>
      </c>
      <c r="F337" s="5"/>
      <c r="G337" s="5"/>
      <c r="H337" s="5"/>
      <c r="I337" s="5"/>
    </row>
    <row r="338" spans="1:9" ht="118.5">
      <c r="A338" s="5"/>
      <c r="B338" s="5"/>
      <c r="C338" s="5"/>
      <c r="D338" s="5"/>
      <c r="E338" s="58" t="s">
        <v>3567</v>
      </c>
      <c r="F338" s="5"/>
      <c r="G338" s="5"/>
      <c r="H338" s="5"/>
      <c r="I338" s="5"/>
    </row>
    <row r="339" spans="1:9" ht="118.5">
      <c r="A339" s="5"/>
      <c r="B339" s="5"/>
      <c r="C339" s="5"/>
      <c r="D339" s="5"/>
      <c r="E339" s="58" t="s">
        <v>3568</v>
      </c>
      <c r="F339" s="5"/>
      <c r="G339" s="5"/>
      <c r="H339" s="5"/>
      <c r="I339" s="5"/>
    </row>
    <row r="340" spans="1:9" ht="107.25">
      <c r="A340" s="5"/>
      <c r="B340" s="5"/>
      <c r="C340" s="5"/>
      <c r="D340" s="5"/>
      <c r="E340" s="58" t="s">
        <v>3569</v>
      </c>
      <c r="F340" s="5"/>
      <c r="G340" s="5"/>
      <c r="H340" s="5"/>
      <c r="I340" s="5"/>
    </row>
    <row r="341" spans="1:9" ht="154.5">
      <c r="A341" s="5"/>
      <c r="B341" s="5"/>
      <c r="C341" s="5"/>
      <c r="D341" s="5"/>
      <c r="E341" s="58" t="s">
        <v>3570</v>
      </c>
      <c r="F341" s="5"/>
      <c r="G341" s="5"/>
      <c r="H341" s="5"/>
      <c r="I341" s="5"/>
    </row>
    <row r="342" spans="1:9" ht="36">
      <c r="A342" s="5"/>
      <c r="B342" s="5"/>
      <c r="C342" s="5"/>
      <c r="D342" s="5"/>
      <c r="E342" s="57" t="s">
        <v>677</v>
      </c>
      <c r="F342" s="5"/>
      <c r="G342" s="5"/>
      <c r="H342" s="5"/>
      <c r="I342" s="5"/>
    </row>
    <row r="343" spans="1:9" ht="60">
      <c r="A343" s="5"/>
      <c r="B343" s="5"/>
      <c r="C343" s="5"/>
      <c r="D343" s="5"/>
      <c r="E343" s="58" t="s">
        <v>660</v>
      </c>
      <c r="F343" s="5"/>
      <c r="G343" s="5"/>
      <c r="H343" s="5"/>
      <c r="I343" s="5"/>
    </row>
    <row r="344" spans="1:9" ht="60">
      <c r="A344" s="5"/>
      <c r="B344" s="5"/>
      <c r="C344" s="5"/>
      <c r="D344" s="5"/>
      <c r="E344" s="58" t="s">
        <v>3571</v>
      </c>
      <c r="F344" s="5"/>
      <c r="G344" s="5"/>
      <c r="H344" s="5"/>
      <c r="I344" s="5"/>
    </row>
    <row r="345" spans="1:9" ht="72">
      <c r="A345" s="5"/>
      <c r="B345" s="5"/>
      <c r="C345" s="5"/>
      <c r="D345" s="5"/>
      <c r="E345" s="58" t="s">
        <v>3572</v>
      </c>
      <c r="F345" s="5"/>
      <c r="G345" s="5"/>
      <c r="H345" s="5"/>
      <c r="I345" s="5"/>
    </row>
    <row r="346" spans="1:9" ht="60">
      <c r="A346" s="5"/>
      <c r="B346" s="5"/>
      <c r="C346" s="5"/>
      <c r="D346" s="5"/>
      <c r="E346" s="58" t="s">
        <v>3573</v>
      </c>
      <c r="F346" s="5"/>
      <c r="G346" s="5"/>
      <c r="H346" s="5"/>
      <c r="I346" s="5"/>
    </row>
    <row r="347" spans="1:9" ht="60">
      <c r="A347" s="5"/>
      <c r="B347" s="5"/>
      <c r="C347" s="5"/>
      <c r="D347" s="5"/>
      <c r="E347" s="58" t="s">
        <v>232</v>
      </c>
      <c r="F347" s="5"/>
      <c r="G347" s="5"/>
      <c r="H347" s="5"/>
      <c r="I347" s="5"/>
    </row>
    <row r="348" spans="1:9" ht="60">
      <c r="A348" s="5"/>
      <c r="B348" s="5"/>
      <c r="C348" s="5"/>
      <c r="D348" s="5"/>
      <c r="E348" s="58" t="s">
        <v>3574</v>
      </c>
      <c r="F348" s="5"/>
      <c r="G348" s="5"/>
      <c r="H348" s="5"/>
      <c r="I348" s="5"/>
    </row>
    <row r="349" spans="1:9" ht="48">
      <c r="A349" s="5"/>
      <c r="B349" s="5"/>
      <c r="C349" s="5"/>
      <c r="D349" s="5"/>
      <c r="E349" s="58" t="s">
        <v>401</v>
      </c>
      <c r="F349" s="5"/>
      <c r="G349" s="5"/>
      <c r="H349" s="5"/>
      <c r="I349" s="5"/>
    </row>
    <row r="350" spans="1:9" ht="84">
      <c r="A350" s="5"/>
      <c r="B350" s="5"/>
      <c r="C350" s="5"/>
      <c r="D350" s="5"/>
      <c r="E350" s="58" t="s">
        <v>1875</v>
      </c>
      <c r="F350" s="5"/>
      <c r="G350" s="5"/>
      <c r="H350" s="5"/>
      <c r="I350" s="5"/>
    </row>
    <row r="351" spans="1:9" ht="60">
      <c r="A351" s="5"/>
      <c r="B351" s="5"/>
      <c r="C351" s="5"/>
      <c r="D351" s="5"/>
      <c r="E351" s="58" t="s">
        <v>3575</v>
      </c>
      <c r="F351" s="5"/>
      <c r="G351" s="5"/>
      <c r="H351" s="5"/>
      <c r="I351" s="5"/>
    </row>
    <row r="352" spans="1:9" ht="84">
      <c r="A352" s="5"/>
      <c r="B352" s="5"/>
      <c r="C352" s="5"/>
      <c r="D352" s="5"/>
      <c r="E352" s="58" t="s">
        <v>2682</v>
      </c>
      <c r="F352" s="5"/>
      <c r="G352" s="5"/>
      <c r="H352" s="5"/>
      <c r="I352" s="5"/>
    </row>
    <row r="353" spans="1:9" ht="48">
      <c r="A353" s="5"/>
      <c r="B353" s="5"/>
      <c r="C353" s="5"/>
      <c r="D353" s="5"/>
      <c r="E353" s="58" t="s">
        <v>336</v>
      </c>
      <c r="F353" s="5"/>
      <c r="G353" s="5"/>
      <c r="H353" s="5"/>
      <c r="I353" s="5"/>
    </row>
    <row r="354" spans="1:9" ht="72">
      <c r="A354" s="5"/>
      <c r="B354" s="5"/>
      <c r="C354" s="5"/>
      <c r="D354" s="5"/>
      <c r="E354" s="57" t="s">
        <v>3576</v>
      </c>
      <c r="F354" s="5"/>
      <c r="G354" s="5"/>
      <c r="H354" s="5"/>
      <c r="I354" s="5"/>
    </row>
    <row r="355" spans="1:9" ht="107.25">
      <c r="A355" s="5"/>
      <c r="B355" s="5"/>
      <c r="C355" s="5"/>
      <c r="D355" s="5"/>
      <c r="E355" s="58" t="s">
        <v>3577</v>
      </c>
      <c r="F355" s="5"/>
      <c r="G355" s="5"/>
      <c r="H355" s="5"/>
      <c r="I355" s="5"/>
    </row>
    <row r="356" spans="1:9" ht="96">
      <c r="A356" s="5"/>
      <c r="B356" s="5"/>
      <c r="C356" s="5"/>
      <c r="D356" s="5"/>
      <c r="E356" s="58" t="s">
        <v>2402</v>
      </c>
      <c r="F356" s="5"/>
      <c r="G356" s="5"/>
      <c r="H356" s="5"/>
      <c r="I356" s="5"/>
    </row>
    <row r="357" spans="1:9" ht="84">
      <c r="A357" s="5"/>
      <c r="B357" s="5"/>
      <c r="C357" s="5"/>
      <c r="D357" s="5"/>
      <c r="E357" s="58" t="s">
        <v>3578</v>
      </c>
      <c r="F357" s="5"/>
      <c r="G357" s="5"/>
      <c r="H357" s="5"/>
      <c r="I357" s="5"/>
    </row>
    <row r="358" spans="1:9" ht="72">
      <c r="A358" s="5"/>
      <c r="B358" s="5"/>
      <c r="C358" s="5"/>
      <c r="D358" s="5"/>
      <c r="E358" s="58" t="s">
        <v>3579</v>
      </c>
      <c r="F358" s="5"/>
      <c r="G358" s="5"/>
      <c r="H358" s="5"/>
      <c r="I358" s="5"/>
    </row>
    <row r="359" spans="1:9" ht="142.5">
      <c r="A359" s="5"/>
      <c r="B359" s="5"/>
      <c r="C359" s="5"/>
      <c r="D359" s="5"/>
      <c r="E359" s="58" t="s">
        <v>3580</v>
      </c>
      <c r="F359" s="5"/>
      <c r="G359" s="5"/>
      <c r="H359" s="5"/>
      <c r="I359" s="5"/>
    </row>
    <row r="360" spans="1:9" ht="96">
      <c r="A360" s="5"/>
      <c r="B360" s="5"/>
      <c r="C360" s="5"/>
      <c r="D360" s="5"/>
      <c r="E360" s="58" t="s">
        <v>3581</v>
      </c>
      <c r="F360" s="5"/>
      <c r="G360" s="5"/>
      <c r="H360" s="5"/>
      <c r="I360" s="5"/>
    </row>
    <row r="361" spans="1:9" ht="24">
      <c r="A361" s="5"/>
      <c r="B361" s="5"/>
      <c r="C361" s="5"/>
      <c r="D361" s="5"/>
      <c r="E361" s="58" t="s">
        <v>3582</v>
      </c>
      <c r="F361" s="5"/>
      <c r="G361" s="5"/>
      <c r="H361" s="5"/>
      <c r="I361" s="5"/>
    </row>
    <row r="362" spans="1:9" ht="84">
      <c r="A362" s="5"/>
      <c r="B362" s="5"/>
      <c r="C362" s="5"/>
      <c r="D362" s="5"/>
      <c r="E362" s="57" t="s">
        <v>1040</v>
      </c>
      <c r="F362" s="5"/>
      <c r="G362" s="5"/>
      <c r="H362" s="5"/>
      <c r="I362" s="5"/>
    </row>
    <row r="363" spans="1:9" ht="72">
      <c r="A363" s="5"/>
      <c r="B363" s="5"/>
      <c r="C363" s="5"/>
      <c r="D363" s="5"/>
      <c r="E363" s="58" t="s">
        <v>2348</v>
      </c>
      <c r="F363" s="5"/>
      <c r="G363" s="5"/>
      <c r="H363" s="5"/>
      <c r="I363" s="5"/>
    </row>
    <row r="364" spans="1:9" ht="107.25">
      <c r="A364" s="5"/>
      <c r="B364" s="5"/>
      <c r="C364" s="5"/>
      <c r="D364" s="5"/>
      <c r="E364" s="58" t="s">
        <v>843</v>
      </c>
      <c r="F364" s="5"/>
      <c r="G364" s="5"/>
      <c r="H364" s="5"/>
      <c r="I364" s="5"/>
    </row>
    <row r="365" spans="1:9" ht="96">
      <c r="A365" s="5"/>
      <c r="B365" s="5"/>
      <c r="C365" s="5"/>
      <c r="D365" s="5"/>
      <c r="E365" s="58" t="s">
        <v>3583</v>
      </c>
      <c r="F365" s="5"/>
      <c r="G365" s="5"/>
      <c r="H365" s="5"/>
      <c r="I365" s="5"/>
    </row>
    <row r="366" spans="1:9" ht="96">
      <c r="A366" s="5"/>
      <c r="B366" s="5"/>
      <c r="C366" s="5"/>
      <c r="D366" s="5"/>
      <c r="E366" s="58" t="s">
        <v>2875</v>
      </c>
      <c r="F366" s="5"/>
      <c r="G366" s="5"/>
      <c r="H366" s="5"/>
      <c r="I366" s="5"/>
    </row>
    <row r="367" spans="1:9" ht="96">
      <c r="A367" s="5"/>
      <c r="B367" s="5"/>
      <c r="C367" s="5"/>
      <c r="D367" s="5"/>
      <c r="E367" s="58" t="s">
        <v>2983</v>
      </c>
      <c r="F367" s="5"/>
      <c r="G367" s="5"/>
      <c r="H367" s="5"/>
      <c r="I367" s="5"/>
    </row>
    <row r="368" spans="1:9" ht="72">
      <c r="A368" s="5"/>
      <c r="B368" s="5"/>
      <c r="C368" s="5"/>
      <c r="D368" s="5"/>
      <c r="E368" s="58" t="s">
        <v>3584</v>
      </c>
      <c r="F368" s="5"/>
      <c r="G368" s="5"/>
      <c r="H368" s="5"/>
      <c r="I368" s="5"/>
    </row>
    <row r="369" spans="1:9" ht="60">
      <c r="A369" s="5"/>
      <c r="B369" s="5"/>
      <c r="C369" s="5"/>
      <c r="D369" s="5"/>
      <c r="E369" s="58" t="s">
        <v>3585</v>
      </c>
      <c r="F369" s="5"/>
      <c r="G369" s="5"/>
      <c r="H369" s="5"/>
      <c r="I369" s="5"/>
    </row>
    <row r="370" spans="1:9" ht="60">
      <c r="A370" s="5"/>
      <c r="B370" s="5"/>
      <c r="C370" s="5"/>
      <c r="D370" s="5"/>
      <c r="E370" s="58" t="s">
        <v>3586</v>
      </c>
      <c r="F370" s="5"/>
      <c r="G370" s="5"/>
      <c r="H370" s="5"/>
      <c r="I370" s="5"/>
    </row>
    <row r="371" spans="1:9" ht="72">
      <c r="A371" s="5"/>
      <c r="B371" s="5"/>
      <c r="C371" s="5"/>
      <c r="D371" s="5"/>
      <c r="E371" s="58" t="s">
        <v>3587</v>
      </c>
      <c r="F371" s="5"/>
      <c r="G371" s="5"/>
      <c r="H371" s="5"/>
      <c r="I371" s="5"/>
    </row>
    <row r="372" spans="1:9" ht="60">
      <c r="A372" s="5"/>
      <c r="B372" s="5"/>
      <c r="C372" s="5"/>
      <c r="D372" s="5"/>
      <c r="E372" s="58" t="s">
        <v>3588</v>
      </c>
      <c r="F372" s="5"/>
      <c r="G372" s="5"/>
      <c r="H372" s="5"/>
      <c r="I372" s="5"/>
    </row>
    <row r="373" spans="1:9" ht="84">
      <c r="A373" s="5"/>
      <c r="B373" s="5"/>
      <c r="C373" s="5"/>
      <c r="D373" s="5"/>
      <c r="E373" s="58" t="s">
        <v>3205</v>
      </c>
      <c r="F373" s="5"/>
      <c r="G373" s="5"/>
      <c r="H373" s="5"/>
      <c r="I373" s="5"/>
    </row>
    <row r="374" spans="1:9" ht="96">
      <c r="A374" s="5"/>
      <c r="B374" s="5"/>
      <c r="C374" s="5"/>
      <c r="D374" s="5"/>
      <c r="E374" s="58" t="s">
        <v>2556</v>
      </c>
      <c r="F374" s="5"/>
      <c r="G374" s="5"/>
      <c r="H374" s="5"/>
      <c r="I374" s="5"/>
    </row>
    <row r="375" spans="1:9" ht="84">
      <c r="A375" s="5"/>
      <c r="B375" s="5"/>
      <c r="C375" s="5"/>
      <c r="D375" s="5"/>
      <c r="E375" s="58" t="s">
        <v>3589</v>
      </c>
      <c r="F375" s="5"/>
      <c r="G375" s="5"/>
      <c r="H375" s="5"/>
      <c r="I375" s="5"/>
    </row>
    <row r="376" spans="1:9" ht="60">
      <c r="A376" s="5"/>
      <c r="B376" s="5"/>
      <c r="C376" s="5"/>
      <c r="D376" s="5"/>
      <c r="E376" s="58" t="s">
        <v>1850</v>
      </c>
      <c r="F376" s="5"/>
      <c r="G376" s="5"/>
      <c r="H376" s="5"/>
      <c r="I376" s="5"/>
    </row>
    <row r="377" spans="1:9" ht="36">
      <c r="A377" s="5"/>
      <c r="B377" s="5"/>
      <c r="C377" s="5"/>
      <c r="D377" s="5"/>
      <c r="E377" s="58" t="s">
        <v>1756</v>
      </c>
      <c r="F377" s="5"/>
      <c r="G377" s="5"/>
      <c r="H377" s="5"/>
      <c r="I377" s="5"/>
    </row>
    <row r="378" spans="1:9" ht="107.25">
      <c r="A378" s="5"/>
      <c r="B378" s="5"/>
      <c r="C378" s="5"/>
      <c r="D378" s="5"/>
      <c r="E378" s="58" t="s">
        <v>205</v>
      </c>
      <c r="F378" s="5"/>
      <c r="G378" s="5"/>
      <c r="H378" s="5"/>
      <c r="I378" s="5"/>
    </row>
    <row r="379" spans="1:9" ht="84">
      <c r="A379" s="5"/>
      <c r="B379" s="5"/>
      <c r="C379" s="5"/>
      <c r="D379" s="5"/>
      <c r="E379" s="58" t="s">
        <v>3590</v>
      </c>
      <c r="F379" s="5"/>
      <c r="G379" s="5"/>
      <c r="H379" s="5"/>
      <c r="I379" s="5"/>
    </row>
    <row r="380" spans="1:9" ht="84">
      <c r="A380" s="5"/>
      <c r="B380" s="5"/>
      <c r="C380" s="5"/>
      <c r="D380" s="5"/>
      <c r="E380" s="58" t="s">
        <v>319</v>
      </c>
      <c r="F380" s="5"/>
      <c r="G380" s="5"/>
      <c r="H380" s="5"/>
      <c r="I380" s="5"/>
    </row>
    <row r="381" spans="1:9" ht="60">
      <c r="A381" s="5"/>
      <c r="B381" s="5"/>
      <c r="C381" s="5"/>
      <c r="D381" s="5"/>
      <c r="E381" s="58" t="s">
        <v>849</v>
      </c>
      <c r="F381" s="5"/>
      <c r="G381" s="5"/>
      <c r="H381" s="5"/>
      <c r="I381" s="5"/>
    </row>
    <row r="382" spans="1:9" ht="24">
      <c r="A382" s="5"/>
      <c r="B382" s="5"/>
      <c r="C382" s="5"/>
      <c r="D382" s="5"/>
      <c r="E382" s="58" t="s">
        <v>3591</v>
      </c>
      <c r="F382" s="5"/>
      <c r="G382" s="5"/>
      <c r="H382" s="5"/>
      <c r="I382" s="5"/>
    </row>
    <row r="383" spans="1:9" ht="36">
      <c r="A383" s="5"/>
      <c r="B383" s="5"/>
      <c r="C383" s="5"/>
      <c r="D383" s="5"/>
      <c r="E383" s="58" t="s">
        <v>3592</v>
      </c>
      <c r="F383" s="5"/>
      <c r="G383" s="5"/>
      <c r="H383" s="5"/>
      <c r="I383" s="5"/>
    </row>
    <row r="384" spans="1:9" ht="36">
      <c r="A384" s="5"/>
      <c r="B384" s="5"/>
      <c r="C384" s="5"/>
      <c r="D384" s="5"/>
      <c r="E384" s="58" t="s">
        <v>3593</v>
      </c>
      <c r="F384" s="5"/>
      <c r="G384" s="5"/>
      <c r="H384" s="5"/>
      <c r="I384" s="5"/>
    </row>
    <row r="385" spans="1:9" ht="36">
      <c r="A385" s="5"/>
      <c r="B385" s="5"/>
      <c r="C385" s="5"/>
      <c r="D385" s="5"/>
      <c r="E385" s="58" t="s">
        <v>3179</v>
      </c>
      <c r="F385" s="5"/>
      <c r="G385" s="5"/>
      <c r="H385" s="5"/>
      <c r="I385" s="5"/>
    </row>
    <row r="386" spans="1:9" ht="36">
      <c r="A386" s="5"/>
      <c r="B386" s="5"/>
      <c r="C386" s="5"/>
      <c r="D386" s="5"/>
      <c r="E386" s="58" t="s">
        <v>3594</v>
      </c>
      <c r="F386" s="5"/>
      <c r="G386" s="5"/>
      <c r="H386" s="5"/>
      <c r="I386" s="5"/>
    </row>
    <row r="387" spans="1:9" ht="72">
      <c r="A387" s="5"/>
      <c r="B387" s="5"/>
      <c r="C387" s="5"/>
      <c r="D387" s="5"/>
      <c r="E387" s="58" t="s">
        <v>883</v>
      </c>
      <c r="F387" s="5"/>
      <c r="G387" s="5"/>
      <c r="H387" s="5"/>
      <c r="I387" s="5"/>
    </row>
    <row r="388" spans="1:9" ht="96">
      <c r="A388" s="5"/>
      <c r="B388" s="5"/>
      <c r="C388" s="5"/>
      <c r="D388" s="5"/>
      <c r="E388" s="58" t="s">
        <v>738</v>
      </c>
      <c r="F388" s="5"/>
      <c r="G388" s="5"/>
      <c r="H388" s="5"/>
      <c r="I388" s="5"/>
    </row>
    <row r="389" spans="1:9" ht="24">
      <c r="A389" s="5"/>
      <c r="B389" s="5"/>
      <c r="C389" s="5"/>
      <c r="D389" s="5"/>
      <c r="E389" s="58" t="s">
        <v>2525</v>
      </c>
      <c r="F389" s="5"/>
      <c r="G389" s="5"/>
      <c r="H389" s="5"/>
      <c r="I389" s="5"/>
    </row>
    <row r="390" spans="1:9" ht="107.25">
      <c r="A390" s="5"/>
      <c r="B390" s="5"/>
      <c r="C390" s="5"/>
      <c r="D390" s="5"/>
      <c r="E390" s="58" t="s">
        <v>960</v>
      </c>
      <c r="F390" s="5"/>
      <c r="G390" s="5"/>
      <c r="H390" s="5"/>
      <c r="I390" s="5"/>
    </row>
    <row r="391" spans="1:9" ht="36">
      <c r="A391" s="5"/>
      <c r="B391" s="5"/>
      <c r="C391" s="5"/>
      <c r="D391" s="5"/>
      <c r="E391" s="58" t="s">
        <v>1003</v>
      </c>
      <c r="F391" s="5"/>
      <c r="G391" s="5"/>
      <c r="H391" s="5"/>
      <c r="I391" s="5"/>
    </row>
    <row r="392" spans="1:9" ht="84">
      <c r="A392" s="5"/>
      <c r="B392" s="5"/>
      <c r="C392" s="5"/>
      <c r="D392" s="5"/>
      <c r="E392" s="58" t="s">
        <v>3595</v>
      </c>
      <c r="F392" s="5"/>
      <c r="G392" s="5"/>
      <c r="H392" s="5"/>
      <c r="I392" s="5"/>
    </row>
    <row r="393" spans="1:9" ht="48">
      <c r="A393" s="5"/>
      <c r="B393" s="5"/>
      <c r="C393" s="5"/>
      <c r="D393" s="5"/>
      <c r="E393" s="58" t="s">
        <v>3596</v>
      </c>
      <c r="F393" s="5"/>
      <c r="G393" s="5"/>
      <c r="H393" s="5"/>
      <c r="I393" s="5"/>
    </row>
    <row r="394" spans="1:9" ht="48">
      <c r="A394" s="5"/>
      <c r="B394" s="5"/>
      <c r="C394" s="5"/>
      <c r="D394" s="5"/>
      <c r="E394" s="58" t="s">
        <v>3597</v>
      </c>
      <c r="F394" s="5"/>
      <c r="G394" s="5"/>
      <c r="H394" s="5"/>
      <c r="I394" s="5"/>
    </row>
    <row r="395" spans="1:9" ht="84">
      <c r="A395" s="5"/>
      <c r="B395" s="5"/>
      <c r="C395" s="5"/>
      <c r="D395" s="5"/>
      <c r="E395" s="58" t="s">
        <v>3598</v>
      </c>
      <c r="F395" s="5"/>
      <c r="G395" s="5"/>
      <c r="H395" s="5"/>
      <c r="I395" s="5"/>
    </row>
    <row r="396" spans="1:9" ht="72">
      <c r="A396" s="5"/>
      <c r="B396" s="5"/>
      <c r="C396" s="5"/>
      <c r="D396" s="5"/>
      <c r="E396" s="58" t="s">
        <v>3599</v>
      </c>
      <c r="F396" s="5"/>
      <c r="G396" s="5"/>
      <c r="H396" s="5"/>
      <c r="I396" s="5"/>
    </row>
    <row r="397" spans="1:9" ht="84">
      <c r="A397" s="5"/>
      <c r="B397" s="5"/>
      <c r="C397" s="5"/>
      <c r="D397" s="5"/>
      <c r="E397" s="58" t="s">
        <v>3600</v>
      </c>
      <c r="F397" s="5"/>
      <c r="G397" s="5"/>
      <c r="H397" s="5"/>
      <c r="I397" s="5"/>
    </row>
    <row r="398" spans="1:9" ht="84">
      <c r="A398" s="5"/>
      <c r="B398" s="5"/>
      <c r="C398" s="5"/>
      <c r="D398" s="5"/>
      <c r="E398" s="58" t="s">
        <v>3601</v>
      </c>
      <c r="F398" s="5"/>
      <c r="G398" s="5"/>
      <c r="H398" s="5"/>
      <c r="I398" s="5"/>
    </row>
    <row r="399" spans="1:9" ht="60">
      <c r="A399" s="5"/>
      <c r="B399" s="5"/>
      <c r="C399" s="5"/>
      <c r="D399" s="5"/>
      <c r="E399" s="58" t="s">
        <v>3602</v>
      </c>
      <c r="F399" s="5"/>
      <c r="G399" s="5"/>
      <c r="H399" s="5"/>
      <c r="I399" s="5"/>
    </row>
    <row r="400" spans="1:9" ht="48">
      <c r="A400" s="5"/>
      <c r="B400" s="5"/>
      <c r="C400" s="5"/>
      <c r="D400" s="5"/>
      <c r="E400" s="57" t="s">
        <v>3603</v>
      </c>
      <c r="F400" s="5"/>
      <c r="G400" s="5"/>
      <c r="H400" s="5"/>
      <c r="I400" s="5"/>
    </row>
    <row r="401" spans="1:9" ht="84">
      <c r="A401" s="5"/>
      <c r="B401" s="5"/>
      <c r="C401" s="5"/>
      <c r="D401" s="5"/>
      <c r="E401" s="58" t="s">
        <v>3604</v>
      </c>
      <c r="F401" s="5"/>
      <c r="G401" s="5"/>
      <c r="H401" s="5"/>
      <c r="I401" s="5"/>
    </row>
    <row r="402" spans="1:9" ht="84">
      <c r="A402" s="5"/>
      <c r="B402" s="5"/>
      <c r="C402" s="5"/>
      <c r="D402" s="5"/>
      <c r="E402" s="58" t="s">
        <v>3605</v>
      </c>
      <c r="F402" s="5"/>
      <c r="G402" s="5"/>
      <c r="H402" s="5"/>
      <c r="I402" s="5"/>
    </row>
    <row r="403" spans="1:9" ht="84">
      <c r="A403" s="5"/>
      <c r="B403" s="5"/>
      <c r="C403" s="5"/>
      <c r="D403" s="5"/>
      <c r="E403" s="58" t="s">
        <v>3606</v>
      </c>
      <c r="F403" s="5"/>
      <c r="G403" s="5"/>
      <c r="H403" s="5"/>
      <c r="I403" s="5"/>
    </row>
    <row r="404" spans="1:9" ht="118.5">
      <c r="A404" s="5"/>
      <c r="B404" s="5"/>
      <c r="C404" s="5"/>
      <c r="D404" s="5"/>
      <c r="E404" s="58" t="s">
        <v>3607</v>
      </c>
      <c r="F404" s="5"/>
      <c r="G404" s="5"/>
      <c r="H404" s="5"/>
      <c r="I404" s="5"/>
    </row>
    <row r="405" spans="1:9" ht="107.25">
      <c r="A405" s="5"/>
      <c r="B405" s="5"/>
      <c r="C405" s="5"/>
      <c r="D405" s="5"/>
      <c r="E405" s="58" t="s">
        <v>1702</v>
      </c>
      <c r="F405" s="5"/>
      <c r="G405" s="5"/>
      <c r="H405" s="5"/>
      <c r="I405" s="5"/>
    </row>
    <row r="406" spans="1:9" ht="60">
      <c r="A406" s="5"/>
      <c r="B406" s="5"/>
      <c r="C406" s="5"/>
      <c r="D406" s="5"/>
      <c r="E406" s="58" t="s">
        <v>3608</v>
      </c>
      <c r="F406" s="5"/>
      <c r="G406" s="5"/>
      <c r="H406" s="5"/>
      <c r="I406" s="5"/>
    </row>
    <row r="407" spans="1:9" ht="84">
      <c r="A407" s="5"/>
      <c r="B407" s="5"/>
      <c r="C407" s="5"/>
      <c r="D407" s="5"/>
      <c r="E407" s="58" t="s">
        <v>3609</v>
      </c>
      <c r="F407" s="5"/>
      <c r="G407" s="5"/>
      <c r="H407" s="5"/>
      <c r="I407" s="5"/>
    </row>
    <row r="408" spans="1:9" ht="96">
      <c r="A408" s="5"/>
      <c r="B408" s="5"/>
      <c r="C408" s="5"/>
      <c r="D408" s="5"/>
      <c r="E408" s="58" t="s">
        <v>3610</v>
      </c>
      <c r="F408" s="5"/>
      <c r="G408" s="5"/>
      <c r="H408" s="5"/>
      <c r="I408" s="5"/>
    </row>
    <row r="409" spans="1:9" ht="96">
      <c r="A409" s="5"/>
      <c r="B409" s="5"/>
      <c r="C409" s="5"/>
      <c r="D409" s="5"/>
      <c r="E409" s="58" t="s">
        <v>3611</v>
      </c>
      <c r="F409" s="5"/>
      <c r="G409" s="5"/>
      <c r="H409" s="5"/>
      <c r="I409" s="5"/>
    </row>
    <row r="410" spans="1:9" ht="96">
      <c r="A410" s="5"/>
      <c r="B410" s="5"/>
      <c r="C410" s="5"/>
      <c r="D410" s="5"/>
      <c r="E410" s="58" t="s">
        <v>3612</v>
      </c>
      <c r="F410" s="5"/>
      <c r="G410" s="5"/>
      <c r="H410" s="5"/>
      <c r="I410" s="5"/>
    </row>
    <row r="411" spans="1:9" ht="107.25">
      <c r="A411" s="5"/>
      <c r="B411" s="5"/>
      <c r="C411" s="5"/>
      <c r="D411" s="5"/>
      <c r="E411" s="58" t="s">
        <v>3613</v>
      </c>
      <c r="F411" s="5"/>
      <c r="G411" s="5"/>
      <c r="H411" s="5"/>
      <c r="I411" s="5"/>
    </row>
    <row r="412" spans="1:9" ht="84">
      <c r="A412" s="5"/>
      <c r="B412" s="5"/>
      <c r="C412" s="5"/>
      <c r="D412" s="5"/>
      <c r="E412" s="58" t="s">
        <v>3614</v>
      </c>
      <c r="F412" s="5"/>
      <c r="G412" s="5"/>
      <c r="H412" s="5"/>
      <c r="I412" s="5"/>
    </row>
    <row r="413" spans="1:9" ht="84">
      <c r="A413" s="5"/>
      <c r="B413" s="5"/>
      <c r="C413" s="5"/>
      <c r="D413" s="5"/>
      <c r="E413" s="58" t="s">
        <v>3615</v>
      </c>
      <c r="F413" s="5"/>
      <c r="G413" s="5"/>
      <c r="H413" s="5"/>
      <c r="I413" s="5"/>
    </row>
    <row r="414" spans="1:9" ht="84">
      <c r="A414" s="5"/>
      <c r="B414" s="5"/>
      <c r="C414" s="5"/>
      <c r="D414" s="5"/>
      <c r="E414" s="58" t="s">
        <v>3616</v>
      </c>
      <c r="F414" s="5"/>
      <c r="G414" s="5"/>
      <c r="H414" s="5"/>
      <c r="I414" s="5"/>
    </row>
    <row r="415" spans="1:9" ht="96">
      <c r="A415" s="5"/>
      <c r="B415" s="5"/>
      <c r="C415" s="5"/>
      <c r="D415" s="5"/>
      <c r="E415" s="58" t="s">
        <v>3617</v>
      </c>
      <c r="F415" s="5"/>
      <c r="G415" s="5"/>
      <c r="H415" s="5"/>
      <c r="I415" s="5"/>
    </row>
    <row r="416" spans="1:9" ht="107.25">
      <c r="A416" s="5"/>
      <c r="B416" s="5"/>
      <c r="C416" s="5"/>
      <c r="D416" s="5"/>
      <c r="E416" s="58" t="s">
        <v>3618</v>
      </c>
      <c r="F416" s="5"/>
      <c r="G416" s="5"/>
      <c r="H416" s="5"/>
      <c r="I416" s="5"/>
    </row>
    <row r="417" spans="1:9" ht="72">
      <c r="A417" s="5"/>
      <c r="B417" s="5"/>
      <c r="C417" s="5"/>
      <c r="D417" s="5"/>
      <c r="E417" s="58" t="s">
        <v>3619</v>
      </c>
      <c r="F417" s="5"/>
      <c r="G417" s="5"/>
      <c r="H417" s="5"/>
      <c r="I417" s="5"/>
    </row>
    <row r="418" spans="1:9" ht="84">
      <c r="A418" s="5"/>
      <c r="B418" s="5"/>
      <c r="C418" s="5"/>
      <c r="D418" s="5"/>
      <c r="E418" s="58" t="s">
        <v>3620</v>
      </c>
      <c r="F418" s="5"/>
      <c r="G418" s="5"/>
      <c r="H418" s="5"/>
      <c r="I418" s="5"/>
    </row>
    <row r="419" spans="1:9" ht="84">
      <c r="A419" s="5"/>
      <c r="B419" s="5"/>
      <c r="C419" s="5"/>
      <c r="D419" s="5"/>
      <c r="E419" s="58" t="s">
        <v>2580</v>
      </c>
      <c r="F419" s="5"/>
      <c r="G419" s="5"/>
      <c r="H419" s="5"/>
      <c r="I419" s="5"/>
    </row>
    <row r="420" spans="1:9" ht="84">
      <c r="A420" s="5"/>
      <c r="B420" s="5"/>
      <c r="C420" s="5"/>
      <c r="D420" s="5"/>
      <c r="E420" s="58" t="s">
        <v>3621</v>
      </c>
      <c r="F420" s="5"/>
      <c r="G420" s="5"/>
      <c r="H420" s="5"/>
      <c r="I420" s="5"/>
    </row>
    <row r="421" spans="1:9" ht="107.25">
      <c r="A421" s="5"/>
      <c r="B421" s="5"/>
      <c r="C421" s="5"/>
      <c r="D421" s="5"/>
      <c r="E421" s="58" t="s">
        <v>3622</v>
      </c>
      <c r="F421" s="5"/>
      <c r="G421" s="5"/>
      <c r="H421" s="5"/>
      <c r="I421" s="5"/>
    </row>
    <row r="422" spans="1:9" ht="72">
      <c r="A422" s="5"/>
      <c r="B422" s="5"/>
      <c r="C422" s="5"/>
      <c r="D422" s="5"/>
      <c r="E422" s="58" t="s">
        <v>3623</v>
      </c>
      <c r="F422" s="5"/>
      <c r="G422" s="5"/>
      <c r="H422" s="5"/>
      <c r="I422" s="5"/>
    </row>
    <row r="423" spans="1:9" ht="48">
      <c r="A423" s="5"/>
      <c r="B423" s="5"/>
      <c r="C423" s="5"/>
      <c r="D423" s="5"/>
      <c r="E423" s="58" t="s">
        <v>3624</v>
      </c>
      <c r="F423" s="5"/>
      <c r="G423" s="5"/>
      <c r="H423" s="5"/>
      <c r="I423" s="5"/>
    </row>
    <row r="424" spans="1:9" ht="60">
      <c r="A424" s="5"/>
      <c r="B424" s="5"/>
      <c r="C424" s="5"/>
      <c r="D424" s="5"/>
      <c r="E424" s="58" t="s">
        <v>3625</v>
      </c>
      <c r="F424" s="5"/>
      <c r="G424" s="5"/>
      <c r="H424" s="5"/>
      <c r="I424" s="5"/>
    </row>
    <row r="425" spans="1:9" ht="60">
      <c r="A425" s="5"/>
      <c r="B425" s="5"/>
      <c r="C425" s="5"/>
      <c r="D425" s="5"/>
      <c r="E425" s="57" t="s">
        <v>164</v>
      </c>
      <c r="F425" s="5"/>
      <c r="G425" s="5"/>
      <c r="H425" s="5"/>
      <c r="I425" s="5"/>
    </row>
    <row r="426" spans="1:9" ht="24">
      <c r="A426" s="5"/>
      <c r="B426" s="5"/>
      <c r="C426" s="5"/>
      <c r="D426" s="5"/>
      <c r="E426" s="58" t="s">
        <v>180</v>
      </c>
      <c r="F426" s="5"/>
      <c r="G426" s="5"/>
      <c r="H426" s="5"/>
      <c r="I426" s="5"/>
    </row>
    <row r="427" spans="1:9" ht="36">
      <c r="A427" s="5"/>
      <c r="B427" s="5"/>
      <c r="C427" s="5"/>
      <c r="D427" s="5"/>
      <c r="E427" s="58" t="s">
        <v>3626</v>
      </c>
      <c r="F427" s="5"/>
      <c r="G427" s="5"/>
      <c r="H427" s="5"/>
      <c r="I427" s="5"/>
    </row>
    <row r="428" spans="1:9" ht="24">
      <c r="A428" s="5"/>
      <c r="B428" s="5"/>
      <c r="C428" s="5"/>
      <c r="D428" s="5"/>
      <c r="E428" s="58" t="s">
        <v>3627</v>
      </c>
      <c r="F428" s="5"/>
      <c r="G428" s="5"/>
      <c r="H428" s="5"/>
      <c r="I428" s="5"/>
    </row>
    <row r="429" spans="1:9" ht="36">
      <c r="A429" s="5"/>
      <c r="B429" s="5"/>
      <c r="C429" s="5"/>
      <c r="D429" s="5"/>
      <c r="E429" s="58" t="s">
        <v>3628</v>
      </c>
      <c r="F429" s="5"/>
      <c r="G429" s="5"/>
      <c r="H429" s="5"/>
      <c r="I429" s="5"/>
    </row>
    <row r="430" spans="1:9" ht="24">
      <c r="A430" s="5"/>
      <c r="B430" s="5"/>
      <c r="C430" s="5"/>
      <c r="D430" s="5"/>
      <c r="E430" s="58" t="s">
        <v>3629</v>
      </c>
      <c r="F430" s="5"/>
      <c r="G430" s="5"/>
      <c r="H430" s="5"/>
      <c r="I430" s="5"/>
    </row>
    <row r="431" spans="1:9" ht="60">
      <c r="A431" s="5"/>
      <c r="B431" s="5"/>
      <c r="C431" s="5"/>
      <c r="D431" s="5"/>
      <c r="E431" s="58" t="s">
        <v>3630</v>
      </c>
      <c r="F431" s="5"/>
      <c r="G431" s="5"/>
      <c r="H431" s="5"/>
      <c r="I431" s="5"/>
    </row>
    <row r="432" spans="1:9" ht="24">
      <c r="A432" s="5"/>
      <c r="B432" s="5"/>
      <c r="C432" s="5"/>
      <c r="D432" s="5"/>
      <c r="E432" s="58" t="s">
        <v>3631</v>
      </c>
      <c r="F432" s="5"/>
      <c r="G432" s="5"/>
      <c r="H432" s="5"/>
      <c r="I432" s="5"/>
    </row>
    <row r="433" spans="1:9" ht="24">
      <c r="A433" s="5"/>
      <c r="B433" s="5"/>
      <c r="C433" s="5"/>
      <c r="D433" s="5"/>
      <c r="E433" s="58" t="s">
        <v>3632</v>
      </c>
      <c r="F433" s="5"/>
      <c r="G433" s="5"/>
      <c r="H433" s="5"/>
      <c r="I433" s="5"/>
    </row>
    <row r="434" spans="1:9" ht="36">
      <c r="A434" s="5"/>
      <c r="B434" s="5"/>
      <c r="C434" s="5"/>
      <c r="D434" s="5"/>
      <c r="E434" s="58" t="s">
        <v>3633</v>
      </c>
      <c r="F434" s="5"/>
      <c r="G434" s="5"/>
      <c r="H434" s="5"/>
      <c r="I434" s="5"/>
    </row>
    <row r="435" spans="1:9" ht="24">
      <c r="A435" s="5"/>
      <c r="B435" s="5"/>
      <c r="C435" s="5"/>
      <c r="D435" s="5"/>
      <c r="E435" s="58" t="s">
        <v>3634</v>
      </c>
      <c r="F435" s="5"/>
      <c r="G435" s="5"/>
      <c r="H435" s="5"/>
      <c r="I435" s="5"/>
    </row>
    <row r="436" spans="1:9" ht="36">
      <c r="A436" s="5"/>
      <c r="B436" s="5"/>
      <c r="C436" s="5"/>
      <c r="D436" s="5"/>
      <c r="E436" s="58" t="s">
        <v>3635</v>
      </c>
      <c r="F436" s="5"/>
      <c r="G436" s="5"/>
      <c r="H436" s="5"/>
      <c r="I436" s="5"/>
    </row>
    <row r="437" spans="1:9" ht="36">
      <c r="A437" s="5"/>
      <c r="B437" s="5"/>
      <c r="C437" s="5"/>
      <c r="D437" s="5"/>
      <c r="E437" s="58" t="s">
        <v>3636</v>
      </c>
      <c r="F437" s="5"/>
      <c r="G437" s="5"/>
      <c r="H437" s="5"/>
      <c r="I437" s="5"/>
    </row>
    <row r="438" spans="1:9" ht="36">
      <c r="A438" s="5"/>
      <c r="B438" s="5"/>
      <c r="C438" s="5"/>
      <c r="D438" s="5"/>
      <c r="E438" s="58" t="s">
        <v>3637</v>
      </c>
      <c r="F438" s="5"/>
      <c r="G438" s="5"/>
      <c r="H438" s="5"/>
      <c r="I438" s="5"/>
    </row>
    <row r="439" spans="1:9" ht="24">
      <c r="A439" s="5"/>
      <c r="B439" s="5"/>
      <c r="C439" s="5"/>
      <c r="D439" s="5"/>
      <c r="E439" s="58" t="s">
        <v>3638</v>
      </c>
      <c r="F439" s="5"/>
      <c r="G439" s="5"/>
      <c r="H439" s="5"/>
      <c r="I439" s="5"/>
    </row>
    <row r="440" spans="1:9" ht="48">
      <c r="A440" s="5"/>
      <c r="B440" s="5"/>
      <c r="C440" s="5"/>
      <c r="D440" s="5"/>
      <c r="E440" s="58" t="s">
        <v>3639</v>
      </c>
      <c r="F440" s="5"/>
      <c r="G440" s="5"/>
      <c r="H440" s="5"/>
      <c r="I440" s="5"/>
    </row>
    <row r="441" spans="1:9" ht="72">
      <c r="A441" s="5"/>
      <c r="B441" s="5"/>
      <c r="C441" s="5"/>
      <c r="D441" s="5"/>
      <c r="E441" s="58" t="s">
        <v>3640</v>
      </c>
      <c r="F441" s="5"/>
      <c r="G441" s="5"/>
      <c r="H441" s="5"/>
      <c r="I441" s="5"/>
    </row>
    <row r="442" spans="1:9" ht="84">
      <c r="A442" s="5"/>
      <c r="B442" s="5"/>
      <c r="C442" s="5"/>
      <c r="D442" s="5"/>
      <c r="E442" s="58" t="s">
        <v>3641</v>
      </c>
      <c r="F442" s="5"/>
      <c r="G442" s="5"/>
      <c r="H442" s="5"/>
      <c r="I442" s="5"/>
    </row>
    <row r="443" spans="1:9" ht="36">
      <c r="A443" s="5"/>
      <c r="B443" s="5"/>
      <c r="C443" s="5"/>
      <c r="D443" s="5"/>
      <c r="E443" s="58" t="s">
        <v>3642</v>
      </c>
      <c r="F443" s="5"/>
      <c r="G443" s="5"/>
      <c r="H443" s="5"/>
      <c r="I443" s="5"/>
    </row>
    <row r="444" spans="1:9" ht="24">
      <c r="A444" s="5"/>
      <c r="B444" s="5"/>
      <c r="C444" s="5"/>
      <c r="D444" s="5"/>
      <c r="E444" s="58" t="s">
        <v>3643</v>
      </c>
      <c r="F444" s="5"/>
      <c r="G444" s="5"/>
      <c r="H444" s="5"/>
      <c r="I444" s="5"/>
    </row>
    <row r="445" spans="1:9" ht="48">
      <c r="A445" s="5"/>
      <c r="B445" s="5"/>
      <c r="C445" s="5"/>
      <c r="D445" s="5"/>
      <c r="E445" s="58" t="s">
        <v>3644</v>
      </c>
      <c r="F445" s="5"/>
      <c r="G445" s="5"/>
      <c r="H445" s="5"/>
      <c r="I445" s="5"/>
    </row>
    <row r="446" spans="1:9" ht="24">
      <c r="A446" s="5"/>
      <c r="B446" s="5"/>
      <c r="C446" s="5"/>
      <c r="D446" s="5"/>
      <c r="E446" s="58" t="s">
        <v>3645</v>
      </c>
      <c r="F446" s="5"/>
      <c r="G446" s="5"/>
      <c r="H446" s="5"/>
      <c r="I446" s="5"/>
    </row>
    <row r="447" spans="1:9" ht="36">
      <c r="A447" s="5"/>
      <c r="B447" s="5"/>
      <c r="C447" s="5"/>
      <c r="D447" s="5"/>
      <c r="E447" s="58" t="s">
        <v>3646</v>
      </c>
      <c r="F447" s="5"/>
      <c r="G447" s="5"/>
      <c r="H447" s="5"/>
      <c r="I447" s="5"/>
    </row>
    <row r="448" spans="1:9" ht="36">
      <c r="A448" s="5"/>
      <c r="B448" s="5"/>
      <c r="C448" s="5"/>
      <c r="D448" s="5"/>
      <c r="E448" s="58" t="s">
        <v>3647</v>
      </c>
      <c r="F448" s="5"/>
      <c r="G448" s="5"/>
      <c r="H448" s="5"/>
      <c r="I448" s="5"/>
    </row>
    <row r="449" spans="1:9" ht="24">
      <c r="A449" s="5"/>
      <c r="B449" s="5"/>
      <c r="C449" s="5"/>
      <c r="D449" s="5"/>
      <c r="E449" s="58" t="s">
        <v>603</v>
      </c>
      <c r="F449" s="5"/>
      <c r="G449" s="5"/>
      <c r="H449" s="5"/>
      <c r="I449" s="5"/>
    </row>
    <row r="450" spans="1:9" ht="60">
      <c r="A450" s="5"/>
      <c r="B450" s="5"/>
      <c r="C450" s="5"/>
      <c r="D450" s="5"/>
      <c r="E450" s="58" t="s">
        <v>3648</v>
      </c>
      <c r="F450" s="5"/>
      <c r="G450" s="5"/>
      <c r="H450" s="5"/>
      <c r="I450" s="5"/>
    </row>
    <row r="451" spans="1:9" ht="36">
      <c r="A451" s="5"/>
      <c r="B451" s="5"/>
      <c r="C451" s="5"/>
      <c r="D451" s="5"/>
      <c r="E451" s="58" t="s">
        <v>3649</v>
      </c>
      <c r="F451" s="5"/>
      <c r="G451" s="5"/>
      <c r="H451" s="5"/>
      <c r="I451" s="5"/>
    </row>
    <row r="452" spans="1:9" ht="24">
      <c r="A452" s="5"/>
      <c r="B452" s="5"/>
      <c r="C452" s="5"/>
      <c r="D452" s="5"/>
      <c r="E452" s="58" t="s">
        <v>3650</v>
      </c>
      <c r="F452" s="5"/>
      <c r="G452" s="5"/>
      <c r="H452" s="5"/>
      <c r="I452" s="5"/>
    </row>
    <row r="453" spans="1:9" ht="60">
      <c r="A453" s="5"/>
      <c r="B453" s="5"/>
      <c r="C453" s="5"/>
      <c r="D453" s="5"/>
      <c r="E453" s="58" t="s">
        <v>3651</v>
      </c>
      <c r="F453" s="5"/>
      <c r="G453" s="5"/>
      <c r="H453" s="5"/>
      <c r="I453" s="5"/>
    </row>
    <row r="454" spans="1:9" ht="60">
      <c r="A454" s="5"/>
      <c r="B454" s="5"/>
      <c r="C454" s="5"/>
      <c r="D454" s="5"/>
      <c r="E454" s="58" t="s">
        <v>3652</v>
      </c>
      <c r="F454" s="5"/>
      <c r="G454" s="5"/>
      <c r="H454" s="5"/>
      <c r="I454" s="5"/>
    </row>
    <row r="455" spans="1:9" ht="36">
      <c r="A455" s="5"/>
      <c r="B455" s="5"/>
      <c r="C455" s="5"/>
      <c r="D455" s="5"/>
      <c r="E455" s="58" t="s">
        <v>3653</v>
      </c>
      <c r="F455" s="5"/>
      <c r="G455" s="5"/>
      <c r="H455" s="5"/>
      <c r="I455" s="5"/>
    </row>
    <row r="456" spans="1:9" ht="48">
      <c r="A456" s="5"/>
      <c r="B456" s="5"/>
      <c r="C456" s="5"/>
      <c r="D456" s="5"/>
      <c r="E456" s="58" t="s">
        <v>3654</v>
      </c>
      <c r="F456" s="5"/>
      <c r="G456" s="5"/>
      <c r="H456" s="5"/>
      <c r="I456" s="5"/>
    </row>
    <row r="457" spans="1:9" ht="24">
      <c r="A457" s="5"/>
      <c r="B457" s="5"/>
      <c r="C457" s="5"/>
      <c r="D457" s="5"/>
      <c r="E457" s="58" t="s">
        <v>3655</v>
      </c>
      <c r="F457" s="5"/>
      <c r="G457" s="5"/>
      <c r="H457" s="5"/>
      <c r="I457" s="5"/>
    </row>
    <row r="458" spans="1:9" ht="36">
      <c r="A458" s="5"/>
      <c r="B458" s="5"/>
      <c r="C458" s="5"/>
      <c r="D458" s="5"/>
      <c r="E458" s="58" t="s">
        <v>3656</v>
      </c>
      <c r="F458" s="5"/>
      <c r="G458" s="5"/>
      <c r="H458" s="5"/>
      <c r="I458" s="5"/>
    </row>
    <row r="459" spans="1:9" ht="36">
      <c r="A459" s="5"/>
      <c r="B459" s="5"/>
      <c r="C459" s="5"/>
      <c r="D459" s="5"/>
      <c r="E459" s="58" t="s">
        <v>3657</v>
      </c>
      <c r="F459" s="5"/>
      <c r="G459" s="5"/>
      <c r="H459" s="5"/>
      <c r="I459" s="5"/>
    </row>
    <row r="460" spans="1:9" ht="48">
      <c r="A460" s="5"/>
      <c r="B460" s="5"/>
      <c r="C460" s="5"/>
      <c r="D460" s="5"/>
      <c r="E460" s="58" t="s">
        <v>3658</v>
      </c>
      <c r="F460" s="5"/>
      <c r="G460" s="5"/>
      <c r="H460" s="5"/>
      <c r="I460" s="5"/>
    </row>
    <row r="461" spans="1:9" ht="36">
      <c r="A461" s="5"/>
      <c r="B461" s="5"/>
      <c r="C461" s="5"/>
      <c r="D461" s="5"/>
      <c r="E461" s="58" t="s">
        <v>3659</v>
      </c>
      <c r="F461" s="5"/>
      <c r="G461" s="5"/>
      <c r="H461" s="5"/>
      <c r="I461" s="5"/>
    </row>
    <row r="462" spans="1:9" ht="48">
      <c r="A462" s="5"/>
      <c r="B462" s="5"/>
      <c r="C462" s="5"/>
      <c r="D462" s="5"/>
      <c r="E462" s="58" t="s">
        <v>3660</v>
      </c>
      <c r="F462" s="5"/>
      <c r="G462" s="5"/>
      <c r="H462" s="5"/>
      <c r="I462" s="5"/>
    </row>
    <row r="463" spans="1:9" ht="24">
      <c r="A463" s="5"/>
      <c r="B463" s="5"/>
      <c r="C463" s="5"/>
      <c r="D463" s="5"/>
      <c r="E463" s="58" t="s">
        <v>3661</v>
      </c>
      <c r="F463" s="5"/>
      <c r="G463" s="5"/>
      <c r="H463" s="5"/>
      <c r="I463" s="5"/>
    </row>
    <row r="464" spans="1:9" ht="60">
      <c r="A464" s="5"/>
      <c r="B464" s="5"/>
      <c r="C464" s="5"/>
      <c r="D464" s="5"/>
      <c r="E464" s="58" t="s">
        <v>3662</v>
      </c>
      <c r="F464" s="5"/>
      <c r="G464" s="5"/>
      <c r="H464" s="5"/>
      <c r="I464" s="5"/>
    </row>
    <row r="465" spans="1:9" ht="84">
      <c r="A465" s="5"/>
      <c r="B465" s="5"/>
      <c r="C465" s="5"/>
      <c r="D465" s="5"/>
      <c r="E465" s="58" t="s">
        <v>3663</v>
      </c>
      <c r="F465" s="5"/>
      <c r="G465" s="5"/>
      <c r="H465" s="5"/>
      <c r="I465" s="5"/>
    </row>
    <row r="466" spans="1:9" ht="48">
      <c r="A466" s="5"/>
      <c r="B466" s="5"/>
      <c r="C466" s="5"/>
      <c r="D466" s="5"/>
      <c r="E466" s="58" t="s">
        <v>3664</v>
      </c>
      <c r="F466" s="5"/>
      <c r="G466" s="5"/>
      <c r="H466" s="5"/>
      <c r="I466" s="5"/>
    </row>
    <row r="467" spans="1:9" ht="36">
      <c r="A467" s="5"/>
      <c r="B467" s="5"/>
      <c r="C467" s="5"/>
      <c r="D467" s="5"/>
      <c r="E467" s="58" t="s">
        <v>837</v>
      </c>
      <c r="F467" s="5"/>
      <c r="G467" s="5"/>
      <c r="H467" s="5"/>
      <c r="I467" s="5"/>
    </row>
    <row r="468" spans="1:9" ht="60">
      <c r="A468" s="5"/>
      <c r="B468" s="5"/>
      <c r="C468" s="5"/>
      <c r="D468" s="5"/>
      <c r="E468" s="58" t="s">
        <v>3665</v>
      </c>
      <c r="F468" s="5"/>
      <c r="G468" s="5"/>
      <c r="H468" s="5"/>
      <c r="I468" s="5"/>
    </row>
    <row r="469" spans="1:9" ht="60">
      <c r="A469" s="5"/>
      <c r="B469" s="5"/>
      <c r="C469" s="5"/>
      <c r="D469" s="5"/>
      <c r="E469" s="58" t="s">
        <v>3666</v>
      </c>
      <c r="F469" s="5"/>
      <c r="G469" s="5"/>
      <c r="H469" s="5"/>
      <c r="I469" s="5"/>
    </row>
    <row r="470" spans="1:9" ht="60">
      <c r="A470" s="5"/>
      <c r="B470" s="5"/>
      <c r="C470" s="5"/>
      <c r="D470" s="5"/>
      <c r="E470" s="58" t="s">
        <v>3667</v>
      </c>
      <c r="F470" s="5"/>
      <c r="G470" s="5"/>
      <c r="H470" s="5"/>
      <c r="I470" s="5"/>
    </row>
    <row r="471" spans="1:9" ht="60">
      <c r="A471" s="5"/>
      <c r="B471" s="5"/>
      <c r="C471" s="5"/>
      <c r="D471" s="5"/>
      <c r="E471" s="58" t="s">
        <v>3668</v>
      </c>
      <c r="F471" s="5"/>
      <c r="G471" s="5"/>
      <c r="H471" s="5"/>
      <c r="I471" s="5"/>
    </row>
    <row r="472" spans="1:9" ht="72">
      <c r="A472" s="5"/>
      <c r="B472" s="5"/>
      <c r="C472" s="5"/>
      <c r="D472" s="5"/>
      <c r="E472" s="58" t="s">
        <v>3669</v>
      </c>
      <c r="F472" s="5"/>
      <c r="G472" s="5"/>
      <c r="H472" s="5"/>
      <c r="I472" s="5"/>
    </row>
    <row r="473" spans="1:9" ht="36">
      <c r="A473" s="5"/>
      <c r="B473" s="5"/>
      <c r="C473" s="5"/>
      <c r="D473" s="5"/>
      <c r="E473" s="58" t="s">
        <v>3670</v>
      </c>
      <c r="F473" s="5"/>
      <c r="G473" s="5"/>
      <c r="H473" s="5"/>
      <c r="I473" s="5"/>
    </row>
    <row r="474" spans="1:9" ht="36">
      <c r="A474" s="5"/>
      <c r="B474" s="5"/>
      <c r="C474" s="5"/>
      <c r="D474" s="5"/>
      <c r="E474" s="58" t="s">
        <v>721</v>
      </c>
      <c r="F474" s="5"/>
      <c r="G474" s="5"/>
      <c r="H474" s="5"/>
      <c r="I474" s="5"/>
    </row>
    <row r="475" spans="1:9" ht="60">
      <c r="A475" s="5"/>
      <c r="B475" s="5"/>
      <c r="C475" s="5"/>
      <c r="D475" s="5"/>
      <c r="E475" s="58" t="s">
        <v>3671</v>
      </c>
      <c r="F475" s="5"/>
      <c r="G475" s="5"/>
      <c r="H475" s="5"/>
      <c r="I475" s="5"/>
    </row>
    <row r="476" spans="1:9" ht="60">
      <c r="A476" s="5"/>
      <c r="B476" s="5"/>
      <c r="C476" s="5"/>
      <c r="D476" s="5"/>
      <c r="E476" s="58" t="s">
        <v>3672</v>
      </c>
      <c r="F476" s="5"/>
      <c r="G476" s="5"/>
      <c r="H476" s="5"/>
      <c r="I476" s="5"/>
    </row>
    <row r="477" spans="1:9" ht="24">
      <c r="A477" s="5"/>
      <c r="B477" s="5"/>
      <c r="C477" s="5"/>
      <c r="D477" s="5"/>
      <c r="E477" s="58" t="s">
        <v>3673</v>
      </c>
      <c r="F477" s="5"/>
      <c r="G477" s="5"/>
      <c r="H477" s="5"/>
      <c r="I477" s="5"/>
    </row>
    <row r="478" spans="1:9" ht="36">
      <c r="A478" s="5"/>
      <c r="B478" s="5"/>
      <c r="C478" s="5"/>
      <c r="D478" s="5"/>
      <c r="E478" s="58" t="s">
        <v>3674</v>
      </c>
      <c r="F478" s="5"/>
      <c r="G478" s="5"/>
      <c r="H478" s="5"/>
      <c r="I478" s="5"/>
    </row>
    <row r="479" spans="1:9" ht="60">
      <c r="A479" s="5"/>
      <c r="B479" s="5"/>
      <c r="C479" s="5"/>
      <c r="D479" s="5"/>
      <c r="E479" s="58" t="s">
        <v>3675</v>
      </c>
      <c r="F479" s="5"/>
      <c r="G479" s="5"/>
      <c r="H479" s="5"/>
      <c r="I479" s="5"/>
    </row>
    <row r="480" spans="1:9" ht="24">
      <c r="A480" s="5"/>
      <c r="B480" s="5"/>
      <c r="C480" s="5"/>
      <c r="D480" s="5"/>
      <c r="E480" s="58" t="s">
        <v>3676</v>
      </c>
      <c r="F480" s="5"/>
      <c r="G480" s="5"/>
      <c r="H480" s="5"/>
      <c r="I480" s="5"/>
    </row>
    <row r="481" spans="1:9" ht="24">
      <c r="A481" s="5"/>
      <c r="B481" s="5"/>
      <c r="C481" s="5"/>
      <c r="D481" s="5"/>
      <c r="E481" s="58" t="s">
        <v>3677</v>
      </c>
      <c r="F481" s="5"/>
      <c r="G481" s="5"/>
      <c r="H481" s="5"/>
      <c r="I481" s="5"/>
    </row>
    <row r="482" spans="1:9" ht="24">
      <c r="A482" s="5"/>
      <c r="B482" s="5"/>
      <c r="C482" s="5"/>
      <c r="D482" s="5"/>
      <c r="E482" s="58" t="s">
        <v>3678</v>
      </c>
      <c r="F482" s="5"/>
      <c r="G482" s="5"/>
      <c r="H482" s="5"/>
      <c r="I482" s="5"/>
    </row>
    <row r="483" spans="1:9" ht="24">
      <c r="A483" s="5"/>
      <c r="B483" s="5"/>
      <c r="C483" s="5"/>
      <c r="D483" s="5"/>
      <c r="E483" s="58" t="s">
        <v>3679</v>
      </c>
      <c r="F483" s="5"/>
      <c r="G483" s="5"/>
      <c r="H483" s="5"/>
      <c r="I483" s="5"/>
    </row>
    <row r="484" spans="1:9" ht="48">
      <c r="A484" s="5"/>
      <c r="B484" s="5"/>
      <c r="C484" s="5"/>
      <c r="D484" s="5"/>
      <c r="E484" s="58" t="s">
        <v>3680</v>
      </c>
      <c r="F484" s="5"/>
      <c r="G484" s="5"/>
      <c r="H484" s="5"/>
      <c r="I484" s="5"/>
    </row>
    <row r="485" spans="1:9" ht="36">
      <c r="A485" s="5"/>
      <c r="B485" s="5"/>
      <c r="C485" s="5"/>
      <c r="D485" s="5"/>
      <c r="E485" s="58" t="s">
        <v>3681</v>
      </c>
      <c r="F485" s="5"/>
      <c r="G485" s="5"/>
      <c r="H485" s="5"/>
      <c r="I485" s="5"/>
    </row>
    <row r="486" spans="1:9" ht="36">
      <c r="A486" s="5"/>
      <c r="B486" s="5"/>
      <c r="C486" s="5"/>
      <c r="D486" s="5"/>
      <c r="E486" s="58" t="s">
        <v>3682</v>
      </c>
      <c r="F486" s="5"/>
      <c r="G486" s="5"/>
      <c r="H486" s="5"/>
      <c r="I486" s="5"/>
    </row>
    <row r="487" spans="1:9" ht="84">
      <c r="A487" s="5"/>
      <c r="B487" s="5"/>
      <c r="C487" s="5"/>
      <c r="D487" s="5"/>
      <c r="E487" s="58" t="s">
        <v>3683</v>
      </c>
      <c r="F487" s="5"/>
      <c r="G487" s="5"/>
      <c r="H487" s="5"/>
      <c r="I487" s="5"/>
    </row>
    <row r="488" spans="1:9" ht="60">
      <c r="A488" s="5"/>
      <c r="B488" s="5"/>
      <c r="C488" s="5"/>
      <c r="D488" s="5"/>
      <c r="E488" s="58" t="s">
        <v>3684</v>
      </c>
      <c r="F488" s="5"/>
      <c r="G488" s="5"/>
      <c r="H488" s="5"/>
      <c r="I488" s="5"/>
    </row>
    <row r="489" spans="1:9" ht="60">
      <c r="A489" s="5"/>
      <c r="B489" s="5"/>
      <c r="C489" s="5"/>
      <c r="D489" s="5"/>
      <c r="E489" s="58" t="s">
        <v>3685</v>
      </c>
      <c r="F489" s="5"/>
      <c r="G489" s="5"/>
      <c r="H489" s="5"/>
      <c r="I489" s="5"/>
    </row>
    <row r="490" spans="1:9" ht="36">
      <c r="A490" s="5"/>
      <c r="B490" s="5"/>
      <c r="C490" s="5"/>
      <c r="D490" s="5"/>
      <c r="E490" s="58" t="s">
        <v>3686</v>
      </c>
      <c r="F490" s="5"/>
      <c r="G490" s="5"/>
      <c r="H490" s="5"/>
      <c r="I490" s="5"/>
    </row>
    <row r="491" spans="1:9" ht="24">
      <c r="A491" s="5"/>
      <c r="B491" s="5"/>
      <c r="C491" s="5"/>
      <c r="D491" s="5"/>
      <c r="E491" s="58" t="s">
        <v>3687</v>
      </c>
      <c r="F491" s="5"/>
      <c r="G491" s="5"/>
      <c r="H491" s="5"/>
      <c r="I491" s="5"/>
    </row>
    <row r="492" spans="1:9" ht="60">
      <c r="A492" s="5"/>
      <c r="B492" s="5"/>
      <c r="C492" s="5"/>
      <c r="D492" s="5"/>
      <c r="E492" s="58" t="s">
        <v>3688</v>
      </c>
      <c r="F492" s="5"/>
      <c r="G492" s="5"/>
      <c r="H492" s="5"/>
      <c r="I492" s="5"/>
    </row>
    <row r="493" spans="1:9" ht="60">
      <c r="A493" s="5"/>
      <c r="B493" s="5"/>
      <c r="C493" s="5"/>
      <c r="D493" s="5"/>
      <c r="E493" s="58" t="s">
        <v>3689</v>
      </c>
      <c r="F493" s="5"/>
      <c r="G493" s="5"/>
      <c r="H493" s="5"/>
      <c r="I493" s="5"/>
    </row>
    <row r="494" spans="1:9" ht="36">
      <c r="A494" s="5"/>
      <c r="B494" s="5"/>
      <c r="C494" s="5"/>
      <c r="D494" s="5"/>
      <c r="E494" s="58" t="s">
        <v>3690</v>
      </c>
      <c r="F494" s="5"/>
      <c r="G494" s="5"/>
      <c r="H494" s="5"/>
      <c r="I494" s="5"/>
    </row>
    <row r="495" spans="1:9" ht="24">
      <c r="A495" s="5"/>
      <c r="B495" s="5"/>
      <c r="C495" s="5"/>
      <c r="D495" s="5"/>
      <c r="E495" s="58" t="s">
        <v>3691</v>
      </c>
      <c r="F495" s="5"/>
      <c r="G495" s="5"/>
      <c r="H495" s="5"/>
      <c r="I495" s="5"/>
    </row>
    <row r="496" spans="1:9" ht="36">
      <c r="A496" s="5"/>
      <c r="B496" s="5"/>
      <c r="C496" s="5"/>
      <c r="D496" s="5"/>
      <c r="E496" s="58" t="s">
        <v>3692</v>
      </c>
      <c r="F496" s="5"/>
      <c r="G496" s="5"/>
      <c r="H496" s="5"/>
      <c r="I496" s="5"/>
    </row>
    <row r="497" spans="1:9" ht="72">
      <c r="A497" s="5"/>
      <c r="B497" s="5"/>
      <c r="C497" s="5"/>
      <c r="D497" s="5"/>
      <c r="E497" s="58" t="s">
        <v>3693</v>
      </c>
      <c r="F497" s="5"/>
      <c r="G497" s="5"/>
      <c r="H497" s="5"/>
      <c r="I497" s="5"/>
    </row>
    <row r="498" spans="1:9" ht="60">
      <c r="A498" s="5"/>
      <c r="B498" s="5"/>
      <c r="C498" s="5"/>
      <c r="D498" s="5"/>
      <c r="E498" s="58" t="s">
        <v>3694</v>
      </c>
      <c r="F498" s="5"/>
      <c r="G498" s="5"/>
      <c r="H498" s="5"/>
      <c r="I498" s="5"/>
    </row>
    <row r="499" spans="1:9" ht="60">
      <c r="A499" s="5"/>
      <c r="B499" s="5"/>
      <c r="C499" s="5"/>
      <c r="D499" s="5"/>
      <c r="E499" s="58" t="s">
        <v>3695</v>
      </c>
      <c r="F499" s="5"/>
      <c r="G499" s="5"/>
      <c r="H499" s="5"/>
      <c r="I499" s="5"/>
    </row>
    <row r="500" spans="1:9" ht="24">
      <c r="A500" s="5"/>
      <c r="B500" s="5"/>
      <c r="C500" s="5"/>
      <c r="D500" s="5"/>
      <c r="E500" s="58" t="s">
        <v>3696</v>
      </c>
      <c r="F500" s="5"/>
      <c r="G500" s="5"/>
      <c r="H500" s="5"/>
      <c r="I500" s="5"/>
    </row>
    <row r="501" spans="1:9" ht="36">
      <c r="A501" s="5"/>
      <c r="B501" s="5"/>
      <c r="C501" s="5"/>
      <c r="D501" s="5"/>
      <c r="E501" s="58" t="s">
        <v>3697</v>
      </c>
      <c r="F501" s="5"/>
      <c r="G501" s="5"/>
      <c r="H501" s="5"/>
      <c r="I501" s="5"/>
    </row>
    <row r="502" spans="1:9" ht="24">
      <c r="A502" s="5"/>
      <c r="B502" s="5"/>
      <c r="C502" s="5"/>
      <c r="D502" s="5"/>
      <c r="E502" s="58" t="s">
        <v>3698</v>
      </c>
      <c r="F502" s="5"/>
      <c r="G502" s="5"/>
      <c r="H502" s="5"/>
      <c r="I502" s="5"/>
    </row>
    <row r="503" spans="1:9" ht="24">
      <c r="A503" s="5"/>
      <c r="B503" s="5"/>
      <c r="C503" s="5"/>
      <c r="D503" s="5"/>
      <c r="E503" s="58" t="s">
        <v>3699</v>
      </c>
      <c r="F503" s="5"/>
      <c r="G503" s="5"/>
      <c r="H503" s="5"/>
      <c r="I503" s="5"/>
    </row>
    <row r="504" spans="1:9" ht="24">
      <c r="A504" s="5"/>
      <c r="B504" s="5"/>
      <c r="C504" s="5"/>
      <c r="D504" s="5"/>
      <c r="E504" s="58" t="s">
        <v>3700</v>
      </c>
      <c r="F504" s="5"/>
      <c r="G504" s="5"/>
      <c r="H504" s="5"/>
      <c r="I504" s="5"/>
    </row>
    <row r="505" spans="1:9" ht="24">
      <c r="A505" s="5"/>
      <c r="B505" s="5"/>
      <c r="C505" s="5"/>
      <c r="D505" s="5"/>
      <c r="E505" s="58" t="s">
        <v>3701</v>
      </c>
      <c r="F505" s="5"/>
      <c r="G505" s="5"/>
      <c r="H505" s="5"/>
      <c r="I505" s="5"/>
    </row>
    <row r="506" spans="1:9" ht="36">
      <c r="A506" s="5"/>
      <c r="B506" s="5"/>
      <c r="C506" s="5"/>
      <c r="D506" s="5"/>
      <c r="E506" s="58" t="s">
        <v>3702</v>
      </c>
      <c r="F506" s="5"/>
      <c r="G506" s="5"/>
      <c r="H506" s="5"/>
      <c r="I506" s="5"/>
    </row>
    <row r="507" spans="1:9" ht="36">
      <c r="A507" s="5"/>
      <c r="B507" s="5"/>
      <c r="C507" s="5"/>
      <c r="D507" s="5"/>
      <c r="E507" s="58" t="s">
        <v>3703</v>
      </c>
      <c r="F507" s="5"/>
      <c r="G507" s="5"/>
      <c r="H507" s="5"/>
      <c r="I507" s="5"/>
    </row>
    <row r="508" spans="1:9" ht="24">
      <c r="A508" s="5"/>
      <c r="B508" s="5"/>
      <c r="C508" s="5"/>
      <c r="D508" s="5"/>
      <c r="E508" s="58" t="s">
        <v>3704</v>
      </c>
      <c r="F508" s="5"/>
      <c r="G508" s="5"/>
      <c r="H508" s="5"/>
      <c r="I508" s="5"/>
    </row>
    <row r="509" spans="1:9" ht="48">
      <c r="A509" s="5"/>
      <c r="B509" s="5"/>
      <c r="C509" s="5"/>
      <c r="D509" s="5"/>
      <c r="E509" s="58" t="s">
        <v>3705</v>
      </c>
      <c r="F509" s="5"/>
      <c r="G509" s="5"/>
      <c r="H509" s="5"/>
      <c r="I509" s="5"/>
    </row>
    <row r="510" spans="1:9" ht="36">
      <c r="A510" s="5"/>
      <c r="B510" s="5"/>
      <c r="C510" s="5"/>
      <c r="D510" s="5"/>
      <c r="E510" s="58" t="s">
        <v>3706</v>
      </c>
      <c r="F510" s="5"/>
      <c r="G510" s="5"/>
      <c r="H510" s="5"/>
      <c r="I510" s="5"/>
    </row>
    <row r="511" spans="1:9" ht="48">
      <c r="A511" s="5"/>
      <c r="B511" s="5"/>
      <c r="C511" s="5"/>
      <c r="D511" s="5"/>
      <c r="E511" s="58" t="s">
        <v>3707</v>
      </c>
      <c r="F511" s="5"/>
      <c r="G511" s="5"/>
      <c r="H511" s="5"/>
      <c r="I511" s="5"/>
    </row>
    <row r="512" spans="1:9" ht="24">
      <c r="A512" s="5"/>
      <c r="B512" s="5"/>
      <c r="C512" s="5"/>
      <c r="D512" s="5"/>
      <c r="E512" s="58" t="s">
        <v>3708</v>
      </c>
      <c r="F512" s="5"/>
      <c r="G512" s="5"/>
      <c r="H512" s="5"/>
      <c r="I512" s="5"/>
    </row>
    <row r="513" spans="1:9" ht="48">
      <c r="A513" s="5"/>
      <c r="B513" s="5"/>
      <c r="C513" s="5"/>
      <c r="D513" s="5"/>
      <c r="E513" s="58" t="s">
        <v>3709</v>
      </c>
      <c r="F513" s="5"/>
      <c r="G513" s="5"/>
      <c r="H513" s="5"/>
      <c r="I513" s="5"/>
    </row>
    <row r="514" spans="1:9" ht="96">
      <c r="A514" s="5"/>
      <c r="B514" s="5"/>
      <c r="C514" s="5"/>
      <c r="D514" s="5"/>
      <c r="E514" s="58" t="s">
        <v>3710</v>
      </c>
      <c r="F514" s="5"/>
      <c r="G514" s="5"/>
      <c r="H514" s="5"/>
      <c r="I514" s="5"/>
    </row>
    <row r="515" spans="1:9" ht="48">
      <c r="A515" s="5"/>
      <c r="B515" s="5"/>
      <c r="C515" s="5"/>
      <c r="D515" s="5"/>
      <c r="E515" s="58" t="s">
        <v>3711</v>
      </c>
      <c r="F515" s="5"/>
      <c r="G515" s="5"/>
      <c r="H515" s="5"/>
      <c r="I515" s="5"/>
    </row>
    <row r="516" spans="1:9" ht="48">
      <c r="A516" s="5"/>
      <c r="B516" s="5"/>
      <c r="C516" s="5"/>
      <c r="D516" s="5"/>
      <c r="E516" s="58" t="s">
        <v>3712</v>
      </c>
      <c r="F516" s="5"/>
      <c r="G516" s="5"/>
      <c r="H516" s="5"/>
      <c r="I516" s="5"/>
    </row>
    <row r="517" spans="1:9" ht="48">
      <c r="A517" s="5"/>
      <c r="B517" s="5"/>
      <c r="C517" s="5"/>
      <c r="D517" s="5"/>
      <c r="E517" s="58" t="s">
        <v>3713</v>
      </c>
      <c r="F517" s="5"/>
      <c r="G517" s="5"/>
      <c r="H517" s="5"/>
      <c r="I517" s="5"/>
    </row>
    <row r="518" spans="1:9" ht="60">
      <c r="A518" s="5"/>
      <c r="B518" s="5"/>
      <c r="C518" s="5"/>
      <c r="D518" s="5"/>
      <c r="E518" s="58" t="s">
        <v>3714</v>
      </c>
      <c r="F518" s="5"/>
      <c r="G518" s="5"/>
      <c r="H518" s="5"/>
      <c r="I518" s="5"/>
    </row>
    <row r="519" spans="1:9" ht="60">
      <c r="A519" s="5"/>
      <c r="B519" s="5"/>
      <c r="C519" s="5"/>
      <c r="D519" s="5"/>
      <c r="E519" s="58" t="s">
        <v>3715</v>
      </c>
      <c r="F519" s="5"/>
      <c r="G519" s="5"/>
      <c r="H519" s="5"/>
      <c r="I519" s="5"/>
    </row>
    <row r="520" spans="1:9" ht="48">
      <c r="A520" s="5"/>
      <c r="B520" s="5"/>
      <c r="C520" s="5"/>
      <c r="D520" s="5"/>
      <c r="E520" s="58" t="s">
        <v>3716</v>
      </c>
      <c r="F520" s="5"/>
      <c r="G520" s="5"/>
      <c r="H520" s="5"/>
      <c r="I520" s="5"/>
    </row>
    <row r="521" spans="1:9" ht="72">
      <c r="A521" s="5"/>
      <c r="B521" s="5"/>
      <c r="C521" s="5"/>
      <c r="D521" s="5"/>
      <c r="E521" s="58" t="s">
        <v>3717</v>
      </c>
      <c r="F521" s="5"/>
      <c r="G521" s="5"/>
      <c r="H521" s="5"/>
      <c r="I521" s="5"/>
    </row>
    <row r="522" spans="1:9" ht="48">
      <c r="A522" s="5"/>
      <c r="B522" s="5"/>
      <c r="C522" s="5"/>
      <c r="D522" s="5"/>
      <c r="E522" s="58" t="s">
        <v>3718</v>
      </c>
      <c r="F522" s="5"/>
      <c r="G522" s="5"/>
      <c r="H522" s="5"/>
      <c r="I522" s="5"/>
    </row>
    <row r="523" spans="1:9" ht="24">
      <c r="A523" s="5"/>
      <c r="B523" s="5"/>
      <c r="C523" s="5"/>
      <c r="D523" s="5"/>
      <c r="E523" s="58" t="s">
        <v>3719</v>
      </c>
      <c r="F523" s="5"/>
      <c r="G523" s="5"/>
      <c r="H523" s="5"/>
      <c r="I523" s="5"/>
    </row>
    <row r="524" spans="1:9" ht="24">
      <c r="A524" s="5"/>
      <c r="B524" s="5"/>
      <c r="C524" s="5"/>
      <c r="D524" s="5"/>
      <c r="E524" s="58" t="s">
        <v>3720</v>
      </c>
      <c r="F524" s="5"/>
      <c r="G524" s="5"/>
      <c r="H524" s="5"/>
      <c r="I524" s="5"/>
    </row>
    <row r="525" spans="1:9" ht="24">
      <c r="A525" s="5"/>
      <c r="B525" s="5"/>
      <c r="C525" s="5"/>
      <c r="D525" s="5"/>
      <c r="E525" s="58" t="s">
        <v>3721</v>
      </c>
      <c r="F525" s="5"/>
      <c r="G525" s="5"/>
      <c r="H525" s="5"/>
      <c r="I525" s="5"/>
    </row>
    <row r="526" spans="1:9" ht="24">
      <c r="A526" s="5"/>
      <c r="B526" s="5"/>
      <c r="C526" s="5"/>
      <c r="D526" s="5"/>
      <c r="E526" s="58" t="s">
        <v>3722</v>
      </c>
      <c r="F526" s="5"/>
      <c r="G526" s="5"/>
      <c r="H526" s="5"/>
      <c r="I526" s="5"/>
    </row>
    <row r="527" spans="1:9" ht="24">
      <c r="A527" s="5"/>
      <c r="B527" s="5"/>
      <c r="C527" s="5"/>
      <c r="D527" s="5"/>
      <c r="E527" s="58" t="s">
        <v>3723</v>
      </c>
      <c r="F527" s="5"/>
      <c r="G527" s="5"/>
      <c r="H527" s="5"/>
      <c r="I527" s="5"/>
    </row>
    <row r="528" spans="1:9" ht="36">
      <c r="A528" s="5"/>
      <c r="B528" s="5"/>
      <c r="C528" s="5"/>
      <c r="D528" s="5"/>
      <c r="E528" s="58" t="s">
        <v>3724</v>
      </c>
      <c r="F528" s="5"/>
      <c r="G528" s="5"/>
      <c r="H528" s="5"/>
      <c r="I528" s="5"/>
    </row>
    <row r="529" spans="1:9" ht="60">
      <c r="A529" s="5"/>
      <c r="B529" s="5"/>
      <c r="C529" s="5"/>
      <c r="D529" s="5"/>
      <c r="E529" s="58" t="s">
        <v>3725</v>
      </c>
      <c r="F529" s="5"/>
      <c r="G529" s="5"/>
      <c r="H529" s="5"/>
      <c r="I529" s="5"/>
    </row>
    <row r="530" spans="1:9" ht="60">
      <c r="A530" s="5"/>
      <c r="B530" s="5"/>
      <c r="C530" s="5"/>
      <c r="D530" s="5"/>
      <c r="E530" s="58" t="s">
        <v>3726</v>
      </c>
      <c r="F530" s="5"/>
      <c r="G530" s="5"/>
      <c r="H530" s="5"/>
      <c r="I530" s="5"/>
    </row>
    <row r="531" spans="1:9" ht="36">
      <c r="A531" s="5"/>
      <c r="B531" s="5"/>
      <c r="C531" s="5"/>
      <c r="D531" s="5"/>
      <c r="E531" s="58" t="s">
        <v>3727</v>
      </c>
      <c r="F531" s="5"/>
      <c r="G531" s="5"/>
      <c r="H531" s="5"/>
      <c r="I531" s="5"/>
    </row>
    <row r="532" spans="1:9" ht="24">
      <c r="A532" s="5"/>
      <c r="B532" s="5"/>
      <c r="C532" s="5"/>
      <c r="D532" s="5"/>
      <c r="E532" s="58" t="s">
        <v>3728</v>
      </c>
      <c r="F532" s="5"/>
      <c r="G532" s="5"/>
      <c r="H532" s="5"/>
      <c r="I532" s="5"/>
    </row>
    <row r="533" spans="1:9" ht="24">
      <c r="A533" s="5"/>
      <c r="B533" s="5"/>
      <c r="C533" s="5"/>
      <c r="D533" s="5"/>
      <c r="E533" s="58" t="s">
        <v>1087</v>
      </c>
      <c r="F533" s="5"/>
      <c r="G533" s="5"/>
      <c r="H533" s="5"/>
      <c r="I533" s="5"/>
    </row>
    <row r="534" spans="1:9" ht="24">
      <c r="A534" s="5"/>
      <c r="B534" s="5"/>
      <c r="C534" s="5"/>
      <c r="D534" s="5"/>
      <c r="E534" s="58" t="s">
        <v>3729</v>
      </c>
      <c r="F534" s="5"/>
      <c r="G534" s="5"/>
      <c r="H534" s="5"/>
      <c r="I534" s="5"/>
    </row>
    <row r="535" spans="1:9" ht="36">
      <c r="A535" s="5"/>
      <c r="B535" s="5"/>
      <c r="C535" s="5"/>
      <c r="D535" s="5"/>
      <c r="E535" s="58" t="s">
        <v>3730</v>
      </c>
      <c r="F535" s="5"/>
      <c r="G535" s="5"/>
      <c r="H535" s="5"/>
      <c r="I535" s="5"/>
    </row>
    <row r="536" spans="1:9" ht="24">
      <c r="A536" s="5"/>
      <c r="B536" s="5"/>
      <c r="C536" s="5"/>
      <c r="D536" s="5"/>
      <c r="E536" s="58" t="s">
        <v>3731</v>
      </c>
      <c r="F536" s="5"/>
      <c r="G536" s="5"/>
      <c r="H536" s="5"/>
      <c r="I536" s="5"/>
    </row>
    <row r="537" spans="1:9" ht="24">
      <c r="A537" s="5"/>
      <c r="B537" s="5"/>
      <c r="C537" s="5"/>
      <c r="D537" s="5"/>
      <c r="E537" s="58" t="s">
        <v>3732</v>
      </c>
      <c r="F537" s="5"/>
      <c r="G537" s="5"/>
      <c r="H537" s="5"/>
      <c r="I537" s="5"/>
    </row>
    <row r="538" spans="1:9" ht="84">
      <c r="A538" s="5"/>
      <c r="B538" s="5"/>
      <c r="C538" s="5"/>
      <c r="D538" s="5"/>
      <c r="E538" s="58" t="s">
        <v>3733</v>
      </c>
      <c r="F538" s="5"/>
      <c r="G538" s="5"/>
      <c r="H538" s="5"/>
      <c r="I538" s="5"/>
    </row>
    <row r="539" spans="1:9" ht="24">
      <c r="A539" s="5"/>
      <c r="B539" s="5"/>
      <c r="C539" s="5"/>
      <c r="D539" s="5"/>
      <c r="E539" s="58" t="s">
        <v>1029</v>
      </c>
      <c r="F539" s="5"/>
      <c r="G539" s="5"/>
      <c r="H539" s="5"/>
      <c r="I539" s="5"/>
    </row>
    <row r="540" spans="1:9" ht="48">
      <c r="A540" s="5"/>
      <c r="B540" s="5"/>
      <c r="C540" s="5"/>
      <c r="D540" s="5"/>
      <c r="E540" s="58" t="s">
        <v>3734</v>
      </c>
      <c r="F540" s="5"/>
      <c r="G540" s="5"/>
      <c r="H540" s="5"/>
      <c r="I540" s="5"/>
    </row>
    <row r="541" spans="1:9" ht="96">
      <c r="A541" s="5"/>
      <c r="B541" s="5"/>
      <c r="C541" s="5"/>
      <c r="D541" s="5"/>
      <c r="E541" s="58" t="s">
        <v>3735</v>
      </c>
      <c r="F541" s="5"/>
      <c r="G541" s="5"/>
      <c r="H541" s="5"/>
      <c r="I541" s="5"/>
    </row>
    <row r="542" spans="1:9" ht="48">
      <c r="A542" s="5"/>
      <c r="B542" s="5"/>
      <c r="C542" s="5"/>
      <c r="D542" s="5"/>
      <c r="E542" s="58" t="s">
        <v>3736</v>
      </c>
      <c r="F542" s="5"/>
      <c r="G542" s="5"/>
      <c r="H542" s="5"/>
      <c r="I542" s="5"/>
    </row>
    <row r="543" spans="1:9" ht="48">
      <c r="A543" s="5"/>
      <c r="B543" s="5"/>
      <c r="C543" s="5"/>
      <c r="D543" s="5"/>
      <c r="E543" s="58" t="s">
        <v>3737</v>
      </c>
      <c r="F543" s="5"/>
      <c r="G543" s="5"/>
      <c r="H543" s="5"/>
      <c r="I543" s="5"/>
    </row>
    <row r="544" spans="1:9" ht="48">
      <c r="A544" s="5"/>
      <c r="B544" s="5"/>
      <c r="C544" s="5"/>
      <c r="D544" s="5"/>
      <c r="E544" s="58" t="s">
        <v>3738</v>
      </c>
      <c r="F544" s="5"/>
      <c r="G544" s="5"/>
      <c r="H544" s="5"/>
      <c r="I544" s="5"/>
    </row>
    <row r="545" spans="1:9" ht="60">
      <c r="A545" s="5"/>
      <c r="B545" s="5"/>
      <c r="C545" s="5"/>
      <c r="D545" s="5"/>
      <c r="E545" s="58" t="s">
        <v>3739</v>
      </c>
      <c r="F545" s="5"/>
      <c r="G545" s="5"/>
      <c r="H545" s="5"/>
      <c r="I545" s="5"/>
    </row>
    <row r="546" spans="1:9" ht="48">
      <c r="A546" s="5"/>
      <c r="B546" s="5"/>
      <c r="C546" s="5"/>
      <c r="D546" s="5"/>
      <c r="E546" s="58" t="s">
        <v>3740</v>
      </c>
      <c r="F546" s="5"/>
      <c r="G546" s="5"/>
      <c r="H546" s="5"/>
      <c r="I546" s="5"/>
    </row>
    <row r="547" spans="1:9" ht="48">
      <c r="A547" s="5"/>
      <c r="B547" s="5"/>
      <c r="C547" s="5"/>
      <c r="D547" s="5"/>
      <c r="E547" s="58" t="s">
        <v>3741</v>
      </c>
      <c r="F547" s="5"/>
      <c r="G547" s="5"/>
      <c r="H547" s="5"/>
      <c r="I547" s="5"/>
    </row>
    <row r="548" spans="1:9" ht="72">
      <c r="A548" s="5"/>
      <c r="B548" s="5"/>
      <c r="C548" s="5"/>
      <c r="D548" s="5"/>
      <c r="E548" s="58" t="s">
        <v>3742</v>
      </c>
      <c r="F548" s="5"/>
      <c r="G548" s="5"/>
      <c r="H548" s="5"/>
      <c r="I548" s="5"/>
    </row>
    <row r="549" spans="1:9" ht="48">
      <c r="A549" s="5"/>
      <c r="B549" s="5"/>
      <c r="C549" s="5"/>
      <c r="D549" s="5"/>
      <c r="E549" s="58" t="s">
        <v>3743</v>
      </c>
      <c r="F549" s="5"/>
      <c r="G549" s="5"/>
      <c r="H549" s="5"/>
      <c r="I549" s="5"/>
    </row>
    <row r="550" spans="1:9" ht="48">
      <c r="A550" s="5"/>
      <c r="B550" s="5"/>
      <c r="C550" s="5"/>
      <c r="D550" s="5"/>
      <c r="E550" s="58" t="s">
        <v>3744</v>
      </c>
      <c r="F550" s="5"/>
      <c r="G550" s="5"/>
      <c r="H550" s="5"/>
      <c r="I550" s="5"/>
    </row>
    <row r="551" spans="1:9" ht="24">
      <c r="A551" s="5"/>
      <c r="B551" s="5"/>
      <c r="C551" s="5"/>
      <c r="D551" s="5"/>
      <c r="E551" s="58" t="s">
        <v>3745</v>
      </c>
      <c r="F551" s="5"/>
      <c r="G551" s="5"/>
      <c r="H551" s="5"/>
      <c r="I551" s="5"/>
    </row>
    <row r="552" spans="1:9" ht="24">
      <c r="A552" s="5"/>
      <c r="B552" s="5"/>
      <c r="C552" s="5"/>
      <c r="D552" s="5"/>
      <c r="E552" s="58" t="s">
        <v>3746</v>
      </c>
      <c r="F552" s="5"/>
      <c r="G552" s="5"/>
      <c r="H552" s="5"/>
      <c r="I552" s="5"/>
    </row>
    <row r="553" spans="1:9" ht="60">
      <c r="A553" s="5"/>
      <c r="B553" s="5"/>
      <c r="C553" s="5"/>
      <c r="D553" s="5"/>
      <c r="E553" s="58" t="s">
        <v>3747</v>
      </c>
      <c r="F553" s="5"/>
      <c r="G553" s="5"/>
      <c r="H553" s="5"/>
      <c r="I553" s="5"/>
    </row>
    <row r="554" spans="1:9" ht="60">
      <c r="A554" s="5"/>
      <c r="B554" s="5"/>
      <c r="C554" s="5"/>
      <c r="D554" s="5"/>
      <c r="E554" s="58" t="s">
        <v>3748</v>
      </c>
      <c r="F554" s="5"/>
      <c r="G554" s="5"/>
      <c r="H554" s="5"/>
      <c r="I554" s="5"/>
    </row>
    <row r="555" spans="1:9" ht="36">
      <c r="A555" s="5"/>
      <c r="B555" s="5"/>
      <c r="C555" s="5"/>
      <c r="D555" s="5"/>
      <c r="E555" s="58" t="s">
        <v>3749</v>
      </c>
      <c r="F555" s="5"/>
      <c r="G555" s="5"/>
      <c r="H555" s="5"/>
      <c r="I555" s="5"/>
    </row>
    <row r="556" spans="1:9" ht="24">
      <c r="A556" s="5"/>
      <c r="B556" s="5"/>
      <c r="C556" s="5"/>
      <c r="D556" s="5"/>
      <c r="E556" s="58" t="s">
        <v>3750</v>
      </c>
      <c r="F556" s="5"/>
      <c r="G556" s="5"/>
      <c r="H556" s="5"/>
      <c r="I556" s="5"/>
    </row>
    <row r="557" spans="1:9" ht="24">
      <c r="A557" s="5"/>
      <c r="B557" s="5"/>
      <c r="C557" s="5"/>
      <c r="D557" s="5"/>
      <c r="E557" s="58" t="s">
        <v>684</v>
      </c>
      <c r="F557" s="5"/>
      <c r="G557" s="5"/>
      <c r="H557" s="5"/>
      <c r="I557" s="5"/>
    </row>
    <row r="558" spans="1:9" ht="36">
      <c r="A558" s="5"/>
      <c r="B558" s="5"/>
      <c r="C558" s="5"/>
      <c r="D558" s="5"/>
      <c r="E558" s="58" t="s">
        <v>3751</v>
      </c>
      <c r="F558" s="5"/>
      <c r="G558" s="5"/>
      <c r="H558" s="5"/>
      <c r="I558" s="5"/>
    </row>
    <row r="559" spans="1:9" ht="24">
      <c r="A559" s="5"/>
      <c r="B559" s="5"/>
      <c r="C559" s="5"/>
      <c r="D559" s="5"/>
      <c r="E559" s="58" t="s">
        <v>3752</v>
      </c>
      <c r="F559" s="5"/>
      <c r="G559" s="5"/>
      <c r="H559" s="5"/>
      <c r="I559" s="5"/>
    </row>
    <row r="560" spans="1:9" ht="24">
      <c r="A560" s="5"/>
      <c r="B560" s="5"/>
      <c r="C560" s="5"/>
      <c r="D560" s="5"/>
      <c r="E560" s="58" t="s">
        <v>3753</v>
      </c>
      <c r="F560" s="5"/>
      <c r="G560" s="5"/>
      <c r="H560" s="5"/>
      <c r="I560" s="5"/>
    </row>
    <row r="561" spans="1:9" ht="24">
      <c r="A561" s="5"/>
      <c r="B561" s="5"/>
      <c r="C561" s="5"/>
      <c r="D561" s="5"/>
      <c r="E561" s="58" t="s">
        <v>3754</v>
      </c>
      <c r="F561" s="5"/>
      <c r="G561" s="5"/>
      <c r="H561" s="5"/>
      <c r="I561" s="5"/>
    </row>
    <row r="562" spans="1:9" ht="48">
      <c r="A562" s="5"/>
      <c r="B562" s="5"/>
      <c r="C562" s="5"/>
      <c r="D562" s="5"/>
      <c r="E562" s="58" t="s">
        <v>3755</v>
      </c>
      <c r="F562" s="5"/>
      <c r="G562" s="5"/>
      <c r="H562" s="5"/>
      <c r="I562" s="5"/>
    </row>
    <row r="563" spans="1:9" ht="24">
      <c r="A563" s="5"/>
      <c r="B563" s="5"/>
      <c r="C563" s="5"/>
      <c r="D563" s="5"/>
      <c r="E563" s="58" t="s">
        <v>3756</v>
      </c>
      <c r="F563" s="5"/>
      <c r="G563" s="5"/>
      <c r="H563" s="5"/>
      <c r="I563" s="5"/>
    </row>
    <row r="564" spans="1:9" ht="24">
      <c r="A564" s="5"/>
      <c r="B564" s="5"/>
      <c r="C564" s="5"/>
      <c r="D564" s="5"/>
      <c r="E564" s="58" t="s">
        <v>3757</v>
      </c>
      <c r="F564" s="5"/>
      <c r="G564" s="5"/>
      <c r="H564" s="5"/>
      <c r="I564" s="5"/>
    </row>
    <row r="565" spans="1:9" ht="24">
      <c r="A565" s="5"/>
      <c r="B565" s="5"/>
      <c r="C565" s="5"/>
      <c r="D565" s="5"/>
      <c r="E565" s="58" t="s">
        <v>3758</v>
      </c>
      <c r="F565" s="5"/>
      <c r="G565" s="5"/>
      <c r="H565" s="5"/>
      <c r="I565" s="5"/>
    </row>
    <row r="566" spans="1:9" ht="24">
      <c r="A566" s="5"/>
      <c r="B566" s="5"/>
      <c r="C566" s="5"/>
      <c r="D566" s="5"/>
      <c r="E566" s="58" t="s">
        <v>3759</v>
      </c>
      <c r="F566" s="5"/>
      <c r="G566" s="5"/>
      <c r="H566" s="5"/>
      <c r="I566" s="5"/>
    </row>
    <row r="567" spans="1:9" ht="24">
      <c r="A567" s="5"/>
      <c r="B567" s="5"/>
      <c r="C567" s="5"/>
      <c r="D567" s="5"/>
      <c r="E567" s="58" t="s">
        <v>3760</v>
      </c>
      <c r="F567" s="5"/>
      <c r="G567" s="5"/>
      <c r="H567" s="5"/>
      <c r="I567" s="5"/>
    </row>
    <row r="568" spans="1:9" ht="36">
      <c r="A568" s="5"/>
      <c r="B568" s="5"/>
      <c r="C568" s="5"/>
      <c r="D568" s="5"/>
      <c r="E568" s="58" t="s">
        <v>3761</v>
      </c>
      <c r="F568" s="5"/>
      <c r="G568" s="5"/>
      <c r="H568" s="5"/>
      <c r="I568" s="5"/>
    </row>
    <row r="569" spans="1:9" ht="36">
      <c r="A569" s="5"/>
      <c r="B569" s="5"/>
      <c r="C569" s="5"/>
      <c r="D569" s="5"/>
      <c r="E569" s="58" t="s">
        <v>3762</v>
      </c>
      <c r="F569" s="5"/>
      <c r="G569" s="5"/>
      <c r="H569" s="5"/>
      <c r="I569" s="5"/>
    </row>
    <row r="570" spans="1:9" ht="36">
      <c r="A570" s="5"/>
      <c r="B570" s="5"/>
      <c r="C570" s="5"/>
      <c r="D570" s="5"/>
      <c r="E570" s="58" t="s">
        <v>3763</v>
      </c>
      <c r="F570" s="5"/>
      <c r="G570" s="5"/>
      <c r="H570" s="5"/>
      <c r="I570" s="5"/>
    </row>
    <row r="571" spans="1:9" ht="60">
      <c r="A571" s="5"/>
      <c r="B571" s="5"/>
      <c r="C571" s="5"/>
      <c r="D571" s="5"/>
      <c r="E571" s="58" t="s">
        <v>3764</v>
      </c>
      <c r="F571" s="5"/>
      <c r="G571" s="5"/>
      <c r="H571" s="5"/>
      <c r="I571" s="5"/>
    </row>
    <row r="572" spans="1:9" ht="60">
      <c r="A572" s="5"/>
      <c r="B572" s="5"/>
      <c r="C572" s="5"/>
      <c r="D572" s="5"/>
      <c r="E572" s="58" t="s">
        <v>3765</v>
      </c>
      <c r="F572" s="5"/>
      <c r="G572" s="5"/>
      <c r="H572" s="5"/>
      <c r="I572" s="5"/>
    </row>
    <row r="573" spans="1:9" ht="60">
      <c r="A573" s="5"/>
      <c r="B573" s="5"/>
      <c r="C573" s="5"/>
      <c r="D573" s="5"/>
      <c r="E573" s="58" t="s">
        <v>3766</v>
      </c>
      <c r="F573" s="5"/>
      <c r="G573" s="5"/>
      <c r="H573" s="5"/>
      <c r="I573" s="5"/>
    </row>
    <row r="574" spans="1:9" ht="36">
      <c r="A574" s="5"/>
      <c r="B574" s="5"/>
      <c r="C574" s="5"/>
      <c r="D574" s="5"/>
      <c r="E574" s="58" t="s">
        <v>3767</v>
      </c>
      <c r="F574" s="5"/>
      <c r="G574" s="5"/>
      <c r="H574" s="5"/>
      <c r="I574" s="5"/>
    </row>
    <row r="575" spans="1:9" ht="24">
      <c r="A575" s="5"/>
      <c r="B575" s="5"/>
      <c r="C575" s="5"/>
      <c r="D575" s="5"/>
      <c r="E575" s="58" t="s">
        <v>3768</v>
      </c>
      <c r="F575" s="5"/>
      <c r="G575" s="5"/>
      <c r="H575" s="5"/>
      <c r="I575" s="5"/>
    </row>
    <row r="576" spans="1:9" ht="24">
      <c r="A576" s="5"/>
      <c r="B576" s="5"/>
      <c r="C576" s="5"/>
      <c r="D576" s="5"/>
      <c r="E576" s="58" t="s">
        <v>3769</v>
      </c>
      <c r="F576" s="5"/>
      <c r="G576" s="5"/>
      <c r="H576" s="5"/>
      <c r="I576" s="5"/>
    </row>
    <row r="577" spans="1:9" ht="36">
      <c r="A577" s="5"/>
      <c r="B577" s="5"/>
      <c r="C577" s="5"/>
      <c r="D577" s="5"/>
      <c r="E577" s="58" t="s">
        <v>3770</v>
      </c>
      <c r="F577" s="5"/>
      <c r="G577" s="5"/>
      <c r="H577" s="5"/>
      <c r="I577" s="5"/>
    </row>
    <row r="578" spans="1:9" ht="24">
      <c r="A578" s="5"/>
      <c r="B578" s="5"/>
      <c r="C578" s="5"/>
      <c r="D578" s="5"/>
      <c r="E578" s="58" t="s">
        <v>3771</v>
      </c>
      <c r="F578" s="5"/>
      <c r="G578" s="5"/>
      <c r="H578" s="5"/>
      <c r="I578" s="5"/>
    </row>
    <row r="579" spans="1:9" ht="48">
      <c r="A579" s="5"/>
      <c r="B579" s="5"/>
      <c r="C579" s="5"/>
      <c r="D579" s="5"/>
      <c r="E579" s="58" t="s">
        <v>3772</v>
      </c>
      <c r="F579" s="5"/>
      <c r="G579" s="5"/>
      <c r="H579" s="5"/>
      <c r="I579" s="5"/>
    </row>
    <row r="580" spans="1:9" ht="60">
      <c r="A580" s="5"/>
      <c r="B580" s="5"/>
      <c r="C580" s="5"/>
      <c r="D580" s="5"/>
      <c r="E580" s="58" t="s">
        <v>3773</v>
      </c>
      <c r="F580" s="5"/>
      <c r="G580" s="5"/>
      <c r="H580" s="5"/>
      <c r="I580" s="5"/>
    </row>
    <row r="581" spans="1:9" ht="60">
      <c r="A581" s="5"/>
      <c r="B581" s="5"/>
      <c r="C581" s="5"/>
      <c r="D581" s="5"/>
      <c r="E581" s="58" t="s">
        <v>2906</v>
      </c>
      <c r="F581" s="5"/>
      <c r="G581" s="5"/>
      <c r="H581" s="5"/>
      <c r="I581" s="5"/>
    </row>
    <row r="582" spans="1:9" ht="24">
      <c r="A582" s="5"/>
      <c r="B582" s="5"/>
      <c r="C582" s="5"/>
      <c r="D582" s="5"/>
      <c r="E582" s="58" t="s">
        <v>3774</v>
      </c>
      <c r="F582" s="5"/>
      <c r="G582" s="5"/>
      <c r="H582" s="5"/>
      <c r="I582" s="5"/>
    </row>
    <row r="583" spans="1:9" ht="36">
      <c r="A583" s="5"/>
      <c r="B583" s="5"/>
      <c r="C583" s="5"/>
      <c r="D583" s="5"/>
      <c r="E583" s="58" t="s">
        <v>3775</v>
      </c>
      <c r="F583" s="5"/>
      <c r="G583" s="5"/>
      <c r="H583" s="5"/>
      <c r="I583" s="5"/>
    </row>
    <row r="584" spans="1:9" ht="36">
      <c r="A584" s="5"/>
      <c r="B584" s="5"/>
      <c r="C584" s="5"/>
      <c r="D584" s="5"/>
      <c r="E584" s="58" t="s">
        <v>3776</v>
      </c>
      <c r="F584" s="5"/>
      <c r="G584" s="5"/>
      <c r="H584" s="5"/>
      <c r="I584" s="5"/>
    </row>
    <row r="585" spans="1:9" ht="24">
      <c r="A585" s="5"/>
      <c r="B585" s="5"/>
      <c r="C585" s="5"/>
      <c r="D585" s="5"/>
      <c r="E585" s="58" t="s">
        <v>3777</v>
      </c>
      <c r="F585" s="5"/>
      <c r="G585" s="5"/>
      <c r="H585" s="5"/>
      <c r="I585" s="5"/>
    </row>
    <row r="586" spans="1:9" ht="24">
      <c r="A586" s="5"/>
      <c r="B586" s="5"/>
      <c r="C586" s="5"/>
      <c r="D586" s="5"/>
      <c r="E586" s="58" t="s">
        <v>3778</v>
      </c>
      <c r="F586" s="5"/>
      <c r="G586" s="5"/>
      <c r="H586" s="5"/>
      <c r="I586" s="5"/>
    </row>
    <row r="587" spans="1:9" ht="36">
      <c r="A587" s="5"/>
      <c r="B587" s="5"/>
      <c r="C587" s="5"/>
      <c r="D587" s="5"/>
      <c r="E587" s="58" t="s">
        <v>3779</v>
      </c>
      <c r="F587" s="5"/>
      <c r="G587" s="5"/>
      <c r="H587" s="5"/>
      <c r="I587" s="5"/>
    </row>
    <row r="588" spans="1:9" ht="36">
      <c r="A588" s="5"/>
      <c r="B588" s="5"/>
      <c r="C588" s="5"/>
      <c r="D588" s="5"/>
      <c r="E588" s="58" t="s">
        <v>3780</v>
      </c>
      <c r="F588" s="5"/>
      <c r="G588" s="5"/>
      <c r="H588" s="5"/>
      <c r="I588" s="5"/>
    </row>
    <row r="589" spans="1:9" ht="72">
      <c r="A589" s="5"/>
      <c r="B589" s="5"/>
      <c r="C589" s="5"/>
      <c r="D589" s="5"/>
      <c r="E589" s="58" t="s">
        <v>3781</v>
      </c>
      <c r="F589" s="5"/>
      <c r="G589" s="5"/>
      <c r="H589" s="5"/>
      <c r="I589" s="5"/>
    </row>
    <row r="590" spans="1:9" ht="72">
      <c r="A590" s="5"/>
      <c r="B590" s="5"/>
      <c r="C590" s="5"/>
      <c r="D590" s="5"/>
      <c r="E590" s="58" t="s">
        <v>3782</v>
      </c>
      <c r="F590" s="5"/>
      <c r="G590" s="5"/>
      <c r="H590" s="5"/>
      <c r="I590" s="5"/>
    </row>
    <row r="591" spans="1:9" ht="72">
      <c r="A591" s="5"/>
      <c r="B591" s="5"/>
      <c r="C591" s="5"/>
      <c r="D591" s="5"/>
      <c r="E591" s="58" t="s">
        <v>3783</v>
      </c>
      <c r="F591" s="5"/>
      <c r="G591" s="5"/>
      <c r="H591" s="5"/>
      <c r="I591" s="5"/>
    </row>
    <row r="592" spans="1:9" ht="72">
      <c r="A592" s="5"/>
      <c r="B592" s="5"/>
      <c r="C592" s="5"/>
      <c r="D592" s="5"/>
      <c r="E592" s="58" t="s">
        <v>3784</v>
      </c>
      <c r="F592" s="5"/>
      <c r="G592" s="5"/>
      <c r="H592" s="5"/>
      <c r="I592" s="5"/>
    </row>
    <row r="593" spans="1:9" ht="96">
      <c r="A593" s="5"/>
      <c r="B593" s="5"/>
      <c r="C593" s="5"/>
      <c r="D593" s="5"/>
      <c r="E593" s="58" t="s">
        <v>3785</v>
      </c>
      <c r="F593" s="5"/>
      <c r="G593" s="5"/>
      <c r="H593" s="5"/>
      <c r="I593" s="5"/>
    </row>
    <row r="594" spans="1:9" ht="72">
      <c r="A594" s="5"/>
      <c r="B594" s="5"/>
      <c r="C594" s="5"/>
      <c r="D594" s="5"/>
      <c r="E594" s="58" t="s">
        <v>3786</v>
      </c>
      <c r="F594" s="5"/>
      <c r="G594" s="5"/>
      <c r="H594" s="5"/>
      <c r="I594" s="5"/>
    </row>
    <row r="595" spans="1:9" ht="72">
      <c r="A595" s="5"/>
      <c r="B595" s="5"/>
      <c r="C595" s="5"/>
      <c r="D595" s="5"/>
      <c r="E595" s="58" t="s">
        <v>3787</v>
      </c>
      <c r="F595" s="5"/>
      <c r="G595" s="5"/>
      <c r="H595" s="5"/>
      <c r="I595" s="5"/>
    </row>
    <row r="596" spans="1:9" ht="24">
      <c r="A596" s="5"/>
      <c r="B596" s="5"/>
      <c r="C596" s="5"/>
      <c r="D596" s="5"/>
      <c r="E596" s="58" t="s">
        <v>3788</v>
      </c>
      <c r="F596" s="5"/>
      <c r="G596" s="5"/>
      <c r="H596" s="5"/>
      <c r="I596" s="5"/>
    </row>
    <row r="597" spans="1:9" ht="36">
      <c r="A597" s="5"/>
      <c r="B597" s="5"/>
      <c r="C597" s="5"/>
      <c r="D597" s="5"/>
      <c r="E597" s="58" t="s">
        <v>3789</v>
      </c>
      <c r="F597" s="5"/>
      <c r="G597" s="5"/>
      <c r="H597" s="5"/>
      <c r="I597" s="5"/>
    </row>
    <row r="598" spans="1:9" ht="24">
      <c r="A598" s="5"/>
      <c r="B598" s="5"/>
      <c r="C598" s="5"/>
      <c r="D598" s="5"/>
      <c r="E598" s="58" t="s">
        <v>3790</v>
      </c>
      <c r="F598" s="5"/>
      <c r="G598" s="5"/>
      <c r="H598" s="5"/>
      <c r="I598" s="5"/>
    </row>
    <row r="599" spans="1:9" ht="24">
      <c r="A599" s="5"/>
      <c r="B599" s="5"/>
      <c r="C599" s="5"/>
      <c r="D599" s="5"/>
      <c r="E599" s="58" t="s">
        <v>3791</v>
      </c>
      <c r="F599" s="5"/>
      <c r="G599" s="5"/>
      <c r="H599" s="5"/>
      <c r="I599" s="5"/>
    </row>
    <row r="600" spans="1:9" ht="72">
      <c r="A600" s="5"/>
      <c r="B600" s="5"/>
      <c r="C600" s="5"/>
      <c r="D600" s="5"/>
      <c r="E600" s="58" t="s">
        <v>3792</v>
      </c>
      <c r="F600" s="5"/>
      <c r="G600" s="5"/>
      <c r="H600" s="5"/>
      <c r="I600" s="5"/>
    </row>
    <row r="601" spans="1:9" ht="60">
      <c r="A601" s="5"/>
      <c r="B601" s="5"/>
      <c r="C601" s="5"/>
      <c r="D601" s="5"/>
      <c r="E601" s="58" t="s">
        <v>3793</v>
      </c>
      <c r="F601" s="5"/>
      <c r="G601" s="5"/>
      <c r="H601" s="5"/>
      <c r="I601" s="5"/>
    </row>
    <row r="602" spans="1:9" ht="24">
      <c r="A602" s="5"/>
      <c r="B602" s="5"/>
      <c r="C602" s="5"/>
      <c r="D602" s="5"/>
      <c r="E602" s="58" t="s">
        <v>3794</v>
      </c>
      <c r="F602" s="5"/>
      <c r="G602" s="5"/>
      <c r="H602" s="5"/>
      <c r="I602" s="5"/>
    </row>
    <row r="603" spans="1:9" ht="24">
      <c r="A603" s="5"/>
      <c r="B603" s="5"/>
      <c r="C603" s="5"/>
      <c r="D603" s="5"/>
      <c r="E603" s="58" t="s">
        <v>3795</v>
      </c>
      <c r="F603" s="5"/>
      <c r="G603" s="5"/>
      <c r="H603" s="5"/>
      <c r="I603" s="5"/>
    </row>
    <row r="604" spans="1:9" ht="24">
      <c r="A604" s="5"/>
      <c r="B604" s="5"/>
      <c r="C604" s="5"/>
      <c r="D604" s="5"/>
      <c r="E604" s="58" t="s">
        <v>3796</v>
      </c>
      <c r="F604" s="5"/>
      <c r="G604" s="5"/>
      <c r="H604" s="5"/>
      <c r="I604" s="5"/>
    </row>
    <row r="605" spans="1:9" ht="36">
      <c r="A605" s="5"/>
      <c r="B605" s="5"/>
      <c r="C605" s="5"/>
      <c r="D605" s="5"/>
      <c r="E605" s="58" t="s">
        <v>3797</v>
      </c>
      <c r="F605" s="5"/>
      <c r="G605" s="5"/>
      <c r="H605" s="5"/>
      <c r="I605" s="5"/>
    </row>
    <row r="606" spans="1:9" ht="24">
      <c r="A606" s="5"/>
      <c r="B606" s="5"/>
      <c r="C606" s="5"/>
      <c r="D606" s="5"/>
      <c r="E606" s="58" t="s">
        <v>3798</v>
      </c>
      <c r="F606" s="5"/>
      <c r="G606" s="5"/>
      <c r="H606" s="5"/>
      <c r="I606" s="5"/>
    </row>
    <row r="607" spans="1:9" ht="36">
      <c r="A607" s="5"/>
      <c r="B607" s="5"/>
      <c r="C607" s="5"/>
      <c r="D607" s="5"/>
      <c r="E607" s="58" t="s">
        <v>3799</v>
      </c>
      <c r="F607" s="5"/>
      <c r="G607" s="5"/>
      <c r="H607" s="5"/>
      <c r="I607" s="5"/>
    </row>
    <row r="608" spans="1:9" ht="48">
      <c r="A608" s="5"/>
      <c r="B608" s="5"/>
      <c r="C608" s="5"/>
      <c r="D608" s="5"/>
      <c r="E608" s="58" t="s">
        <v>3800</v>
      </c>
      <c r="F608" s="5"/>
      <c r="G608" s="5"/>
      <c r="H608" s="5"/>
      <c r="I608" s="5"/>
    </row>
    <row r="609" spans="1:9" ht="36">
      <c r="A609" s="5"/>
      <c r="B609" s="5"/>
      <c r="C609" s="5"/>
      <c r="D609" s="5"/>
      <c r="E609" s="58" t="s">
        <v>3801</v>
      </c>
      <c r="F609" s="5"/>
      <c r="G609" s="5"/>
      <c r="H609" s="5"/>
      <c r="I609" s="5"/>
    </row>
    <row r="610" spans="1:9" ht="36">
      <c r="A610" s="5"/>
      <c r="B610" s="5"/>
      <c r="C610" s="5"/>
      <c r="D610" s="5"/>
      <c r="E610" s="58" t="s">
        <v>3802</v>
      </c>
      <c r="F610" s="5"/>
      <c r="G610" s="5"/>
      <c r="H610" s="5"/>
      <c r="I610" s="5"/>
    </row>
    <row r="611" spans="1:9" ht="36">
      <c r="A611" s="5"/>
      <c r="B611" s="5"/>
      <c r="C611" s="5"/>
      <c r="D611" s="5"/>
      <c r="E611" s="58" t="s">
        <v>3803</v>
      </c>
      <c r="F611" s="5"/>
      <c r="G611" s="5"/>
      <c r="H611" s="5"/>
      <c r="I611" s="5"/>
    </row>
    <row r="612" spans="1:9" ht="24">
      <c r="A612" s="5"/>
      <c r="B612" s="5"/>
      <c r="C612" s="5"/>
      <c r="D612" s="5"/>
      <c r="E612" s="58" t="s">
        <v>3804</v>
      </c>
      <c r="F612" s="5"/>
      <c r="G612" s="5"/>
      <c r="H612" s="5"/>
      <c r="I612" s="5"/>
    </row>
    <row r="613" spans="1:9" ht="24">
      <c r="A613" s="5"/>
      <c r="B613" s="5"/>
      <c r="C613" s="5"/>
      <c r="D613" s="5"/>
      <c r="E613" s="58" t="s">
        <v>3805</v>
      </c>
      <c r="F613" s="5"/>
      <c r="G613" s="5"/>
      <c r="H613" s="5"/>
      <c r="I613" s="5"/>
    </row>
    <row r="614" spans="1:9" ht="48">
      <c r="A614" s="5"/>
      <c r="B614" s="5"/>
      <c r="C614" s="5"/>
      <c r="D614" s="5"/>
      <c r="E614" s="58" t="s">
        <v>3806</v>
      </c>
      <c r="F614" s="5"/>
      <c r="G614" s="5"/>
      <c r="H614" s="5"/>
      <c r="I614" s="5"/>
    </row>
    <row r="615" spans="1:9" ht="48">
      <c r="A615" s="5"/>
      <c r="B615" s="5"/>
      <c r="C615" s="5"/>
      <c r="D615" s="5"/>
      <c r="E615" s="58" t="s">
        <v>3807</v>
      </c>
      <c r="F615" s="5"/>
      <c r="G615" s="5"/>
      <c r="H615" s="5"/>
      <c r="I615" s="5"/>
    </row>
    <row r="616" spans="1:9" ht="60">
      <c r="A616" s="5"/>
      <c r="B616" s="5"/>
      <c r="C616" s="5"/>
      <c r="D616" s="5"/>
      <c r="E616" s="58" t="s">
        <v>3808</v>
      </c>
      <c r="F616" s="5"/>
      <c r="G616" s="5"/>
      <c r="H616" s="5"/>
      <c r="I616" s="5"/>
    </row>
    <row r="617" spans="1:9" ht="48">
      <c r="A617" s="5"/>
      <c r="B617" s="5"/>
      <c r="C617" s="5"/>
      <c r="D617" s="5"/>
      <c r="E617" s="58" t="s">
        <v>3809</v>
      </c>
      <c r="F617" s="5"/>
      <c r="G617" s="5"/>
      <c r="H617" s="5"/>
      <c r="I617" s="5"/>
    </row>
    <row r="618" spans="1:9" ht="36">
      <c r="A618" s="5"/>
      <c r="B618" s="5"/>
      <c r="C618" s="5"/>
      <c r="D618" s="5"/>
      <c r="E618" s="58" t="s">
        <v>3810</v>
      </c>
      <c r="F618" s="5"/>
      <c r="G618" s="5"/>
      <c r="H618" s="5"/>
      <c r="I618" s="5"/>
    </row>
    <row r="619" spans="1:9" ht="24">
      <c r="A619" s="5"/>
      <c r="B619" s="5"/>
      <c r="C619" s="5"/>
      <c r="D619" s="5"/>
      <c r="E619" s="58" t="s">
        <v>3811</v>
      </c>
      <c r="F619" s="5"/>
      <c r="G619" s="5"/>
      <c r="H619" s="5"/>
      <c r="I619" s="5"/>
    </row>
    <row r="620" spans="1:9" ht="24">
      <c r="A620" s="5"/>
      <c r="B620" s="5"/>
      <c r="C620" s="5"/>
      <c r="D620" s="5"/>
      <c r="E620" s="58" t="s">
        <v>3812</v>
      </c>
      <c r="F620" s="5"/>
      <c r="G620" s="5"/>
      <c r="H620" s="5"/>
      <c r="I620" s="5"/>
    </row>
    <row r="621" spans="1:9" ht="36">
      <c r="A621" s="5"/>
      <c r="B621" s="5"/>
      <c r="C621" s="5"/>
      <c r="D621" s="5"/>
      <c r="E621" s="58" t="s">
        <v>3813</v>
      </c>
      <c r="F621" s="5"/>
      <c r="G621" s="5"/>
      <c r="H621" s="5"/>
      <c r="I621" s="5"/>
    </row>
    <row r="622" spans="1:9" ht="36">
      <c r="A622" s="5"/>
      <c r="B622" s="5"/>
      <c r="C622" s="5"/>
      <c r="D622" s="5"/>
      <c r="E622" s="58" t="s">
        <v>3814</v>
      </c>
      <c r="F622" s="5"/>
      <c r="G622" s="5"/>
      <c r="H622" s="5"/>
      <c r="I622" s="5"/>
    </row>
    <row r="623" spans="1:9" ht="84">
      <c r="A623" s="5"/>
      <c r="B623" s="5"/>
      <c r="C623" s="5"/>
      <c r="D623" s="5"/>
      <c r="E623" s="58" t="s">
        <v>3815</v>
      </c>
      <c r="F623" s="5"/>
      <c r="G623" s="5"/>
      <c r="H623" s="5"/>
      <c r="I623" s="5"/>
    </row>
    <row r="624" spans="1:9" ht="60">
      <c r="A624" s="5"/>
      <c r="B624" s="5"/>
      <c r="C624" s="5"/>
      <c r="D624" s="5"/>
      <c r="E624" s="58" t="s">
        <v>3816</v>
      </c>
      <c r="F624" s="5"/>
      <c r="G624" s="5"/>
      <c r="H624" s="5"/>
      <c r="I624" s="5"/>
    </row>
    <row r="625" spans="1:9" ht="24">
      <c r="A625" s="5"/>
      <c r="B625" s="5"/>
      <c r="C625" s="5"/>
      <c r="D625" s="5"/>
      <c r="E625" s="58" t="s">
        <v>3817</v>
      </c>
      <c r="F625" s="5"/>
      <c r="G625" s="5"/>
      <c r="H625" s="5"/>
      <c r="I625" s="5"/>
    </row>
    <row r="626" spans="1:9" ht="24">
      <c r="A626" s="5"/>
      <c r="B626" s="5"/>
      <c r="C626" s="5"/>
      <c r="D626" s="5"/>
      <c r="E626" s="58" t="s">
        <v>3818</v>
      </c>
      <c r="F626" s="5"/>
      <c r="G626" s="5"/>
      <c r="H626" s="5"/>
      <c r="I626" s="5"/>
    </row>
    <row r="627" spans="1:9" ht="36">
      <c r="A627" s="5"/>
      <c r="B627" s="5"/>
      <c r="C627" s="5"/>
      <c r="D627" s="5"/>
      <c r="E627" s="58" t="s">
        <v>3819</v>
      </c>
      <c r="F627" s="5"/>
      <c r="G627" s="5"/>
      <c r="H627" s="5"/>
      <c r="I627" s="5"/>
    </row>
    <row r="628" spans="1:9" ht="24">
      <c r="A628" s="5"/>
      <c r="B628" s="5"/>
      <c r="C628" s="5"/>
      <c r="D628" s="5"/>
      <c r="E628" s="58" t="s">
        <v>3820</v>
      </c>
      <c r="F628" s="5"/>
      <c r="G628" s="5"/>
      <c r="H628" s="5"/>
      <c r="I628" s="5"/>
    </row>
    <row r="629" spans="1:9" ht="72">
      <c r="A629" s="5"/>
      <c r="B629" s="5"/>
      <c r="C629" s="5"/>
      <c r="D629" s="5"/>
      <c r="E629" s="58" t="s">
        <v>3821</v>
      </c>
      <c r="F629" s="5"/>
      <c r="G629" s="5"/>
      <c r="H629" s="5"/>
      <c r="I629" s="5"/>
    </row>
    <row r="630" spans="1:9" ht="72">
      <c r="A630" s="5"/>
      <c r="B630" s="5"/>
      <c r="C630" s="5"/>
      <c r="D630" s="5"/>
      <c r="E630" s="58" t="s">
        <v>3822</v>
      </c>
      <c r="F630" s="5"/>
      <c r="G630" s="5"/>
      <c r="H630" s="5"/>
      <c r="I630" s="5"/>
    </row>
    <row r="631" spans="1:9" ht="36">
      <c r="A631" s="5"/>
      <c r="B631" s="5"/>
      <c r="C631" s="5"/>
      <c r="D631" s="5"/>
      <c r="E631" s="58" t="s">
        <v>533</v>
      </c>
      <c r="F631" s="5"/>
      <c r="G631" s="5"/>
      <c r="H631" s="5"/>
      <c r="I631" s="5"/>
    </row>
    <row r="632" spans="1:9" ht="36">
      <c r="A632" s="5"/>
      <c r="B632" s="5"/>
      <c r="C632" s="5"/>
      <c r="D632" s="5"/>
      <c r="E632" s="58" t="s">
        <v>3823</v>
      </c>
      <c r="F632" s="5"/>
      <c r="G632" s="5"/>
      <c r="H632" s="5"/>
      <c r="I632" s="5"/>
    </row>
    <row r="633" spans="1:9" ht="48">
      <c r="A633" s="5"/>
      <c r="B633" s="5"/>
      <c r="C633" s="5"/>
      <c r="D633" s="5"/>
      <c r="E633" s="58" t="s">
        <v>3824</v>
      </c>
      <c r="F633" s="5"/>
      <c r="G633" s="5"/>
      <c r="H633" s="5"/>
      <c r="I633" s="5"/>
    </row>
    <row r="634" spans="1:9" ht="24">
      <c r="A634" s="5"/>
      <c r="B634" s="5"/>
      <c r="C634" s="5"/>
      <c r="D634" s="5"/>
      <c r="E634" s="58" t="s">
        <v>3825</v>
      </c>
      <c r="F634" s="5"/>
      <c r="G634" s="5"/>
      <c r="H634" s="5"/>
      <c r="I634" s="5"/>
    </row>
    <row r="635" spans="1:9" ht="60">
      <c r="A635" s="5"/>
      <c r="B635" s="5"/>
      <c r="C635" s="5"/>
      <c r="D635" s="5"/>
      <c r="E635" s="58" t="s">
        <v>3826</v>
      </c>
      <c r="F635" s="5"/>
      <c r="G635" s="5"/>
      <c r="H635" s="5"/>
      <c r="I635" s="5"/>
    </row>
    <row r="636" spans="1:9" ht="24">
      <c r="A636" s="5"/>
      <c r="B636" s="5"/>
      <c r="C636" s="5"/>
      <c r="D636" s="5"/>
      <c r="E636" s="58" t="s">
        <v>3827</v>
      </c>
      <c r="F636" s="5"/>
      <c r="G636" s="5"/>
      <c r="H636" s="5"/>
      <c r="I636" s="5"/>
    </row>
    <row r="637" spans="1:9" ht="24">
      <c r="A637" s="5"/>
      <c r="B637" s="5"/>
      <c r="C637" s="5"/>
      <c r="D637" s="5"/>
      <c r="E637" s="58" t="s">
        <v>3828</v>
      </c>
      <c r="F637" s="5"/>
      <c r="G637" s="5"/>
      <c r="H637" s="5"/>
      <c r="I637" s="5"/>
    </row>
    <row r="638" spans="1:9" ht="36">
      <c r="A638" s="5"/>
      <c r="B638" s="5"/>
      <c r="C638" s="5"/>
      <c r="D638" s="5"/>
      <c r="E638" s="58" t="s">
        <v>2841</v>
      </c>
      <c r="F638" s="5"/>
      <c r="G638" s="5"/>
      <c r="H638" s="5"/>
      <c r="I638" s="5"/>
    </row>
    <row r="639" spans="1:9" ht="36">
      <c r="A639" s="5"/>
      <c r="B639" s="5"/>
      <c r="C639" s="5"/>
      <c r="D639" s="5"/>
      <c r="E639" s="58" t="s">
        <v>3829</v>
      </c>
      <c r="F639" s="5"/>
      <c r="G639" s="5"/>
      <c r="H639" s="5"/>
      <c r="I639" s="5"/>
    </row>
    <row r="640" spans="1:9" ht="24">
      <c r="A640" s="5"/>
      <c r="B640" s="5"/>
      <c r="C640" s="5"/>
      <c r="D640" s="5"/>
      <c r="E640" s="58" t="s">
        <v>2962</v>
      </c>
      <c r="F640" s="5"/>
      <c r="G640" s="5"/>
      <c r="H640" s="5"/>
      <c r="I640" s="5"/>
    </row>
    <row r="641" spans="1:9" ht="36">
      <c r="A641" s="5"/>
      <c r="B641" s="5"/>
      <c r="C641" s="5"/>
      <c r="D641" s="5"/>
      <c r="E641" s="58" t="s">
        <v>3830</v>
      </c>
      <c r="F641" s="5"/>
      <c r="G641" s="5"/>
      <c r="H641" s="5"/>
      <c r="I641" s="5"/>
    </row>
    <row r="642" spans="1:9" ht="24">
      <c r="A642" s="5"/>
      <c r="B642" s="5"/>
      <c r="C642" s="5"/>
      <c r="D642" s="5"/>
      <c r="E642" s="58" t="s">
        <v>2540</v>
      </c>
      <c r="F642" s="5"/>
      <c r="G642" s="5"/>
      <c r="H642" s="5"/>
      <c r="I642" s="5"/>
    </row>
    <row r="643" spans="1:9" ht="36">
      <c r="A643" s="5"/>
      <c r="B643" s="5"/>
      <c r="C643" s="5"/>
      <c r="D643" s="5"/>
      <c r="E643" s="58" t="s">
        <v>3831</v>
      </c>
      <c r="F643" s="5"/>
      <c r="G643" s="5"/>
      <c r="H643" s="5"/>
      <c r="I643" s="5"/>
    </row>
    <row r="644" spans="1:9" ht="24">
      <c r="A644" s="5"/>
      <c r="B644" s="5"/>
      <c r="C644" s="5"/>
      <c r="D644" s="5"/>
      <c r="E644" s="58" t="s">
        <v>3832</v>
      </c>
      <c r="F644" s="5"/>
      <c r="G644" s="5"/>
      <c r="H644" s="5"/>
      <c r="I644" s="5"/>
    </row>
    <row r="645" spans="1:9" ht="36">
      <c r="A645" s="5"/>
      <c r="B645" s="5"/>
      <c r="C645" s="5"/>
      <c r="D645" s="5"/>
      <c r="E645" s="58" t="s">
        <v>3833</v>
      </c>
      <c r="F645" s="5"/>
      <c r="G645" s="5"/>
      <c r="H645" s="5"/>
      <c r="I645" s="5"/>
    </row>
    <row r="646" spans="1:9" ht="60">
      <c r="A646" s="5"/>
      <c r="B646" s="5"/>
      <c r="C646" s="5"/>
      <c r="D646" s="5"/>
      <c r="E646" s="58" t="s">
        <v>3834</v>
      </c>
      <c r="F646" s="5"/>
      <c r="G646" s="5"/>
      <c r="H646" s="5"/>
      <c r="I646" s="5"/>
    </row>
    <row r="647" spans="1:9" ht="60">
      <c r="A647" s="5"/>
      <c r="B647" s="5"/>
      <c r="C647" s="5"/>
      <c r="D647" s="5"/>
      <c r="E647" s="58" t="s">
        <v>3835</v>
      </c>
      <c r="F647" s="5"/>
      <c r="G647" s="5"/>
      <c r="H647" s="5"/>
      <c r="I647" s="5"/>
    </row>
    <row r="648" spans="1:9" ht="60">
      <c r="A648" s="5"/>
      <c r="B648" s="5"/>
      <c r="C648" s="5"/>
      <c r="D648" s="5"/>
      <c r="E648" s="58" t="s">
        <v>3836</v>
      </c>
      <c r="F648" s="5"/>
      <c r="G648" s="5"/>
      <c r="H648" s="5"/>
      <c r="I648" s="5"/>
    </row>
    <row r="649" spans="1:9" ht="60">
      <c r="A649" s="5"/>
      <c r="B649" s="5"/>
      <c r="C649" s="5"/>
      <c r="D649" s="5"/>
      <c r="E649" s="58" t="s">
        <v>3837</v>
      </c>
      <c r="F649" s="5"/>
      <c r="G649" s="5"/>
      <c r="H649" s="5"/>
      <c r="I649" s="5"/>
    </row>
    <row r="650" spans="1:9" ht="36">
      <c r="A650" s="5"/>
      <c r="B650" s="5"/>
      <c r="C650" s="5"/>
      <c r="D650" s="5"/>
      <c r="E650" s="58" t="s">
        <v>3838</v>
      </c>
      <c r="F650" s="5"/>
      <c r="G650" s="5"/>
      <c r="H650" s="5"/>
      <c r="I650" s="5"/>
    </row>
    <row r="651" spans="1:9" ht="24">
      <c r="A651" s="5"/>
      <c r="B651" s="5"/>
      <c r="C651" s="5"/>
      <c r="D651" s="5"/>
      <c r="E651" s="58" t="s">
        <v>3839</v>
      </c>
      <c r="F651" s="5"/>
      <c r="G651" s="5"/>
      <c r="H651" s="5"/>
      <c r="I651" s="5"/>
    </row>
    <row r="652" spans="1:9" ht="48">
      <c r="A652" s="5"/>
      <c r="B652" s="5"/>
      <c r="C652" s="5"/>
      <c r="D652" s="5"/>
      <c r="E652" s="58" t="s">
        <v>3840</v>
      </c>
      <c r="F652" s="5"/>
      <c r="G652" s="5"/>
      <c r="H652" s="5"/>
      <c r="I652" s="5"/>
    </row>
    <row r="653" spans="1:9" ht="36">
      <c r="A653" s="5"/>
      <c r="B653" s="5"/>
      <c r="C653" s="5"/>
      <c r="D653" s="5"/>
      <c r="E653" s="58" t="s">
        <v>3841</v>
      </c>
      <c r="F653" s="5"/>
      <c r="G653" s="5"/>
      <c r="H653" s="5"/>
      <c r="I653" s="5"/>
    </row>
    <row r="654" spans="1:9" ht="60">
      <c r="A654" s="5"/>
      <c r="B654" s="5"/>
      <c r="C654" s="5"/>
      <c r="D654" s="5"/>
      <c r="E654" s="58" t="s">
        <v>3842</v>
      </c>
      <c r="F654" s="5"/>
      <c r="G654" s="5"/>
      <c r="H654" s="5"/>
      <c r="I654" s="5"/>
    </row>
    <row r="655" spans="1:9" ht="72">
      <c r="A655" s="5"/>
      <c r="B655" s="5"/>
      <c r="C655" s="5"/>
      <c r="D655" s="5"/>
      <c r="E655" s="58" t="s">
        <v>3843</v>
      </c>
      <c r="F655" s="5"/>
      <c r="G655" s="5"/>
      <c r="H655" s="5"/>
      <c r="I655" s="5"/>
    </row>
    <row r="656" spans="1:9" ht="24">
      <c r="A656" s="5"/>
      <c r="B656" s="5"/>
      <c r="C656" s="5"/>
      <c r="D656" s="5"/>
      <c r="E656" s="58" t="s">
        <v>3844</v>
      </c>
      <c r="F656" s="5"/>
      <c r="G656" s="5"/>
      <c r="H656" s="5"/>
      <c r="I656" s="5"/>
    </row>
    <row r="657" spans="1:9" ht="72">
      <c r="A657" s="5"/>
      <c r="B657" s="5"/>
      <c r="C657" s="5"/>
      <c r="D657" s="5"/>
      <c r="E657" s="58" t="s">
        <v>3845</v>
      </c>
      <c r="F657" s="5"/>
      <c r="G657" s="5"/>
      <c r="H657" s="5"/>
      <c r="I657" s="5"/>
    </row>
    <row r="658" spans="1:9" ht="107.25">
      <c r="A658" s="5"/>
      <c r="B658" s="5"/>
      <c r="C658" s="5"/>
      <c r="D658" s="5"/>
      <c r="E658" s="58" t="s">
        <v>3846</v>
      </c>
      <c r="F658" s="5"/>
      <c r="G658" s="5"/>
      <c r="H658" s="5"/>
      <c r="I658" s="5"/>
    </row>
    <row r="659" spans="1:9" ht="107.25">
      <c r="A659" s="5"/>
      <c r="B659" s="5"/>
      <c r="C659" s="5"/>
      <c r="D659" s="5"/>
      <c r="E659" s="58" t="s">
        <v>3847</v>
      </c>
      <c r="F659" s="5"/>
      <c r="G659" s="5"/>
      <c r="H659" s="5"/>
      <c r="I659" s="5"/>
    </row>
    <row r="660" spans="1:9" ht="24">
      <c r="A660" s="5"/>
      <c r="B660" s="5"/>
      <c r="C660" s="5"/>
      <c r="D660" s="5"/>
      <c r="E660" s="58" t="s">
        <v>3848</v>
      </c>
      <c r="F660" s="5"/>
      <c r="G660" s="5"/>
      <c r="H660" s="5"/>
      <c r="I660" s="5"/>
    </row>
    <row r="661" spans="1:9" ht="24">
      <c r="A661" s="5"/>
      <c r="B661" s="5"/>
      <c r="C661" s="5"/>
      <c r="D661" s="5"/>
      <c r="E661" s="58" t="s">
        <v>3849</v>
      </c>
      <c r="F661" s="5"/>
      <c r="G661" s="5"/>
      <c r="H661" s="5"/>
      <c r="I661" s="5"/>
    </row>
    <row r="662" spans="1:9" ht="36">
      <c r="A662" s="5"/>
      <c r="B662" s="5"/>
      <c r="C662" s="5"/>
      <c r="D662" s="5"/>
      <c r="E662" s="58" t="s">
        <v>3850</v>
      </c>
      <c r="F662" s="5"/>
      <c r="G662" s="5"/>
      <c r="H662" s="5"/>
      <c r="I662" s="5"/>
    </row>
    <row r="663" spans="1:9" ht="48">
      <c r="A663" s="5"/>
      <c r="B663" s="5"/>
      <c r="C663" s="5"/>
      <c r="D663" s="5"/>
      <c r="E663" s="58" t="s">
        <v>3851</v>
      </c>
      <c r="F663" s="5"/>
      <c r="G663" s="5"/>
      <c r="H663" s="5"/>
      <c r="I663" s="5"/>
    </row>
    <row r="664" spans="1:9" ht="36">
      <c r="A664" s="5"/>
      <c r="B664" s="5"/>
      <c r="C664" s="5"/>
      <c r="D664" s="5"/>
      <c r="E664" s="58" t="s">
        <v>3852</v>
      </c>
      <c r="F664" s="5"/>
      <c r="G664" s="5"/>
      <c r="H664" s="5"/>
      <c r="I664" s="5"/>
    </row>
    <row r="665" spans="1:9" ht="36">
      <c r="A665" s="5"/>
      <c r="B665" s="5"/>
      <c r="C665" s="5"/>
      <c r="D665" s="5"/>
      <c r="E665" s="58" t="s">
        <v>3853</v>
      </c>
      <c r="F665" s="5"/>
      <c r="G665" s="5"/>
      <c r="H665" s="5"/>
      <c r="I665" s="5"/>
    </row>
    <row r="666" spans="1:9" ht="24">
      <c r="A666" s="5"/>
      <c r="B666" s="5"/>
      <c r="C666" s="5"/>
      <c r="D666" s="5"/>
      <c r="E666" s="58" t="s">
        <v>3854</v>
      </c>
      <c r="F666" s="5"/>
      <c r="G666" s="5"/>
      <c r="H666" s="5"/>
      <c r="I666" s="5"/>
    </row>
    <row r="667" spans="1:9" ht="24">
      <c r="A667" s="5"/>
      <c r="B667" s="5"/>
      <c r="C667" s="5"/>
      <c r="D667" s="5"/>
      <c r="E667" s="58" t="s">
        <v>3855</v>
      </c>
      <c r="F667" s="5"/>
      <c r="G667" s="5"/>
      <c r="H667" s="5"/>
      <c r="I667" s="5"/>
    </row>
    <row r="668" spans="1:9" ht="24">
      <c r="A668" s="5"/>
      <c r="B668" s="5"/>
      <c r="C668" s="5"/>
      <c r="D668" s="5"/>
      <c r="E668" s="58" t="s">
        <v>3856</v>
      </c>
      <c r="F668" s="5"/>
      <c r="G668" s="5"/>
      <c r="H668" s="5"/>
      <c r="I668" s="5"/>
    </row>
    <row r="669" spans="1:9" ht="36">
      <c r="A669" s="5"/>
      <c r="B669" s="5"/>
      <c r="C669" s="5"/>
      <c r="D669" s="5"/>
      <c r="E669" s="58" t="s">
        <v>891</v>
      </c>
      <c r="F669" s="5"/>
      <c r="G669" s="5"/>
      <c r="H669" s="5"/>
      <c r="I669" s="5"/>
    </row>
    <row r="670" spans="1:9" ht="24">
      <c r="A670" s="5"/>
      <c r="B670" s="5"/>
      <c r="C670" s="5"/>
      <c r="D670" s="5"/>
      <c r="E670" s="58" t="s">
        <v>3857</v>
      </c>
      <c r="F670" s="5"/>
      <c r="G670" s="5"/>
      <c r="H670" s="5"/>
      <c r="I670" s="5"/>
    </row>
    <row r="671" spans="1:9" ht="24">
      <c r="A671" s="5"/>
      <c r="B671" s="5"/>
      <c r="C671" s="5"/>
      <c r="D671" s="5"/>
      <c r="E671" s="58" t="s">
        <v>3858</v>
      </c>
      <c r="F671" s="5"/>
      <c r="G671" s="5"/>
      <c r="H671" s="5"/>
      <c r="I671" s="5"/>
    </row>
    <row r="672" spans="1:9" ht="24">
      <c r="A672" s="5"/>
      <c r="B672" s="5"/>
      <c r="C672" s="5"/>
      <c r="D672" s="5"/>
      <c r="E672" s="58" t="s">
        <v>3859</v>
      </c>
      <c r="F672" s="5"/>
      <c r="G672" s="5"/>
      <c r="H672" s="5"/>
      <c r="I672" s="5"/>
    </row>
    <row r="673" spans="1:9" ht="48">
      <c r="A673" s="5"/>
      <c r="B673" s="5"/>
      <c r="C673" s="5"/>
      <c r="D673" s="5"/>
      <c r="E673" s="58" t="s">
        <v>3860</v>
      </c>
      <c r="F673" s="5"/>
      <c r="G673" s="5"/>
      <c r="H673" s="5"/>
      <c r="I673" s="5"/>
    </row>
    <row r="674" spans="1:9" ht="36">
      <c r="A674" s="5"/>
      <c r="B674" s="5"/>
      <c r="C674" s="5"/>
      <c r="D674" s="5"/>
      <c r="E674" s="58" t="s">
        <v>3861</v>
      </c>
      <c r="F674" s="5"/>
      <c r="G674" s="5"/>
      <c r="H674" s="5"/>
      <c r="I674" s="5"/>
    </row>
    <row r="675" spans="1:9" ht="24">
      <c r="A675" s="5"/>
      <c r="B675" s="5"/>
      <c r="C675" s="5"/>
      <c r="D675" s="5"/>
      <c r="E675" s="58" t="s">
        <v>3862</v>
      </c>
      <c r="F675" s="5"/>
      <c r="G675" s="5"/>
      <c r="H675" s="5"/>
      <c r="I675" s="5"/>
    </row>
    <row r="676" spans="1:9" ht="36">
      <c r="A676" s="5"/>
      <c r="B676" s="5"/>
      <c r="C676" s="5"/>
      <c r="D676" s="5"/>
      <c r="E676" s="58" t="s">
        <v>3863</v>
      </c>
      <c r="F676" s="5"/>
      <c r="G676" s="5"/>
      <c r="H676" s="5"/>
      <c r="I676" s="5"/>
    </row>
    <row r="677" spans="1:9" ht="60">
      <c r="A677" s="5"/>
      <c r="B677" s="5"/>
      <c r="C677" s="5"/>
      <c r="D677" s="5"/>
      <c r="E677" s="58" t="s">
        <v>3864</v>
      </c>
      <c r="F677" s="5"/>
      <c r="G677" s="5"/>
      <c r="H677" s="5"/>
      <c r="I677" s="5"/>
    </row>
    <row r="678" spans="1:9" ht="24">
      <c r="A678" s="5"/>
      <c r="B678" s="5"/>
      <c r="C678" s="5"/>
      <c r="D678" s="5"/>
      <c r="E678" s="58" t="s">
        <v>544</v>
      </c>
      <c r="F678" s="5"/>
      <c r="G678" s="5"/>
      <c r="H678" s="5"/>
      <c r="I678" s="5"/>
    </row>
    <row r="679" spans="1:9" ht="24">
      <c r="A679" s="5"/>
      <c r="B679" s="5"/>
      <c r="C679" s="5"/>
      <c r="D679" s="5"/>
      <c r="E679" s="58" t="s">
        <v>3865</v>
      </c>
      <c r="F679" s="5"/>
      <c r="G679" s="5"/>
      <c r="H679" s="5"/>
      <c r="I679" s="5"/>
    </row>
    <row r="680" spans="1:9" ht="24">
      <c r="A680" s="5"/>
      <c r="B680" s="5"/>
      <c r="C680" s="5"/>
      <c r="D680" s="5"/>
      <c r="E680" s="58" t="s">
        <v>3866</v>
      </c>
      <c r="F680" s="5"/>
      <c r="G680" s="5"/>
      <c r="H680" s="5"/>
      <c r="I680" s="5"/>
    </row>
    <row r="681" spans="1:9" ht="24">
      <c r="A681" s="5"/>
      <c r="B681" s="5"/>
      <c r="C681" s="5"/>
      <c r="D681" s="5"/>
      <c r="E681" s="58" t="s">
        <v>3867</v>
      </c>
      <c r="F681" s="5"/>
      <c r="G681" s="5"/>
      <c r="H681" s="5"/>
      <c r="I681" s="5"/>
    </row>
    <row r="682" spans="1:9" ht="36">
      <c r="A682" s="5"/>
      <c r="B682" s="5"/>
      <c r="C682" s="5"/>
      <c r="D682" s="5"/>
      <c r="E682" s="58" t="s">
        <v>3868</v>
      </c>
      <c r="F682" s="5"/>
      <c r="G682" s="5"/>
      <c r="H682" s="5"/>
      <c r="I682" s="5"/>
    </row>
    <row r="683" spans="1:9" ht="48">
      <c r="A683" s="5"/>
      <c r="B683" s="5"/>
      <c r="C683" s="5"/>
      <c r="D683" s="5"/>
      <c r="E683" s="58" t="s">
        <v>3869</v>
      </c>
      <c r="F683" s="5"/>
      <c r="G683" s="5"/>
      <c r="H683" s="5"/>
      <c r="I683" s="5"/>
    </row>
    <row r="684" spans="1:9" ht="24">
      <c r="A684" s="5"/>
      <c r="B684" s="5"/>
      <c r="C684" s="5"/>
      <c r="D684" s="5"/>
      <c r="E684" s="58" t="s">
        <v>3870</v>
      </c>
      <c r="F684" s="5"/>
      <c r="G684" s="5"/>
      <c r="H684" s="5"/>
      <c r="I684" s="5"/>
    </row>
    <row r="685" spans="1:9" ht="36">
      <c r="A685" s="5"/>
      <c r="B685" s="5"/>
      <c r="C685" s="5"/>
      <c r="D685" s="5"/>
      <c r="E685" s="58" t="s">
        <v>3871</v>
      </c>
      <c r="F685" s="5"/>
      <c r="G685" s="5"/>
      <c r="H685" s="5"/>
      <c r="I685" s="5"/>
    </row>
    <row r="686" spans="1:9" ht="48">
      <c r="A686" s="5"/>
      <c r="B686" s="5"/>
      <c r="C686" s="5"/>
      <c r="D686" s="5"/>
      <c r="E686" s="58" t="s">
        <v>3872</v>
      </c>
      <c r="F686" s="5"/>
      <c r="G686" s="5"/>
      <c r="H686" s="5"/>
      <c r="I686" s="5"/>
    </row>
    <row r="687" spans="1:9" ht="36">
      <c r="A687" s="5"/>
      <c r="B687" s="5"/>
      <c r="C687" s="5"/>
      <c r="D687" s="5"/>
      <c r="E687" s="58" t="s">
        <v>3873</v>
      </c>
      <c r="F687" s="5"/>
      <c r="G687" s="5"/>
      <c r="H687" s="5"/>
      <c r="I687" s="5"/>
    </row>
    <row r="688" spans="1:9" ht="60">
      <c r="A688" s="5"/>
      <c r="B688" s="5"/>
      <c r="C688" s="5"/>
      <c r="D688" s="5"/>
      <c r="E688" s="58" t="s">
        <v>940</v>
      </c>
      <c r="F688" s="5"/>
      <c r="G688" s="5"/>
      <c r="H688" s="5"/>
      <c r="I688" s="5"/>
    </row>
    <row r="689" spans="1:9" ht="72">
      <c r="A689" s="5"/>
      <c r="B689" s="5"/>
      <c r="C689" s="5"/>
      <c r="D689" s="5"/>
      <c r="E689" s="58" t="s">
        <v>990</v>
      </c>
      <c r="F689" s="5"/>
      <c r="G689" s="5"/>
      <c r="H689" s="5"/>
      <c r="I689" s="5"/>
    </row>
    <row r="690" spans="1:9" ht="24">
      <c r="A690" s="5"/>
      <c r="B690" s="5"/>
      <c r="C690" s="5"/>
      <c r="D690" s="5"/>
      <c r="E690" s="58" t="s">
        <v>3874</v>
      </c>
      <c r="F690" s="5"/>
      <c r="G690" s="5"/>
      <c r="H690" s="5"/>
      <c r="I690" s="5"/>
    </row>
    <row r="691" spans="1:9" ht="24">
      <c r="A691" s="5"/>
      <c r="B691" s="5"/>
      <c r="C691" s="5"/>
      <c r="D691" s="5"/>
      <c r="E691" s="58" t="s">
        <v>3875</v>
      </c>
      <c r="F691" s="5"/>
      <c r="G691" s="5"/>
      <c r="H691" s="5"/>
      <c r="I691" s="5"/>
    </row>
    <row r="692" spans="1:9" ht="48">
      <c r="A692" s="5"/>
      <c r="B692" s="5"/>
      <c r="C692" s="5"/>
      <c r="D692" s="5"/>
      <c r="E692" s="58" t="s">
        <v>3876</v>
      </c>
      <c r="F692" s="5"/>
      <c r="G692" s="5"/>
      <c r="H692" s="5"/>
      <c r="I692" s="5"/>
    </row>
    <row r="693" spans="1:9" ht="24">
      <c r="A693" s="5"/>
      <c r="B693" s="5"/>
      <c r="C693" s="5"/>
      <c r="D693" s="5"/>
      <c r="E693" s="58" t="s">
        <v>3877</v>
      </c>
      <c r="F693" s="5"/>
      <c r="G693" s="5"/>
      <c r="H693" s="5"/>
      <c r="I693" s="5"/>
    </row>
    <row r="694" spans="1:9" ht="24">
      <c r="A694" s="5"/>
      <c r="B694" s="5"/>
      <c r="C694" s="5"/>
      <c r="D694" s="5"/>
      <c r="E694" s="58" t="s">
        <v>3878</v>
      </c>
      <c r="F694" s="5"/>
      <c r="G694" s="5"/>
      <c r="H694" s="5"/>
      <c r="I694" s="5"/>
    </row>
    <row r="695" spans="1:9" ht="24">
      <c r="A695" s="5"/>
      <c r="B695" s="5"/>
      <c r="C695" s="5"/>
      <c r="D695" s="5"/>
      <c r="E695" s="58" t="s">
        <v>3879</v>
      </c>
      <c r="F695" s="5"/>
      <c r="G695" s="5"/>
      <c r="H695" s="5"/>
      <c r="I695" s="5"/>
    </row>
    <row r="696" spans="1:9" ht="24">
      <c r="A696" s="5"/>
      <c r="B696" s="5"/>
      <c r="C696" s="5"/>
      <c r="D696" s="5"/>
      <c r="E696" s="58" t="s">
        <v>3880</v>
      </c>
      <c r="F696" s="5"/>
      <c r="G696" s="5"/>
      <c r="H696" s="5"/>
      <c r="I696" s="5"/>
    </row>
    <row r="697" spans="1:9" ht="48">
      <c r="A697" s="5"/>
      <c r="B697" s="5"/>
      <c r="C697" s="5"/>
      <c r="D697" s="5"/>
      <c r="E697" s="58" t="s">
        <v>3881</v>
      </c>
      <c r="F697" s="5"/>
      <c r="G697" s="5"/>
      <c r="H697" s="5"/>
      <c r="I697" s="5"/>
    </row>
    <row r="698" spans="1:9" ht="36">
      <c r="A698" s="5"/>
      <c r="B698" s="5"/>
      <c r="C698" s="5"/>
      <c r="D698" s="5"/>
      <c r="E698" s="58" t="s">
        <v>3882</v>
      </c>
      <c r="F698" s="5"/>
      <c r="G698" s="5"/>
      <c r="H698" s="5"/>
      <c r="I698" s="5"/>
    </row>
    <row r="699" spans="1:9" ht="48">
      <c r="A699" s="5"/>
      <c r="B699" s="5"/>
      <c r="C699" s="5"/>
      <c r="D699" s="5"/>
      <c r="E699" s="58" t="s">
        <v>3883</v>
      </c>
      <c r="F699" s="5"/>
      <c r="G699" s="5"/>
      <c r="H699" s="5"/>
      <c r="I699" s="5"/>
    </row>
    <row r="700" spans="1:9" ht="72">
      <c r="A700" s="5"/>
      <c r="B700" s="5"/>
      <c r="C700" s="5"/>
      <c r="D700" s="5"/>
      <c r="E700" s="58" t="s">
        <v>3884</v>
      </c>
      <c r="F700" s="5"/>
      <c r="G700" s="5"/>
      <c r="H700" s="5"/>
      <c r="I700" s="5"/>
    </row>
    <row r="701" spans="1:9" ht="72">
      <c r="A701" s="5"/>
      <c r="B701" s="5"/>
      <c r="C701" s="5"/>
      <c r="D701" s="5"/>
      <c r="E701" s="58" t="s">
        <v>3885</v>
      </c>
      <c r="F701" s="5"/>
      <c r="G701" s="5"/>
      <c r="H701" s="5"/>
      <c r="I701" s="5"/>
    </row>
    <row r="702" spans="1:9" ht="96">
      <c r="A702" s="5"/>
      <c r="B702" s="5"/>
      <c r="C702" s="5"/>
      <c r="D702" s="5"/>
      <c r="E702" s="58" t="s">
        <v>3886</v>
      </c>
      <c r="F702" s="5"/>
      <c r="G702" s="5"/>
      <c r="H702" s="5"/>
      <c r="I702" s="5"/>
    </row>
    <row r="703" spans="1:9" ht="24">
      <c r="A703" s="5"/>
      <c r="B703" s="5"/>
      <c r="C703" s="5"/>
      <c r="D703" s="5"/>
      <c r="E703" s="58" t="s">
        <v>3887</v>
      </c>
      <c r="F703" s="5"/>
      <c r="G703" s="5"/>
      <c r="H703" s="5"/>
      <c r="I703" s="5"/>
    </row>
    <row r="704" spans="1:9" ht="24">
      <c r="A704" s="5"/>
      <c r="B704" s="5"/>
      <c r="C704" s="5"/>
      <c r="D704" s="5"/>
      <c r="E704" s="58" t="s">
        <v>3888</v>
      </c>
      <c r="F704" s="5"/>
      <c r="G704" s="5"/>
      <c r="H704" s="5"/>
      <c r="I704" s="5"/>
    </row>
    <row r="705" spans="1:9" ht="36">
      <c r="A705" s="5"/>
      <c r="B705" s="5"/>
      <c r="C705" s="5"/>
      <c r="D705" s="5"/>
      <c r="E705" s="58" t="s">
        <v>3889</v>
      </c>
      <c r="F705" s="5"/>
      <c r="G705" s="5"/>
      <c r="H705" s="5"/>
      <c r="I705" s="5"/>
    </row>
    <row r="706" spans="1:9" ht="24">
      <c r="A706" s="5"/>
      <c r="B706" s="5"/>
      <c r="C706" s="5"/>
      <c r="D706" s="5"/>
      <c r="E706" s="58" t="s">
        <v>3890</v>
      </c>
      <c r="F706" s="5"/>
      <c r="G706" s="5"/>
      <c r="H706" s="5"/>
      <c r="I706" s="5"/>
    </row>
    <row r="707" spans="1:9" ht="60">
      <c r="A707" s="5"/>
      <c r="B707" s="5"/>
      <c r="C707" s="5"/>
      <c r="D707" s="5"/>
      <c r="E707" s="58" t="s">
        <v>3891</v>
      </c>
      <c r="F707" s="5"/>
      <c r="G707" s="5"/>
      <c r="H707" s="5"/>
      <c r="I707" s="5"/>
    </row>
    <row r="708" spans="1:9" ht="36">
      <c r="A708" s="5"/>
      <c r="B708" s="5"/>
      <c r="C708" s="5"/>
      <c r="D708" s="5"/>
      <c r="E708" s="58" t="s">
        <v>3892</v>
      </c>
      <c r="F708" s="5"/>
      <c r="G708" s="5"/>
      <c r="H708" s="5"/>
      <c r="I708" s="5"/>
    </row>
    <row r="709" spans="1:9" ht="24">
      <c r="A709" s="5"/>
      <c r="B709" s="5"/>
      <c r="C709" s="5"/>
      <c r="D709" s="5"/>
      <c r="E709" s="58" t="s">
        <v>3893</v>
      </c>
      <c r="F709" s="5"/>
      <c r="G709" s="5"/>
      <c r="H709" s="5"/>
      <c r="I709" s="5"/>
    </row>
    <row r="710" spans="1:9" ht="24">
      <c r="A710" s="5"/>
      <c r="B710" s="5"/>
      <c r="C710" s="5"/>
      <c r="D710" s="5"/>
      <c r="E710" s="58" t="s">
        <v>3894</v>
      </c>
      <c r="F710" s="5"/>
      <c r="G710" s="5"/>
      <c r="H710" s="5"/>
      <c r="I710" s="5"/>
    </row>
    <row r="711" spans="1:9" ht="24">
      <c r="A711" s="5"/>
      <c r="B711" s="5"/>
      <c r="C711" s="5"/>
      <c r="D711" s="5"/>
      <c r="E711" s="58" t="s">
        <v>3895</v>
      </c>
      <c r="F711" s="5"/>
      <c r="G711" s="5"/>
      <c r="H711" s="5"/>
      <c r="I711" s="5"/>
    </row>
    <row r="712" spans="1:9" ht="36">
      <c r="A712" s="5"/>
      <c r="B712" s="5"/>
      <c r="C712" s="5"/>
      <c r="D712" s="5"/>
      <c r="E712" s="58" t="s">
        <v>3896</v>
      </c>
      <c r="F712" s="5"/>
      <c r="G712" s="5"/>
      <c r="H712" s="5"/>
      <c r="I712" s="5"/>
    </row>
    <row r="713" spans="1:9" ht="48">
      <c r="A713" s="5"/>
      <c r="B713" s="5"/>
      <c r="C713" s="5"/>
      <c r="D713" s="5"/>
      <c r="E713" s="58" t="s">
        <v>3897</v>
      </c>
      <c r="F713" s="5"/>
      <c r="G713" s="5"/>
      <c r="H713" s="5"/>
      <c r="I713" s="5"/>
    </row>
    <row r="714" spans="1:9" ht="36">
      <c r="A714" s="5"/>
      <c r="B714" s="5"/>
      <c r="C714" s="5"/>
      <c r="D714" s="5"/>
      <c r="E714" s="58" t="s">
        <v>3898</v>
      </c>
      <c r="F714" s="5"/>
      <c r="G714" s="5"/>
      <c r="H714" s="5"/>
      <c r="I714" s="5"/>
    </row>
    <row r="715" spans="1:9" ht="36">
      <c r="A715" s="5"/>
      <c r="B715" s="5"/>
      <c r="C715" s="5"/>
      <c r="D715" s="5"/>
      <c r="E715" s="58" t="s">
        <v>3899</v>
      </c>
      <c r="F715" s="5"/>
      <c r="G715" s="5"/>
      <c r="H715" s="5"/>
      <c r="I715" s="5"/>
    </row>
    <row r="716" spans="1:9" ht="36">
      <c r="A716" s="5"/>
      <c r="B716" s="5"/>
      <c r="C716" s="5"/>
      <c r="D716" s="5"/>
      <c r="E716" s="58" t="s">
        <v>3900</v>
      </c>
      <c r="F716" s="5"/>
      <c r="G716" s="5"/>
      <c r="H716" s="5"/>
      <c r="I716" s="5"/>
    </row>
    <row r="717" spans="1:9" ht="36">
      <c r="A717" s="5"/>
      <c r="B717" s="5"/>
      <c r="C717" s="5"/>
      <c r="D717" s="5"/>
      <c r="E717" s="58" t="s">
        <v>3901</v>
      </c>
      <c r="F717" s="5"/>
      <c r="G717" s="5"/>
      <c r="H717" s="5"/>
      <c r="I717" s="5"/>
    </row>
    <row r="718" spans="1:9" ht="84">
      <c r="A718" s="5"/>
      <c r="B718" s="5"/>
      <c r="C718" s="5"/>
      <c r="D718" s="5"/>
      <c r="E718" s="58" t="s">
        <v>3902</v>
      </c>
      <c r="F718" s="5"/>
      <c r="G718" s="5"/>
      <c r="H718" s="5"/>
      <c r="I718" s="5"/>
    </row>
    <row r="719" spans="1:9" ht="60">
      <c r="A719" s="5"/>
      <c r="B719" s="5"/>
      <c r="C719" s="5"/>
      <c r="D719" s="5"/>
      <c r="E719" s="58" t="s">
        <v>3903</v>
      </c>
      <c r="F719" s="5"/>
      <c r="G719" s="5"/>
      <c r="H719" s="5"/>
      <c r="I719" s="5"/>
    </row>
    <row r="720" spans="1:9" ht="60">
      <c r="A720" s="5"/>
      <c r="B720" s="5"/>
      <c r="C720" s="5"/>
      <c r="D720" s="5"/>
      <c r="E720" s="58" t="s">
        <v>3904</v>
      </c>
      <c r="F720" s="5"/>
      <c r="G720" s="5"/>
      <c r="H720" s="5"/>
      <c r="I720" s="5"/>
    </row>
    <row r="721" spans="1:9" ht="48">
      <c r="A721" s="5"/>
      <c r="B721" s="5"/>
      <c r="C721" s="5"/>
      <c r="D721" s="5"/>
      <c r="E721" s="58" t="s">
        <v>3905</v>
      </c>
      <c r="F721" s="5"/>
      <c r="G721" s="5"/>
      <c r="H721" s="5"/>
      <c r="I721" s="5"/>
    </row>
    <row r="722" spans="1:9" ht="24">
      <c r="A722" s="5"/>
      <c r="B722" s="5"/>
      <c r="C722" s="5"/>
      <c r="D722" s="5"/>
      <c r="E722" s="58" t="s">
        <v>3906</v>
      </c>
      <c r="F722" s="5"/>
      <c r="G722" s="5"/>
      <c r="H722" s="5"/>
      <c r="I722" s="5"/>
    </row>
    <row r="723" spans="1:9" ht="24">
      <c r="A723" s="5"/>
      <c r="B723" s="5"/>
      <c r="C723" s="5"/>
      <c r="D723" s="5"/>
      <c r="E723" s="58" t="s">
        <v>699</v>
      </c>
      <c r="F723" s="5"/>
      <c r="G723" s="5"/>
      <c r="H723" s="5"/>
      <c r="I723" s="5"/>
    </row>
    <row r="724" spans="1:9" ht="84">
      <c r="A724" s="5"/>
      <c r="B724" s="5"/>
      <c r="C724" s="5"/>
      <c r="D724" s="5"/>
      <c r="E724" s="58" t="s">
        <v>3907</v>
      </c>
      <c r="F724" s="5"/>
      <c r="G724" s="5"/>
      <c r="H724" s="5"/>
      <c r="I724" s="5"/>
    </row>
    <row r="725" spans="1:9" ht="24">
      <c r="A725" s="5"/>
      <c r="B725" s="5"/>
      <c r="C725" s="5"/>
      <c r="D725" s="5"/>
      <c r="E725" s="58" t="s">
        <v>3908</v>
      </c>
      <c r="F725" s="5"/>
      <c r="G725" s="5"/>
      <c r="H725" s="5"/>
      <c r="I725" s="5"/>
    </row>
    <row r="726" spans="1:9" ht="36">
      <c r="A726" s="5"/>
      <c r="B726" s="5"/>
      <c r="C726" s="5"/>
      <c r="D726" s="5"/>
      <c r="E726" s="58" t="s">
        <v>3909</v>
      </c>
      <c r="F726" s="5"/>
      <c r="G726" s="5"/>
      <c r="H726" s="5"/>
      <c r="I726" s="5"/>
    </row>
    <row r="727" spans="1:9" ht="36">
      <c r="A727" s="5"/>
      <c r="B727" s="5"/>
      <c r="C727" s="5"/>
      <c r="D727" s="5"/>
      <c r="E727" s="58" t="s">
        <v>3910</v>
      </c>
      <c r="F727" s="5"/>
      <c r="G727" s="5"/>
      <c r="H727" s="5"/>
      <c r="I727" s="5"/>
    </row>
    <row r="728" spans="1:9" ht="36">
      <c r="A728" s="5"/>
      <c r="B728" s="5"/>
      <c r="C728" s="5"/>
      <c r="D728" s="5"/>
      <c r="E728" s="58" t="s">
        <v>3911</v>
      </c>
      <c r="F728" s="5"/>
      <c r="G728" s="5"/>
      <c r="H728" s="5"/>
      <c r="I728" s="5"/>
    </row>
    <row r="729" spans="1:9" ht="24">
      <c r="A729" s="5"/>
      <c r="B729" s="5"/>
      <c r="C729" s="5"/>
      <c r="D729" s="5"/>
      <c r="E729" s="58" t="s">
        <v>3912</v>
      </c>
      <c r="F729" s="5"/>
      <c r="G729" s="5"/>
      <c r="H729" s="5"/>
      <c r="I729" s="5"/>
    </row>
    <row r="730" spans="1:9" ht="24">
      <c r="A730" s="5"/>
      <c r="B730" s="5"/>
      <c r="C730" s="5"/>
      <c r="D730" s="5"/>
      <c r="E730" s="58" t="s">
        <v>3913</v>
      </c>
      <c r="F730" s="5"/>
      <c r="G730" s="5"/>
      <c r="H730" s="5"/>
      <c r="I730" s="5"/>
    </row>
    <row r="731" spans="1:9" ht="24">
      <c r="A731" s="5"/>
      <c r="B731" s="5"/>
      <c r="C731" s="5"/>
      <c r="D731" s="5"/>
      <c r="E731" s="58" t="s">
        <v>3914</v>
      </c>
      <c r="F731" s="5"/>
      <c r="G731" s="5"/>
      <c r="H731" s="5"/>
      <c r="I731" s="5"/>
    </row>
    <row r="732" spans="1:9" ht="36">
      <c r="A732" s="5"/>
      <c r="B732" s="5"/>
      <c r="C732" s="5"/>
      <c r="D732" s="5"/>
      <c r="E732" s="58" t="s">
        <v>3915</v>
      </c>
      <c r="F732" s="5"/>
      <c r="G732" s="5"/>
      <c r="H732" s="5"/>
      <c r="I732" s="5"/>
    </row>
    <row r="733" spans="1:9" ht="36">
      <c r="A733" s="5"/>
      <c r="B733" s="5"/>
      <c r="C733" s="5"/>
      <c r="D733" s="5"/>
      <c r="E733" s="58" t="s">
        <v>3916</v>
      </c>
      <c r="F733" s="5"/>
      <c r="G733" s="5"/>
      <c r="H733" s="5"/>
      <c r="I733" s="5"/>
    </row>
    <row r="734" spans="1:9" ht="84">
      <c r="A734" s="5"/>
      <c r="B734" s="5"/>
      <c r="C734" s="5"/>
      <c r="D734" s="5"/>
      <c r="E734" s="58" t="s">
        <v>3917</v>
      </c>
      <c r="F734" s="5"/>
      <c r="G734" s="5"/>
      <c r="H734" s="5"/>
      <c r="I734" s="5"/>
    </row>
    <row r="735" spans="1:9" ht="72">
      <c r="A735" s="5"/>
      <c r="B735" s="5"/>
      <c r="C735" s="5"/>
      <c r="D735" s="5"/>
      <c r="E735" s="58" t="s">
        <v>3918</v>
      </c>
      <c r="F735" s="5"/>
      <c r="G735" s="5"/>
      <c r="H735" s="5"/>
      <c r="I735" s="5"/>
    </row>
    <row r="736" spans="1:9" ht="36">
      <c r="A736" s="5"/>
      <c r="B736" s="5"/>
      <c r="C736" s="5"/>
      <c r="D736" s="5"/>
      <c r="E736" s="58" t="s">
        <v>3919</v>
      </c>
      <c r="F736" s="5"/>
      <c r="G736" s="5"/>
      <c r="H736" s="5"/>
      <c r="I736" s="5"/>
    </row>
    <row r="737" spans="1:9" ht="24">
      <c r="A737" s="5"/>
      <c r="B737" s="5"/>
      <c r="C737" s="5"/>
      <c r="D737" s="5"/>
      <c r="E737" s="58" t="s">
        <v>3920</v>
      </c>
      <c r="F737" s="5"/>
      <c r="G737" s="5"/>
      <c r="H737" s="5"/>
      <c r="I737" s="5"/>
    </row>
    <row r="738" spans="1:9" ht="24">
      <c r="A738" s="5"/>
      <c r="B738" s="5"/>
      <c r="C738" s="5"/>
      <c r="D738" s="5"/>
      <c r="E738" s="58" t="s">
        <v>3921</v>
      </c>
      <c r="F738" s="5"/>
      <c r="G738" s="5"/>
      <c r="H738" s="5"/>
      <c r="I738" s="5"/>
    </row>
    <row r="739" spans="1:9" ht="24">
      <c r="A739" s="5"/>
      <c r="B739" s="5"/>
      <c r="C739" s="5"/>
      <c r="D739" s="5"/>
      <c r="E739" s="58" t="s">
        <v>3922</v>
      </c>
      <c r="F739" s="5"/>
      <c r="G739" s="5"/>
      <c r="H739" s="5"/>
      <c r="I739" s="5"/>
    </row>
    <row r="740" spans="1:9" ht="36">
      <c r="A740" s="5"/>
      <c r="B740" s="5"/>
      <c r="C740" s="5"/>
      <c r="D740" s="5"/>
      <c r="E740" s="58" t="s">
        <v>3923</v>
      </c>
      <c r="F740" s="5"/>
      <c r="G740" s="5"/>
      <c r="H740" s="5"/>
      <c r="I740" s="5"/>
    </row>
    <row r="741" spans="1:9" ht="36">
      <c r="A741" s="5"/>
      <c r="B741" s="5"/>
      <c r="C741" s="5"/>
      <c r="D741" s="5"/>
      <c r="E741" s="58" t="s">
        <v>3924</v>
      </c>
      <c r="F741" s="5"/>
      <c r="G741" s="5"/>
      <c r="H741" s="5"/>
      <c r="I741" s="5"/>
    </row>
    <row r="742" spans="1:9" ht="60">
      <c r="A742" s="5"/>
      <c r="B742" s="5"/>
      <c r="C742" s="5"/>
      <c r="D742" s="5"/>
      <c r="E742" s="58" t="s">
        <v>3925</v>
      </c>
      <c r="F742" s="5"/>
      <c r="G742" s="5"/>
      <c r="H742" s="5"/>
      <c r="I742" s="5"/>
    </row>
    <row r="743" spans="1:9" ht="48">
      <c r="A743" s="5"/>
      <c r="B743" s="5"/>
      <c r="C743" s="5"/>
      <c r="D743" s="5"/>
      <c r="E743" s="58" t="s">
        <v>3926</v>
      </c>
      <c r="F743" s="5"/>
      <c r="G743" s="5"/>
      <c r="H743" s="5"/>
      <c r="I743" s="5"/>
    </row>
    <row r="744" spans="1:9" ht="36">
      <c r="A744" s="5"/>
      <c r="B744" s="5"/>
      <c r="C744" s="5"/>
      <c r="D744" s="5"/>
      <c r="E744" s="58" t="s">
        <v>3927</v>
      </c>
      <c r="F744" s="5"/>
      <c r="G744" s="5"/>
      <c r="H744" s="5"/>
      <c r="I744" s="5"/>
    </row>
    <row r="745" spans="1:9" ht="36">
      <c r="A745" s="5"/>
      <c r="B745" s="5"/>
      <c r="C745" s="5"/>
      <c r="D745" s="5"/>
      <c r="E745" s="58" t="s">
        <v>3928</v>
      </c>
      <c r="F745" s="5"/>
      <c r="G745" s="5"/>
      <c r="H745" s="5"/>
      <c r="I745" s="5"/>
    </row>
    <row r="746" spans="1:9" ht="24">
      <c r="A746" s="5"/>
      <c r="B746" s="5"/>
      <c r="C746" s="5"/>
      <c r="D746" s="5"/>
      <c r="E746" s="58" t="s">
        <v>3929</v>
      </c>
      <c r="F746" s="5"/>
      <c r="G746" s="5"/>
      <c r="H746" s="5"/>
      <c r="I746" s="5"/>
    </row>
    <row r="747" spans="1:9" ht="72">
      <c r="A747" s="5"/>
      <c r="B747" s="5"/>
      <c r="C747" s="5"/>
      <c r="D747" s="5"/>
      <c r="E747" s="58" t="s">
        <v>3930</v>
      </c>
      <c r="F747" s="5"/>
      <c r="G747" s="5"/>
      <c r="H747" s="5"/>
      <c r="I747" s="5"/>
    </row>
    <row r="748" spans="1:9" ht="48">
      <c r="A748" s="5"/>
      <c r="B748" s="5"/>
      <c r="C748" s="5"/>
      <c r="D748" s="5"/>
      <c r="E748" s="58" t="s">
        <v>3931</v>
      </c>
      <c r="F748" s="5"/>
      <c r="G748" s="5"/>
      <c r="H748" s="5"/>
      <c r="I748" s="5"/>
    </row>
    <row r="749" spans="1:9" ht="36">
      <c r="A749" s="5"/>
      <c r="B749" s="5"/>
      <c r="C749" s="5"/>
      <c r="D749" s="5"/>
      <c r="E749" s="58" t="s">
        <v>3932</v>
      </c>
      <c r="F749" s="5"/>
      <c r="G749" s="5"/>
      <c r="H749" s="5"/>
      <c r="I749" s="5"/>
    </row>
    <row r="750" spans="1:9" ht="48">
      <c r="A750" s="5"/>
      <c r="B750" s="5"/>
      <c r="C750" s="5"/>
      <c r="D750" s="5"/>
      <c r="E750" s="58" t="s">
        <v>3933</v>
      </c>
      <c r="F750" s="5"/>
      <c r="G750" s="5"/>
      <c r="H750" s="5"/>
      <c r="I750" s="5"/>
    </row>
    <row r="751" spans="1:9" ht="24">
      <c r="A751" s="5"/>
      <c r="B751" s="5"/>
      <c r="C751" s="5"/>
      <c r="D751" s="5"/>
      <c r="E751" s="58" t="s">
        <v>3934</v>
      </c>
      <c r="F751" s="5"/>
      <c r="G751" s="5"/>
      <c r="H751" s="5"/>
      <c r="I751" s="5"/>
    </row>
    <row r="752" spans="1:9" ht="24">
      <c r="A752" s="5"/>
      <c r="B752" s="5"/>
      <c r="C752" s="5"/>
      <c r="D752" s="5"/>
      <c r="E752" s="58" t="s">
        <v>3935</v>
      </c>
      <c r="F752" s="5"/>
      <c r="G752" s="5"/>
      <c r="H752" s="5"/>
      <c r="I752" s="5"/>
    </row>
    <row r="753" spans="1:9" ht="36">
      <c r="A753" s="5"/>
      <c r="B753" s="5"/>
      <c r="C753" s="5"/>
      <c r="D753" s="5"/>
      <c r="E753" s="58" t="s">
        <v>3936</v>
      </c>
      <c r="F753" s="5"/>
      <c r="G753" s="5"/>
      <c r="H753" s="5"/>
      <c r="I753" s="5"/>
    </row>
    <row r="754" spans="1:9" ht="60">
      <c r="A754" s="5"/>
      <c r="B754" s="5"/>
      <c r="C754" s="5"/>
      <c r="D754" s="5"/>
      <c r="E754" s="58" t="s">
        <v>3937</v>
      </c>
      <c r="F754" s="5"/>
      <c r="G754" s="5"/>
      <c r="H754" s="5"/>
      <c r="I754" s="5"/>
    </row>
    <row r="755" spans="1:9" ht="48">
      <c r="A755" s="5"/>
      <c r="B755" s="5"/>
      <c r="C755" s="5"/>
      <c r="D755" s="5"/>
      <c r="E755" s="58" t="s">
        <v>3938</v>
      </c>
      <c r="F755" s="5"/>
      <c r="G755" s="5"/>
      <c r="H755" s="5"/>
      <c r="I755" s="5"/>
    </row>
    <row r="756" spans="1:9" ht="24">
      <c r="A756" s="5"/>
      <c r="B756" s="5"/>
      <c r="C756" s="5"/>
      <c r="D756" s="5"/>
      <c r="E756" s="58" t="s">
        <v>3939</v>
      </c>
      <c r="F756" s="5"/>
      <c r="G756" s="5"/>
      <c r="H756" s="5"/>
      <c r="I756" s="5"/>
    </row>
    <row r="757" spans="1:9" ht="36">
      <c r="A757" s="5"/>
      <c r="B757" s="5"/>
      <c r="C757" s="5"/>
      <c r="D757" s="5"/>
      <c r="E757" s="58" t="s">
        <v>3940</v>
      </c>
      <c r="F757" s="5"/>
      <c r="G757" s="5"/>
      <c r="H757" s="5"/>
      <c r="I757" s="5"/>
    </row>
    <row r="758" spans="1:9" ht="36">
      <c r="A758" s="5"/>
      <c r="B758" s="5"/>
      <c r="C758" s="5"/>
      <c r="D758" s="5"/>
      <c r="E758" s="58" t="s">
        <v>3941</v>
      </c>
      <c r="F758" s="5"/>
      <c r="G758" s="5"/>
      <c r="H758" s="5"/>
      <c r="I758" s="5"/>
    </row>
    <row r="759" spans="1:9" ht="24">
      <c r="A759" s="5"/>
      <c r="B759" s="5"/>
      <c r="C759" s="5"/>
      <c r="D759" s="5"/>
      <c r="E759" s="58" t="s">
        <v>3942</v>
      </c>
      <c r="F759" s="5"/>
      <c r="G759" s="5"/>
      <c r="H759" s="5"/>
      <c r="I759" s="5"/>
    </row>
    <row r="760" spans="1:9" ht="24">
      <c r="A760" s="5"/>
      <c r="B760" s="5"/>
      <c r="C760" s="5"/>
      <c r="D760" s="5"/>
      <c r="E760" s="58" t="s">
        <v>3943</v>
      </c>
      <c r="F760" s="5"/>
      <c r="G760" s="5"/>
      <c r="H760" s="5"/>
      <c r="I760" s="5"/>
    </row>
    <row r="761" spans="1:9" ht="24">
      <c r="A761" s="5"/>
      <c r="B761" s="5"/>
      <c r="C761" s="5"/>
      <c r="D761" s="5"/>
      <c r="E761" s="58" t="s">
        <v>3944</v>
      </c>
      <c r="F761" s="5"/>
      <c r="G761" s="5"/>
      <c r="H761" s="5"/>
      <c r="I761" s="5"/>
    </row>
    <row r="762" spans="1:9" ht="36">
      <c r="A762" s="5"/>
      <c r="B762" s="5"/>
      <c r="C762" s="5"/>
      <c r="D762" s="5"/>
      <c r="E762" s="58" t="s">
        <v>3945</v>
      </c>
      <c r="F762" s="5"/>
      <c r="G762" s="5"/>
      <c r="H762" s="5"/>
      <c r="I762" s="5"/>
    </row>
    <row r="763" spans="1:9" ht="36">
      <c r="A763" s="5"/>
      <c r="B763" s="5"/>
      <c r="C763" s="5"/>
      <c r="D763" s="5"/>
      <c r="E763" s="58" t="s">
        <v>3946</v>
      </c>
      <c r="F763" s="5"/>
      <c r="G763" s="5"/>
      <c r="H763" s="5"/>
      <c r="I763" s="5"/>
    </row>
    <row r="764" spans="1:9" ht="24">
      <c r="A764" s="5"/>
      <c r="B764" s="5"/>
      <c r="C764" s="5"/>
      <c r="D764" s="5"/>
      <c r="E764" s="58" t="s">
        <v>3947</v>
      </c>
      <c r="F764" s="5"/>
      <c r="G764" s="5"/>
      <c r="H764" s="5"/>
      <c r="I764" s="5"/>
    </row>
    <row r="765" spans="1:9" ht="60">
      <c r="A765" s="5"/>
      <c r="B765" s="5"/>
      <c r="C765" s="5"/>
      <c r="D765" s="5"/>
      <c r="E765" s="58" t="s">
        <v>3948</v>
      </c>
      <c r="F765" s="5"/>
      <c r="G765" s="5"/>
      <c r="H765" s="5"/>
      <c r="I765" s="5"/>
    </row>
    <row r="766" spans="1:9" ht="60">
      <c r="A766" s="5"/>
      <c r="B766" s="5"/>
      <c r="C766" s="5"/>
      <c r="D766" s="5"/>
      <c r="E766" s="58" t="s">
        <v>3949</v>
      </c>
      <c r="F766" s="5"/>
      <c r="G766" s="5"/>
      <c r="H766" s="5"/>
      <c r="I766" s="5"/>
    </row>
    <row r="767" spans="1:9" ht="36">
      <c r="A767" s="5"/>
      <c r="B767" s="5"/>
      <c r="C767" s="5"/>
      <c r="D767" s="5"/>
      <c r="E767" s="58" t="s">
        <v>3950</v>
      </c>
      <c r="F767" s="5"/>
      <c r="G767" s="5"/>
      <c r="H767" s="5"/>
      <c r="I767" s="5"/>
    </row>
    <row r="768" spans="1:9" ht="24">
      <c r="A768" s="5"/>
      <c r="B768" s="5"/>
      <c r="C768" s="5"/>
      <c r="D768" s="5"/>
      <c r="E768" s="58" t="s">
        <v>3951</v>
      </c>
      <c r="F768" s="5"/>
      <c r="G768" s="5"/>
      <c r="H768" s="5"/>
      <c r="I768" s="5"/>
    </row>
    <row r="769" spans="1:9" ht="36">
      <c r="A769" s="5"/>
      <c r="B769" s="5"/>
      <c r="C769" s="5"/>
      <c r="D769" s="5"/>
      <c r="E769" s="58" t="s">
        <v>3952</v>
      </c>
      <c r="F769" s="5"/>
      <c r="G769" s="5"/>
      <c r="H769" s="5"/>
      <c r="I769" s="5"/>
    </row>
    <row r="770" spans="1:9" ht="36">
      <c r="A770" s="5"/>
      <c r="B770" s="5"/>
      <c r="C770" s="5"/>
      <c r="D770" s="5"/>
      <c r="E770" s="58" t="s">
        <v>916</v>
      </c>
      <c r="F770" s="5"/>
      <c r="G770" s="5"/>
      <c r="H770" s="5"/>
      <c r="I770" s="5"/>
    </row>
    <row r="771" spans="1:9" ht="60">
      <c r="A771" s="5"/>
      <c r="B771" s="5"/>
      <c r="C771" s="5"/>
      <c r="D771" s="5"/>
      <c r="E771" s="58" t="s">
        <v>3953</v>
      </c>
      <c r="F771" s="5"/>
      <c r="G771" s="5"/>
      <c r="H771" s="5"/>
      <c r="I771" s="5"/>
    </row>
    <row r="772" spans="1:9" ht="60">
      <c r="A772" s="5"/>
      <c r="B772" s="5"/>
      <c r="C772" s="5"/>
      <c r="D772" s="5"/>
      <c r="E772" s="58" t="s">
        <v>3954</v>
      </c>
      <c r="F772" s="5"/>
      <c r="G772" s="5"/>
      <c r="H772" s="5"/>
      <c r="I772" s="5"/>
    </row>
    <row r="773" spans="1:9" ht="48">
      <c r="A773" s="5"/>
      <c r="B773" s="5"/>
      <c r="C773" s="5"/>
      <c r="D773" s="5"/>
      <c r="E773" s="58" t="s">
        <v>3955</v>
      </c>
      <c r="F773" s="5"/>
      <c r="G773" s="5"/>
      <c r="H773" s="5"/>
      <c r="I773" s="5"/>
    </row>
    <row r="774" spans="1:9" ht="36">
      <c r="A774" s="5"/>
      <c r="B774" s="5"/>
      <c r="C774" s="5"/>
      <c r="D774" s="5"/>
      <c r="E774" s="58" t="s">
        <v>3956</v>
      </c>
      <c r="F774" s="5"/>
      <c r="G774" s="5"/>
      <c r="H774" s="5"/>
      <c r="I774" s="5"/>
    </row>
    <row r="775" spans="1:9" ht="60">
      <c r="A775" s="5"/>
      <c r="B775" s="5"/>
      <c r="C775" s="5"/>
      <c r="D775" s="5"/>
      <c r="E775" s="58" t="s">
        <v>3957</v>
      </c>
      <c r="F775" s="5"/>
      <c r="G775" s="5"/>
      <c r="H775" s="5"/>
      <c r="I775" s="5"/>
    </row>
    <row r="776" spans="1:9" ht="60">
      <c r="A776" s="5"/>
      <c r="B776" s="5"/>
      <c r="C776" s="5"/>
      <c r="D776" s="5"/>
      <c r="E776" s="58" t="s">
        <v>3958</v>
      </c>
      <c r="F776" s="5"/>
      <c r="G776" s="5"/>
      <c r="H776" s="5"/>
      <c r="I776" s="5"/>
    </row>
    <row r="777" spans="1:9" ht="36">
      <c r="A777" s="5"/>
      <c r="B777" s="5"/>
      <c r="C777" s="5"/>
      <c r="D777" s="5"/>
      <c r="E777" s="58" t="s">
        <v>3959</v>
      </c>
      <c r="F777" s="5"/>
      <c r="G777" s="5"/>
      <c r="H777" s="5"/>
      <c r="I777" s="5"/>
    </row>
    <row r="778" spans="1:9" ht="36">
      <c r="A778" s="5"/>
      <c r="B778" s="5"/>
      <c r="C778" s="5"/>
      <c r="D778" s="5"/>
      <c r="E778" s="58" t="s">
        <v>3960</v>
      </c>
      <c r="F778" s="5"/>
      <c r="G778" s="5"/>
      <c r="H778" s="5"/>
      <c r="I778" s="5"/>
    </row>
    <row r="779" spans="1:9" ht="24">
      <c r="A779" s="5"/>
      <c r="B779" s="5"/>
      <c r="C779" s="5"/>
      <c r="D779" s="5"/>
      <c r="E779" s="58" t="s">
        <v>3961</v>
      </c>
      <c r="F779" s="5"/>
      <c r="G779" s="5"/>
      <c r="H779" s="5"/>
      <c r="I779" s="5"/>
    </row>
    <row r="780" spans="1:9" ht="48">
      <c r="A780" s="5"/>
      <c r="B780" s="5"/>
      <c r="C780" s="5"/>
      <c r="D780" s="5"/>
      <c r="E780" s="58" t="s">
        <v>3962</v>
      </c>
      <c r="F780" s="5"/>
      <c r="G780" s="5"/>
      <c r="H780" s="5"/>
      <c r="I780" s="5"/>
    </row>
    <row r="781" spans="1:9" ht="24">
      <c r="A781" s="5"/>
      <c r="B781" s="5"/>
      <c r="C781" s="5"/>
      <c r="D781" s="5"/>
      <c r="E781" s="58" t="s">
        <v>3963</v>
      </c>
      <c r="F781" s="5"/>
      <c r="G781" s="5"/>
      <c r="H781" s="5"/>
      <c r="I781" s="5"/>
    </row>
    <row r="782" spans="1:9" ht="24">
      <c r="A782" s="5"/>
      <c r="B782" s="5"/>
      <c r="C782" s="5"/>
      <c r="D782" s="5"/>
      <c r="E782" s="58" t="s">
        <v>3964</v>
      </c>
      <c r="F782" s="5"/>
      <c r="G782" s="5"/>
      <c r="H782" s="5"/>
      <c r="I782" s="5"/>
    </row>
    <row r="783" spans="1:9" ht="24">
      <c r="A783" s="5"/>
      <c r="B783" s="5"/>
      <c r="C783" s="5"/>
      <c r="D783" s="5"/>
      <c r="E783" s="58" t="s">
        <v>3965</v>
      </c>
      <c r="F783" s="5"/>
      <c r="G783" s="5"/>
      <c r="H783" s="5"/>
      <c r="I783" s="5"/>
    </row>
    <row r="784" spans="1:9" ht="36">
      <c r="A784" s="5"/>
      <c r="B784" s="5"/>
      <c r="C784" s="5"/>
      <c r="D784" s="5"/>
      <c r="E784" s="58" t="s">
        <v>3966</v>
      </c>
      <c r="F784" s="5"/>
      <c r="G784" s="5"/>
      <c r="H784" s="5"/>
      <c r="I784" s="5"/>
    </row>
    <row r="785" spans="1:9" ht="24">
      <c r="A785" s="5"/>
      <c r="B785" s="5"/>
      <c r="C785" s="5"/>
      <c r="D785" s="5"/>
      <c r="E785" s="48" t="s">
        <v>3967</v>
      </c>
      <c r="F785" s="5"/>
      <c r="G785" s="5"/>
      <c r="H785" s="5"/>
      <c r="I785" s="5"/>
    </row>
    <row r="786" spans="1:9" ht="36">
      <c r="A786" s="5"/>
      <c r="B786" s="5"/>
      <c r="C786" s="5"/>
      <c r="D786" s="5"/>
      <c r="E786" s="48" t="s">
        <v>3968</v>
      </c>
      <c r="F786" s="5"/>
      <c r="G786" s="5"/>
      <c r="H786" s="5"/>
      <c r="I786" s="5"/>
    </row>
    <row r="787" spans="1:9" ht="24">
      <c r="A787" s="5"/>
      <c r="B787" s="5"/>
      <c r="C787" s="5"/>
      <c r="D787" s="5"/>
      <c r="E787" s="48" t="s">
        <v>3969</v>
      </c>
      <c r="F787" s="5"/>
      <c r="G787" s="5"/>
      <c r="H787" s="5"/>
      <c r="I787" s="5"/>
    </row>
    <row r="788" spans="1:9" ht="48">
      <c r="A788" s="5"/>
      <c r="B788" s="5"/>
      <c r="C788" s="5"/>
      <c r="D788" s="5"/>
      <c r="E788" s="48" t="s">
        <v>3970</v>
      </c>
      <c r="F788" s="5"/>
      <c r="G788" s="5"/>
      <c r="H788" s="5"/>
      <c r="I788" s="5"/>
    </row>
    <row r="789" spans="1:9" ht="48">
      <c r="A789" s="5"/>
      <c r="B789" s="5"/>
      <c r="C789" s="5"/>
      <c r="D789" s="5"/>
      <c r="E789" s="48" t="s">
        <v>877</v>
      </c>
      <c r="F789" s="5"/>
      <c r="G789" s="5"/>
      <c r="H789" s="5"/>
      <c r="I789" s="5"/>
    </row>
    <row r="790" spans="1:9" ht="48">
      <c r="A790" s="5"/>
      <c r="B790" s="5"/>
      <c r="C790" s="5"/>
      <c r="D790" s="5"/>
      <c r="E790" s="48" t="s">
        <v>3971</v>
      </c>
      <c r="F790" s="5"/>
      <c r="G790" s="5"/>
      <c r="H790" s="5"/>
      <c r="I790" s="5"/>
    </row>
    <row r="791" spans="1:9" ht="48">
      <c r="A791" s="5"/>
      <c r="B791" s="5"/>
      <c r="C791" s="5"/>
      <c r="D791" s="5"/>
      <c r="E791" s="48" t="s">
        <v>3972</v>
      </c>
      <c r="F791" s="5"/>
      <c r="G791" s="5"/>
      <c r="H791" s="5"/>
      <c r="I791" s="5"/>
    </row>
    <row r="792" spans="1:9" ht="48">
      <c r="A792" s="5"/>
      <c r="B792" s="5"/>
      <c r="C792" s="5"/>
      <c r="D792" s="5"/>
      <c r="E792" s="48" t="s">
        <v>3973</v>
      </c>
      <c r="F792" s="5"/>
      <c r="G792" s="5"/>
      <c r="H792" s="5"/>
      <c r="I792" s="5"/>
    </row>
    <row r="793" spans="1:9" ht="24">
      <c r="A793" s="5"/>
      <c r="B793" s="5"/>
      <c r="C793" s="5"/>
      <c r="D793" s="5"/>
      <c r="E793" s="48" t="s">
        <v>3974</v>
      </c>
      <c r="F793" s="5"/>
      <c r="G793" s="5"/>
      <c r="H793" s="5"/>
      <c r="I793" s="5"/>
    </row>
    <row r="794" spans="1:9" ht="36">
      <c r="A794" s="5"/>
      <c r="B794" s="5"/>
      <c r="C794" s="5"/>
      <c r="D794" s="5"/>
      <c r="E794" s="48" t="s">
        <v>3975</v>
      </c>
      <c r="F794" s="5"/>
      <c r="G794" s="5"/>
      <c r="H794" s="5"/>
      <c r="I794" s="5"/>
    </row>
    <row r="795" spans="1:9" ht="60">
      <c r="A795" s="5"/>
      <c r="B795" s="5"/>
      <c r="C795" s="5"/>
      <c r="D795" s="5"/>
      <c r="E795" s="48" t="s">
        <v>3976</v>
      </c>
      <c r="F795" s="5"/>
      <c r="G795" s="5"/>
      <c r="H795" s="5"/>
      <c r="I795" s="5"/>
    </row>
    <row r="796" spans="1:9" ht="60">
      <c r="A796" s="5"/>
      <c r="B796" s="5"/>
      <c r="C796" s="5"/>
      <c r="D796" s="5"/>
      <c r="E796" s="48" t="s">
        <v>793</v>
      </c>
      <c r="F796" s="5"/>
      <c r="G796" s="5"/>
      <c r="H796" s="5"/>
      <c r="I796" s="5"/>
    </row>
    <row r="797" spans="1:9" ht="24">
      <c r="A797" s="5"/>
      <c r="B797" s="5"/>
      <c r="C797" s="5"/>
      <c r="D797" s="5"/>
      <c r="E797" s="48" t="s">
        <v>3977</v>
      </c>
      <c r="F797" s="5"/>
      <c r="G797" s="5"/>
      <c r="H797" s="5"/>
      <c r="I797" s="5"/>
    </row>
    <row r="798" spans="1:9" ht="24">
      <c r="A798" s="5"/>
      <c r="B798" s="5"/>
      <c r="C798" s="5"/>
      <c r="D798" s="5"/>
      <c r="E798" s="48" t="s">
        <v>3978</v>
      </c>
      <c r="F798" s="5"/>
      <c r="G798" s="5"/>
      <c r="H798" s="5"/>
      <c r="I798" s="5"/>
    </row>
    <row r="799" spans="1:9" ht="24">
      <c r="A799" s="5"/>
      <c r="B799" s="5"/>
      <c r="C799" s="5"/>
      <c r="D799" s="5"/>
      <c r="E799" s="48" t="s">
        <v>3979</v>
      </c>
      <c r="F799" s="5"/>
      <c r="G799" s="5"/>
      <c r="H799" s="5"/>
      <c r="I799" s="5"/>
    </row>
    <row r="800" spans="1:9" ht="36">
      <c r="A800" s="5"/>
      <c r="B800" s="5"/>
      <c r="C800" s="5"/>
      <c r="D800" s="5"/>
      <c r="E800" s="48" t="s">
        <v>3980</v>
      </c>
      <c r="F800" s="5"/>
      <c r="G800" s="5"/>
      <c r="H800" s="5"/>
      <c r="I800" s="5"/>
    </row>
    <row r="801" spans="1:9" ht="36">
      <c r="A801" s="5"/>
      <c r="B801" s="5"/>
      <c r="C801" s="5"/>
      <c r="D801" s="5"/>
      <c r="E801" s="48" t="s">
        <v>3981</v>
      </c>
      <c r="F801" s="5"/>
      <c r="G801" s="5"/>
      <c r="H801" s="5"/>
      <c r="I801" s="5"/>
    </row>
    <row r="802" spans="1:9" ht="60">
      <c r="A802" s="5"/>
      <c r="B802" s="5"/>
      <c r="C802" s="5"/>
      <c r="D802" s="5"/>
      <c r="E802" s="48" t="s">
        <v>3982</v>
      </c>
      <c r="F802" s="5"/>
      <c r="G802" s="5"/>
      <c r="H802" s="5"/>
      <c r="I802" s="5"/>
    </row>
    <row r="803" spans="1:9" ht="60">
      <c r="A803" s="5"/>
      <c r="B803" s="5"/>
      <c r="C803" s="5"/>
      <c r="D803" s="5"/>
      <c r="E803" s="48" t="s">
        <v>3983</v>
      </c>
      <c r="F803" s="5"/>
      <c r="G803" s="5"/>
      <c r="H803" s="5"/>
      <c r="I803" s="5"/>
    </row>
    <row r="804" spans="1:9" ht="48">
      <c r="A804" s="5"/>
      <c r="B804" s="5"/>
      <c r="C804" s="5"/>
      <c r="D804" s="5"/>
      <c r="E804" s="48" t="s">
        <v>3984</v>
      </c>
      <c r="F804" s="5"/>
      <c r="G804" s="5"/>
      <c r="H804" s="5"/>
      <c r="I804" s="5"/>
    </row>
    <row r="805" spans="1:9" ht="48">
      <c r="A805" s="5"/>
      <c r="B805" s="5"/>
      <c r="C805" s="5"/>
      <c r="D805" s="5"/>
      <c r="E805" s="48" t="s">
        <v>3985</v>
      </c>
      <c r="F805" s="5"/>
      <c r="G805" s="5"/>
      <c r="H805" s="5"/>
      <c r="I805" s="5"/>
    </row>
  </sheetData>
  <mergeCells count="1">
    <mergeCell ref="J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5AA4-68F3-4E77-A0FF-DA7AF2FC59BC}">
  <dimension ref="A1:Q125"/>
  <sheetViews>
    <sheetView workbookViewId="0">
      <pane ySplit="2" topLeftCell="A3" activePane="bottomLeft" state="frozen"/>
      <selection pane="bottomLeft"/>
    </sheetView>
  </sheetViews>
  <sheetFormatPr defaultRowHeight="15"/>
  <cols>
    <col min="1" max="1" width="32.7109375" customWidth="1"/>
    <col min="2" max="2" width="33.7109375" customWidth="1"/>
    <col min="3" max="3" width="14.7109375" customWidth="1"/>
    <col min="4" max="4" width="80.7109375" customWidth="1"/>
    <col min="5" max="5" width="46.7109375" customWidth="1"/>
    <col min="6" max="6" width="75.7109375" customWidth="1"/>
    <col min="7" max="7" width="60.7109375" customWidth="1"/>
    <col min="8" max="8" width="16.7109375" customWidth="1"/>
    <col min="9" max="9" width="100.7109375" customWidth="1"/>
    <col min="10" max="10" width="30.7109375" customWidth="1"/>
    <col min="11" max="11" width="18.7109375" customWidth="1"/>
    <col min="12" max="12" width="28.7109375" customWidth="1"/>
    <col min="13" max="13" width="33.7109375" customWidth="1"/>
    <col min="14" max="14" width="22.7109375" customWidth="1"/>
    <col min="15" max="15" width="62.7109375" customWidth="1"/>
    <col min="16" max="17" width="66.7109375" customWidth="1"/>
  </cols>
  <sheetData>
    <row r="1" spans="1:17" ht="30" customHeight="1">
      <c r="A1" s="94" t="s">
        <v>3986</v>
      </c>
      <c r="B1" s="94"/>
      <c r="C1" s="94"/>
      <c r="D1" s="94"/>
      <c r="E1" s="94"/>
      <c r="F1" s="94"/>
      <c r="G1" s="94"/>
      <c r="H1" s="94"/>
      <c r="I1" s="94"/>
      <c r="J1" s="94"/>
      <c r="K1" s="94"/>
      <c r="L1" s="94"/>
      <c r="M1" s="94"/>
      <c r="N1" s="94"/>
      <c r="O1" s="94"/>
      <c r="P1" s="94"/>
      <c r="Q1" s="94"/>
    </row>
    <row r="2" spans="1:17" ht="42" customHeight="1">
      <c r="A2" s="63" t="s">
        <v>3987</v>
      </c>
      <c r="B2" s="63" t="s">
        <v>3988</v>
      </c>
      <c r="C2" s="63" t="s">
        <v>3989</v>
      </c>
      <c r="D2" s="63" t="s">
        <v>3990</v>
      </c>
      <c r="E2" s="63" t="s">
        <v>3991</v>
      </c>
      <c r="F2" s="63" t="s">
        <v>145</v>
      </c>
      <c r="G2" s="63" t="s">
        <v>147</v>
      </c>
      <c r="H2" s="63" t="s">
        <v>3992</v>
      </c>
      <c r="I2" s="63" t="s">
        <v>3993</v>
      </c>
      <c r="J2" s="63" t="s">
        <v>3994</v>
      </c>
      <c r="K2" s="63" t="s">
        <v>3995</v>
      </c>
      <c r="L2" s="63" t="s">
        <v>3996</v>
      </c>
      <c r="M2" s="63" t="s">
        <v>3997</v>
      </c>
      <c r="N2" s="63" t="s">
        <v>3998</v>
      </c>
      <c r="O2" s="61" t="s">
        <v>3999</v>
      </c>
      <c r="P2" s="61" t="s">
        <v>4000</v>
      </c>
      <c r="Q2" s="62" t="s">
        <v>4001</v>
      </c>
    </row>
    <row r="3" spans="1:17" ht="60" customHeight="1">
      <c r="A3" s="71" t="s">
        <v>202</v>
      </c>
      <c r="B3" s="71" t="s">
        <v>4002</v>
      </c>
      <c r="C3" s="76">
        <v>9</v>
      </c>
      <c r="D3" s="71" t="s">
        <v>212</v>
      </c>
      <c r="E3" s="71" t="s">
        <v>4003</v>
      </c>
      <c r="F3" s="71" t="s">
        <v>221</v>
      </c>
      <c r="G3" s="71" t="s">
        <v>223</v>
      </c>
      <c r="H3" s="71" t="s">
        <v>74</v>
      </c>
      <c r="I3" s="71" t="s">
        <v>219</v>
      </c>
      <c r="J3" s="67"/>
      <c r="K3" s="76">
        <f t="shared" ref="K3:K34" si="0">IF(J3="",0,LEN(J3)-LEN(SUBSTITUTE(J3,";",""))+1)</f>
        <v>0</v>
      </c>
      <c r="L3" s="71"/>
      <c r="M3" s="71"/>
      <c r="N3" s="78">
        <f t="shared" ref="N3:N34" si="1">IF(M3="",0,1/COUNTIF($M$3:$M$125,M3))</f>
        <v>0</v>
      </c>
      <c r="O3" s="65"/>
      <c r="P3" s="65" t="s">
        <v>214</v>
      </c>
      <c r="Q3" s="66" t="s">
        <v>216</v>
      </c>
    </row>
    <row r="4" spans="1:17" ht="60" customHeight="1">
      <c r="A4" s="71" t="s">
        <v>735</v>
      </c>
      <c r="B4" s="71" t="s">
        <v>4002</v>
      </c>
      <c r="C4" s="76">
        <v>102</v>
      </c>
      <c r="D4" s="71" t="s">
        <v>212</v>
      </c>
      <c r="E4" s="71" t="s">
        <v>4003</v>
      </c>
      <c r="F4" s="71" t="s">
        <v>746</v>
      </c>
      <c r="G4" s="71" t="s">
        <v>747</v>
      </c>
      <c r="H4" s="71" t="s">
        <v>74</v>
      </c>
      <c r="I4" s="71" t="s">
        <v>745</v>
      </c>
      <c r="J4" s="67"/>
      <c r="K4" s="76">
        <f>IF(J4="",0,LEN(J4)-LEN(SUBSTITUTE(J4,";",""))+1)</f>
        <v>0</v>
      </c>
      <c r="L4" s="71"/>
      <c r="M4" s="71"/>
      <c r="N4" s="78">
        <f>IF(M4="",0,1/COUNTIF($M$3:$M$125,M4))</f>
        <v>0</v>
      </c>
      <c r="O4" s="65"/>
      <c r="P4" s="65" t="s">
        <v>741</v>
      </c>
      <c r="Q4" s="66" t="s">
        <v>743</v>
      </c>
    </row>
    <row r="5" spans="1:17" ht="60" customHeight="1">
      <c r="A5" s="71" t="s">
        <v>748</v>
      </c>
      <c r="B5" s="71" t="s">
        <v>4002</v>
      </c>
      <c r="C5" s="76">
        <v>103</v>
      </c>
      <c r="D5" s="71" t="s">
        <v>212</v>
      </c>
      <c r="E5" s="71" t="s">
        <v>4004</v>
      </c>
      <c r="F5" s="71" t="s">
        <v>746</v>
      </c>
      <c r="G5" s="71" t="s">
        <v>747</v>
      </c>
      <c r="H5" s="71" t="s">
        <v>74</v>
      </c>
      <c r="I5" s="71" t="s">
        <v>753</v>
      </c>
      <c r="J5" s="67"/>
      <c r="K5" s="76">
        <f>IF(J5="",0,LEN(J5)-LEN(SUBSTITUTE(J5,";",""))+1)</f>
        <v>0</v>
      </c>
      <c r="L5" s="71"/>
      <c r="M5" s="71"/>
      <c r="N5" s="78">
        <f>IF(M5="",0,1/COUNTIF($M$3:$M$125,M5))</f>
        <v>0</v>
      </c>
      <c r="O5" s="65"/>
      <c r="P5" s="65" t="s">
        <v>750</v>
      </c>
      <c r="Q5" s="66" t="s">
        <v>752</v>
      </c>
    </row>
    <row r="6" spans="1:17" ht="60" customHeight="1">
      <c r="A6" s="71" t="s">
        <v>754</v>
      </c>
      <c r="B6" s="71" t="s">
        <v>4002</v>
      </c>
      <c r="C6" s="76">
        <v>104</v>
      </c>
      <c r="D6" s="71" t="s">
        <v>212</v>
      </c>
      <c r="E6" s="71" t="s">
        <v>4004</v>
      </c>
      <c r="F6" s="71" t="s">
        <v>746</v>
      </c>
      <c r="G6" s="71" t="s">
        <v>747</v>
      </c>
      <c r="H6" s="71" t="s">
        <v>74</v>
      </c>
      <c r="I6" s="71" t="s">
        <v>760</v>
      </c>
      <c r="J6" s="67"/>
      <c r="K6" s="76">
        <f>IF(J6="",0,LEN(J6)-LEN(SUBSTITUTE(J6,";",""))+1)</f>
        <v>0</v>
      </c>
      <c r="L6" s="71"/>
      <c r="M6" s="71"/>
      <c r="N6" s="78">
        <f>IF(M6="",0,1/COUNTIF($M$3:$M$125,M6))</f>
        <v>0</v>
      </c>
      <c r="O6" s="65"/>
      <c r="P6" s="65" t="s">
        <v>757</v>
      </c>
      <c r="Q6" s="66" t="s">
        <v>759</v>
      </c>
    </row>
    <row r="7" spans="1:17" ht="60" customHeight="1">
      <c r="A7" s="71" t="s">
        <v>768</v>
      </c>
      <c r="B7" s="71" t="s">
        <v>4002</v>
      </c>
      <c r="C7" s="76">
        <v>106</v>
      </c>
      <c r="D7" s="71" t="s">
        <v>774</v>
      </c>
      <c r="E7" s="71" t="s">
        <v>4004</v>
      </c>
      <c r="F7" s="71" t="s">
        <v>746</v>
      </c>
      <c r="G7" s="71" t="s">
        <v>747</v>
      </c>
      <c r="H7" s="71" t="s">
        <v>72</v>
      </c>
      <c r="I7" s="71" t="s">
        <v>778</v>
      </c>
      <c r="J7" s="67"/>
      <c r="K7" s="76">
        <f>IF(J7="",0,LEN(J7)-LEN(SUBSTITUTE(J7,";",""))+1)</f>
        <v>0</v>
      </c>
      <c r="L7" s="71"/>
      <c r="M7" s="71"/>
      <c r="N7" s="78">
        <f>IF(M7="",0,1/COUNTIF($M$3:$M$125,M7))</f>
        <v>0</v>
      </c>
      <c r="O7" s="65"/>
      <c r="P7" s="65" t="s">
        <v>775</v>
      </c>
      <c r="Q7" s="66" t="s">
        <v>770</v>
      </c>
    </row>
    <row r="8" spans="1:17" ht="60" customHeight="1">
      <c r="A8" s="71" t="s">
        <v>779</v>
      </c>
      <c r="B8" s="71" t="s">
        <v>4002</v>
      </c>
      <c r="C8" s="76">
        <v>107</v>
      </c>
      <c r="D8" s="71" t="s">
        <v>784</v>
      </c>
      <c r="E8" s="71" t="s">
        <v>4003</v>
      </c>
      <c r="F8" s="71" t="s">
        <v>788</v>
      </c>
      <c r="G8" s="71" t="s">
        <v>747</v>
      </c>
      <c r="H8" s="71" t="s">
        <v>74</v>
      </c>
      <c r="I8" s="71" t="s">
        <v>787</v>
      </c>
      <c r="J8" s="67"/>
      <c r="K8" s="76">
        <f>IF(J8="",0,LEN(J8)-LEN(SUBSTITUTE(J8,";",""))+1)</f>
        <v>0</v>
      </c>
      <c r="L8" s="71"/>
      <c r="M8" s="71"/>
      <c r="N8" s="78">
        <f>IF(M8="",0,1/COUNTIF($M$3:$M$125,M8))</f>
        <v>0</v>
      </c>
      <c r="O8" s="65"/>
      <c r="P8" s="65" t="s">
        <v>785</v>
      </c>
      <c r="Q8" s="66" t="s">
        <v>781</v>
      </c>
    </row>
    <row r="9" spans="1:17" ht="60" customHeight="1">
      <c r="A9" s="71" t="s">
        <v>817</v>
      </c>
      <c r="B9" s="71" t="s">
        <v>4002</v>
      </c>
      <c r="C9" s="76">
        <v>114</v>
      </c>
      <c r="D9" s="71" t="s">
        <v>827</v>
      </c>
      <c r="E9" s="71" t="s">
        <v>4005</v>
      </c>
      <c r="F9" s="71" t="s">
        <v>746</v>
      </c>
      <c r="G9" s="71" t="s">
        <v>747</v>
      </c>
      <c r="H9" s="71" t="s">
        <v>72</v>
      </c>
      <c r="I9" s="71" t="s">
        <v>832</v>
      </c>
      <c r="J9" s="67"/>
      <c r="K9" s="76">
        <f>IF(J9="",0,LEN(J9)-LEN(SUBSTITUTE(J9,";",""))+1)</f>
        <v>0</v>
      </c>
      <c r="L9" s="71"/>
      <c r="M9" s="71" t="s">
        <v>817</v>
      </c>
      <c r="N9" s="78">
        <f>IF(M9="",0,1/COUNTIF($M$3:$M$125,M9))</f>
        <v>0.5</v>
      </c>
      <c r="O9" s="65"/>
      <c r="P9" s="65" t="s">
        <v>828</v>
      </c>
      <c r="Q9" s="66" t="s">
        <v>830</v>
      </c>
    </row>
    <row r="10" spans="1:17" ht="60" customHeight="1">
      <c r="A10" s="71" t="s">
        <v>1062</v>
      </c>
      <c r="B10" s="71" t="s">
        <v>4002</v>
      </c>
      <c r="C10" s="76">
        <v>151</v>
      </c>
      <c r="D10" s="71" t="s">
        <v>1072</v>
      </c>
      <c r="E10" s="71" t="s">
        <v>4003</v>
      </c>
      <c r="F10" s="71" t="s">
        <v>788</v>
      </c>
      <c r="G10" s="71" t="s">
        <v>1077</v>
      </c>
      <c r="H10" s="71" t="s">
        <v>74</v>
      </c>
      <c r="I10" s="71" t="s">
        <v>1076</v>
      </c>
      <c r="J10" s="67"/>
      <c r="K10" s="76">
        <f>IF(J10="",0,LEN(J10)-LEN(SUBSTITUTE(J10,";",""))+1)</f>
        <v>0</v>
      </c>
      <c r="L10" s="71"/>
      <c r="M10" s="71"/>
      <c r="N10" s="78">
        <f>IF(M10="",0,1/COUNTIF($M$3:$M$125,M10))</f>
        <v>0</v>
      </c>
      <c r="O10" s="65"/>
      <c r="P10" s="65" t="s">
        <v>1073</v>
      </c>
      <c r="Q10" s="66" t="s">
        <v>1074</v>
      </c>
    </row>
    <row r="11" spans="1:17" ht="60" customHeight="1">
      <c r="A11" s="71" t="s">
        <v>1115</v>
      </c>
      <c r="B11" s="71" t="s">
        <v>4002</v>
      </c>
      <c r="C11" s="76">
        <v>158</v>
      </c>
      <c r="D11" s="71" t="s">
        <v>212</v>
      </c>
      <c r="E11" s="71" t="s">
        <v>4003</v>
      </c>
      <c r="F11" s="71" t="s">
        <v>746</v>
      </c>
      <c r="G11" s="71" t="s">
        <v>1077</v>
      </c>
      <c r="H11" s="71" t="s">
        <v>74</v>
      </c>
      <c r="I11" s="71" t="s">
        <v>1122</v>
      </c>
      <c r="J11" s="67"/>
      <c r="K11" s="76">
        <f>IF(J11="",0,LEN(J11)-LEN(SUBSTITUTE(J11,";",""))+1)</f>
        <v>0</v>
      </c>
      <c r="L11" s="71"/>
      <c r="M11" s="71"/>
      <c r="N11" s="78">
        <f>IF(M11="",0,1/COUNTIF($M$3:$M$125,M11))</f>
        <v>0</v>
      </c>
      <c r="O11" s="65"/>
      <c r="P11" s="65" t="s">
        <v>1119</v>
      </c>
      <c r="Q11" s="66" t="s">
        <v>1116</v>
      </c>
    </row>
    <row r="12" spans="1:17" ht="60" customHeight="1">
      <c r="A12" s="71" t="s">
        <v>1440</v>
      </c>
      <c r="B12" s="71" t="s">
        <v>4002</v>
      </c>
      <c r="C12" s="76">
        <v>239</v>
      </c>
      <c r="D12" s="71" t="s">
        <v>784</v>
      </c>
      <c r="E12" s="71" t="s">
        <v>4003</v>
      </c>
      <c r="F12" s="71" t="s">
        <v>788</v>
      </c>
      <c r="G12" s="71" t="s">
        <v>1077</v>
      </c>
      <c r="H12" s="71" t="s">
        <v>74</v>
      </c>
      <c r="I12" s="71" t="s">
        <v>1443</v>
      </c>
      <c r="J12" s="67"/>
      <c r="K12" s="76">
        <f>IF(J12="",0,LEN(J12)-LEN(SUBSTITUTE(J12,";",""))+1)</f>
        <v>0</v>
      </c>
      <c r="L12" s="71"/>
      <c r="M12" s="71"/>
      <c r="N12" s="78">
        <f>IF(M12="",0,1/COUNTIF($M$3:$M$125,M12))</f>
        <v>0</v>
      </c>
      <c r="O12" s="65"/>
      <c r="P12" s="65" t="s">
        <v>1442</v>
      </c>
      <c r="Q12" s="66" t="s">
        <v>1441</v>
      </c>
    </row>
    <row r="13" spans="1:17" ht="60" customHeight="1">
      <c r="A13" s="71" t="s">
        <v>1444</v>
      </c>
      <c r="B13" s="71" t="s">
        <v>4002</v>
      </c>
      <c r="C13" s="76">
        <v>240</v>
      </c>
      <c r="D13" s="71" t="s">
        <v>784</v>
      </c>
      <c r="E13" s="71" t="s">
        <v>4003</v>
      </c>
      <c r="F13" s="71" t="s">
        <v>788</v>
      </c>
      <c r="G13" s="71" t="s">
        <v>1077</v>
      </c>
      <c r="H13" s="71" t="s">
        <v>74</v>
      </c>
      <c r="I13" s="71" t="s">
        <v>1447</v>
      </c>
      <c r="J13" s="67"/>
      <c r="K13" s="76">
        <f>IF(J13="",0,LEN(J13)-LEN(SUBSTITUTE(J13,";",""))+1)</f>
        <v>0</v>
      </c>
      <c r="L13" s="71"/>
      <c r="M13" s="71"/>
      <c r="N13" s="78">
        <f>IF(M13="",0,1/COUNTIF($M$3:$M$125,M13))</f>
        <v>0</v>
      </c>
      <c r="O13" s="65"/>
      <c r="P13" s="65" t="s">
        <v>1446</v>
      </c>
      <c r="Q13" s="66" t="s">
        <v>1445</v>
      </c>
    </row>
    <row r="14" spans="1:17" ht="60" customHeight="1">
      <c r="A14" s="71" t="s">
        <v>1448</v>
      </c>
      <c r="B14" s="71" t="s">
        <v>4002</v>
      </c>
      <c r="C14" s="76">
        <v>241</v>
      </c>
      <c r="D14" s="71" t="s">
        <v>784</v>
      </c>
      <c r="E14" s="71" t="s">
        <v>4003</v>
      </c>
      <c r="F14" s="71" t="s">
        <v>788</v>
      </c>
      <c r="G14" s="71" t="s">
        <v>1077</v>
      </c>
      <c r="H14" s="71" t="s">
        <v>74</v>
      </c>
      <c r="I14" s="71" t="s">
        <v>1451</v>
      </c>
      <c r="J14" s="67"/>
      <c r="K14" s="76">
        <f>IF(J14="",0,LEN(J14)-LEN(SUBSTITUTE(J14,";",""))+1)</f>
        <v>0</v>
      </c>
      <c r="L14" s="71"/>
      <c r="M14" s="71"/>
      <c r="N14" s="78">
        <f>IF(M14="",0,1/COUNTIF($M$3:$M$125,M14))</f>
        <v>0</v>
      </c>
      <c r="O14" s="65"/>
      <c r="P14" s="65" t="s">
        <v>1450</v>
      </c>
      <c r="Q14" s="66" t="s">
        <v>1449</v>
      </c>
    </row>
    <row r="15" spans="1:17" ht="60" customHeight="1">
      <c r="A15" s="71" t="s">
        <v>1452</v>
      </c>
      <c r="B15" s="71" t="s">
        <v>4002</v>
      </c>
      <c r="C15" s="76">
        <v>242</v>
      </c>
      <c r="D15" s="71" t="s">
        <v>784</v>
      </c>
      <c r="E15" s="71" t="s">
        <v>4003</v>
      </c>
      <c r="F15" s="71" t="s">
        <v>788</v>
      </c>
      <c r="G15" s="71" t="s">
        <v>1077</v>
      </c>
      <c r="H15" s="71" t="s">
        <v>74</v>
      </c>
      <c r="I15" s="71" t="s">
        <v>1455</v>
      </c>
      <c r="J15" s="67"/>
      <c r="K15" s="76">
        <f>IF(J15="",0,LEN(J15)-LEN(SUBSTITUTE(J15,";",""))+1)</f>
        <v>0</v>
      </c>
      <c r="L15" s="71"/>
      <c r="M15" s="71"/>
      <c r="N15" s="78">
        <f>IF(M15="",0,1/COUNTIF($M$3:$M$125,M15))</f>
        <v>0</v>
      </c>
      <c r="O15" s="65"/>
      <c r="P15" s="65" t="s">
        <v>1454</v>
      </c>
      <c r="Q15" s="66" t="s">
        <v>1453</v>
      </c>
    </row>
    <row r="16" spans="1:17" ht="60" customHeight="1">
      <c r="A16" s="71" t="s">
        <v>1456</v>
      </c>
      <c r="B16" s="71" t="s">
        <v>4002</v>
      </c>
      <c r="C16" s="76">
        <v>243</v>
      </c>
      <c r="D16" s="71" t="s">
        <v>784</v>
      </c>
      <c r="E16" s="71" t="s">
        <v>4003</v>
      </c>
      <c r="F16" s="71" t="s">
        <v>788</v>
      </c>
      <c r="G16" s="71" t="s">
        <v>1077</v>
      </c>
      <c r="H16" s="71" t="s">
        <v>74</v>
      </c>
      <c r="I16" s="71" t="s">
        <v>1459</v>
      </c>
      <c r="J16" s="67"/>
      <c r="K16" s="76">
        <f>IF(J16="",0,LEN(J16)-LEN(SUBSTITUTE(J16,";",""))+1)</f>
        <v>0</v>
      </c>
      <c r="L16" s="71"/>
      <c r="M16" s="71"/>
      <c r="N16" s="78">
        <f>IF(M16="",0,1/COUNTIF($M$3:$M$125,M16))</f>
        <v>0</v>
      </c>
      <c r="O16" s="65"/>
      <c r="P16" s="65" t="s">
        <v>1458</v>
      </c>
      <c r="Q16" s="66" t="s">
        <v>1457</v>
      </c>
    </row>
    <row r="17" spans="1:17" ht="60" customHeight="1">
      <c r="A17" s="71" t="s">
        <v>1460</v>
      </c>
      <c r="B17" s="71" t="s">
        <v>4002</v>
      </c>
      <c r="C17" s="76">
        <v>244</v>
      </c>
      <c r="D17" s="71" t="s">
        <v>784</v>
      </c>
      <c r="E17" s="71" t="s">
        <v>4003</v>
      </c>
      <c r="F17" s="71" t="s">
        <v>788</v>
      </c>
      <c r="G17" s="71" t="s">
        <v>1077</v>
      </c>
      <c r="H17" s="71" t="s">
        <v>74</v>
      </c>
      <c r="I17" s="71" t="s">
        <v>1463</v>
      </c>
      <c r="J17" s="67"/>
      <c r="K17" s="76">
        <f>IF(J17="",0,LEN(J17)-LEN(SUBSTITUTE(J17,";",""))+1)</f>
        <v>0</v>
      </c>
      <c r="L17" s="71"/>
      <c r="M17" s="71"/>
      <c r="N17" s="78">
        <f>IF(M17="",0,1/COUNTIF($M$3:$M$125,M17))</f>
        <v>0</v>
      </c>
      <c r="O17" s="65"/>
      <c r="P17" s="65" t="s">
        <v>1462</v>
      </c>
      <c r="Q17" s="66" t="s">
        <v>1461</v>
      </c>
    </row>
    <row r="18" spans="1:17" ht="60" customHeight="1">
      <c r="A18" s="71" t="s">
        <v>1464</v>
      </c>
      <c r="B18" s="71" t="s">
        <v>4002</v>
      </c>
      <c r="C18" s="76">
        <v>245</v>
      </c>
      <c r="D18" s="71" t="s">
        <v>784</v>
      </c>
      <c r="E18" s="71" t="s">
        <v>4003</v>
      </c>
      <c r="F18" s="71" t="s">
        <v>788</v>
      </c>
      <c r="G18" s="71" t="s">
        <v>1077</v>
      </c>
      <c r="H18" s="71" t="s">
        <v>74</v>
      </c>
      <c r="I18" s="71" t="s">
        <v>1467</v>
      </c>
      <c r="J18" s="67"/>
      <c r="K18" s="76">
        <f>IF(J18="",0,LEN(J18)-LEN(SUBSTITUTE(J18,";",""))+1)</f>
        <v>0</v>
      </c>
      <c r="L18" s="71"/>
      <c r="M18" s="71"/>
      <c r="N18" s="78">
        <f>IF(M18="",0,1/COUNTIF($M$3:$M$125,M18))</f>
        <v>0</v>
      </c>
      <c r="O18" s="65"/>
      <c r="P18" s="65" t="s">
        <v>1466</v>
      </c>
      <c r="Q18" s="66" t="s">
        <v>1465</v>
      </c>
    </row>
    <row r="19" spans="1:17" ht="60" customHeight="1">
      <c r="A19" s="71" t="s">
        <v>1468</v>
      </c>
      <c r="B19" s="71" t="s">
        <v>4002</v>
      </c>
      <c r="C19" s="76">
        <v>246</v>
      </c>
      <c r="D19" s="71" t="s">
        <v>784</v>
      </c>
      <c r="E19" s="71" t="s">
        <v>4003</v>
      </c>
      <c r="F19" s="71" t="s">
        <v>788</v>
      </c>
      <c r="G19" s="71" t="s">
        <v>1077</v>
      </c>
      <c r="H19" s="71" t="s">
        <v>74</v>
      </c>
      <c r="I19" s="71" t="s">
        <v>1471</v>
      </c>
      <c r="J19" s="67"/>
      <c r="K19" s="76">
        <f>IF(J19="",0,LEN(J19)-LEN(SUBSTITUTE(J19,";",""))+1)</f>
        <v>0</v>
      </c>
      <c r="L19" s="71"/>
      <c r="M19" s="71"/>
      <c r="N19" s="78">
        <f>IF(M19="",0,1/COUNTIF($M$3:$M$125,M19))</f>
        <v>0</v>
      </c>
      <c r="O19" s="65"/>
      <c r="P19" s="65" t="s">
        <v>1470</v>
      </c>
      <c r="Q19" s="66" t="s">
        <v>1469</v>
      </c>
    </row>
    <row r="20" spans="1:17" ht="60" customHeight="1">
      <c r="A20" s="71" t="s">
        <v>1472</v>
      </c>
      <c r="B20" s="71" t="s">
        <v>4002</v>
      </c>
      <c r="C20" s="76">
        <v>247</v>
      </c>
      <c r="D20" s="71" t="s">
        <v>784</v>
      </c>
      <c r="E20" s="71" t="s">
        <v>4003</v>
      </c>
      <c r="F20" s="71" t="s">
        <v>788</v>
      </c>
      <c r="G20" s="71" t="s">
        <v>1077</v>
      </c>
      <c r="H20" s="71" t="s">
        <v>74</v>
      </c>
      <c r="I20" s="71" t="s">
        <v>1475</v>
      </c>
      <c r="J20" s="67"/>
      <c r="K20" s="76">
        <f>IF(J20="",0,LEN(J20)-LEN(SUBSTITUTE(J20,";",""))+1)</f>
        <v>0</v>
      </c>
      <c r="L20" s="71"/>
      <c r="M20" s="71"/>
      <c r="N20" s="78">
        <f>IF(M20="",0,1/COUNTIF($M$3:$M$125,M20))</f>
        <v>0</v>
      </c>
      <c r="O20" s="65"/>
      <c r="P20" s="65" t="s">
        <v>1474</v>
      </c>
      <c r="Q20" s="66" t="s">
        <v>1473</v>
      </c>
    </row>
    <row r="21" spans="1:17" ht="60" customHeight="1">
      <c r="A21" s="71" t="s">
        <v>1476</v>
      </c>
      <c r="B21" s="71" t="s">
        <v>4002</v>
      </c>
      <c r="C21" s="76">
        <v>248</v>
      </c>
      <c r="D21" s="71" t="s">
        <v>784</v>
      </c>
      <c r="E21" s="71" t="s">
        <v>4003</v>
      </c>
      <c r="F21" s="71" t="s">
        <v>788</v>
      </c>
      <c r="G21" s="71" t="s">
        <v>1077</v>
      </c>
      <c r="H21" s="71" t="s">
        <v>74</v>
      </c>
      <c r="I21" s="71" t="s">
        <v>1479</v>
      </c>
      <c r="J21" s="67"/>
      <c r="K21" s="76">
        <f>IF(J21="",0,LEN(J21)-LEN(SUBSTITUTE(J21,";",""))+1)</f>
        <v>0</v>
      </c>
      <c r="L21" s="71"/>
      <c r="M21" s="71"/>
      <c r="N21" s="78">
        <f>IF(M21="",0,1/COUNTIF($M$3:$M$125,M21))</f>
        <v>0</v>
      </c>
      <c r="O21" s="65"/>
      <c r="P21" s="65" t="s">
        <v>1478</v>
      </c>
      <c r="Q21" s="66" t="s">
        <v>1477</v>
      </c>
    </row>
    <row r="22" spans="1:17" ht="60" customHeight="1">
      <c r="A22" s="71" t="s">
        <v>1480</v>
      </c>
      <c r="B22" s="71" t="s">
        <v>4002</v>
      </c>
      <c r="C22" s="76">
        <v>249</v>
      </c>
      <c r="D22" s="71" t="s">
        <v>784</v>
      </c>
      <c r="E22" s="71" t="s">
        <v>4003</v>
      </c>
      <c r="F22" s="71" t="s">
        <v>788</v>
      </c>
      <c r="G22" s="71" t="s">
        <v>1077</v>
      </c>
      <c r="H22" s="71" t="s">
        <v>74</v>
      </c>
      <c r="I22" s="71" t="s">
        <v>1483</v>
      </c>
      <c r="J22" s="67"/>
      <c r="K22" s="76">
        <f>IF(J22="",0,LEN(J22)-LEN(SUBSTITUTE(J22,";",""))+1)</f>
        <v>0</v>
      </c>
      <c r="L22" s="71"/>
      <c r="M22" s="71"/>
      <c r="N22" s="78">
        <f>IF(M22="",0,1/COUNTIF($M$3:$M$125,M22))</f>
        <v>0</v>
      </c>
      <c r="O22" s="65"/>
      <c r="P22" s="65" t="s">
        <v>1482</v>
      </c>
      <c r="Q22" s="66" t="s">
        <v>1481</v>
      </c>
    </row>
    <row r="23" spans="1:17" ht="60" customHeight="1">
      <c r="A23" s="71" t="s">
        <v>1484</v>
      </c>
      <c r="B23" s="71" t="s">
        <v>4002</v>
      </c>
      <c r="C23" s="76">
        <v>250</v>
      </c>
      <c r="D23" s="71" t="s">
        <v>784</v>
      </c>
      <c r="E23" s="71" t="s">
        <v>4003</v>
      </c>
      <c r="F23" s="71" t="s">
        <v>788</v>
      </c>
      <c r="G23" s="71" t="s">
        <v>1077</v>
      </c>
      <c r="H23" s="71" t="s">
        <v>74</v>
      </c>
      <c r="I23" s="71" t="s">
        <v>1487</v>
      </c>
      <c r="J23" s="67"/>
      <c r="K23" s="76">
        <f>IF(J23="",0,LEN(J23)-LEN(SUBSTITUTE(J23,";",""))+1)</f>
        <v>0</v>
      </c>
      <c r="L23" s="71"/>
      <c r="M23" s="71"/>
      <c r="N23" s="78">
        <f>IF(M23="",0,1/COUNTIF($M$3:$M$125,M23))</f>
        <v>0</v>
      </c>
      <c r="O23" s="65"/>
      <c r="P23" s="65" t="s">
        <v>1486</v>
      </c>
      <c r="Q23" s="66" t="s">
        <v>1485</v>
      </c>
    </row>
    <row r="24" spans="1:17" ht="60" customHeight="1">
      <c r="A24" s="71" t="s">
        <v>1488</v>
      </c>
      <c r="B24" s="71" t="s">
        <v>4002</v>
      </c>
      <c r="C24" s="76">
        <v>251</v>
      </c>
      <c r="D24" s="71" t="s">
        <v>784</v>
      </c>
      <c r="E24" s="71" t="s">
        <v>4003</v>
      </c>
      <c r="F24" s="71" t="s">
        <v>788</v>
      </c>
      <c r="G24" s="71" t="s">
        <v>1077</v>
      </c>
      <c r="H24" s="71" t="s">
        <v>74</v>
      </c>
      <c r="I24" s="71" t="s">
        <v>1491</v>
      </c>
      <c r="J24" s="67"/>
      <c r="K24" s="76">
        <f>IF(J24="",0,LEN(J24)-LEN(SUBSTITUTE(J24,";",""))+1)</f>
        <v>0</v>
      </c>
      <c r="L24" s="71"/>
      <c r="M24" s="71"/>
      <c r="N24" s="78">
        <f>IF(M24="",0,1/COUNTIF($M$3:$M$125,M24))</f>
        <v>0</v>
      </c>
      <c r="O24" s="65"/>
      <c r="P24" s="65" t="s">
        <v>1490</v>
      </c>
      <c r="Q24" s="66" t="s">
        <v>1489</v>
      </c>
    </row>
    <row r="25" spans="1:17" ht="60" customHeight="1">
      <c r="A25" s="71" t="s">
        <v>1492</v>
      </c>
      <c r="B25" s="71" t="s">
        <v>4002</v>
      </c>
      <c r="C25" s="76">
        <v>252</v>
      </c>
      <c r="D25" s="71" t="s">
        <v>784</v>
      </c>
      <c r="E25" s="71" t="s">
        <v>4003</v>
      </c>
      <c r="F25" s="71" t="s">
        <v>788</v>
      </c>
      <c r="G25" s="71" t="s">
        <v>1077</v>
      </c>
      <c r="H25" s="71" t="s">
        <v>74</v>
      </c>
      <c r="I25" s="71" t="s">
        <v>1495</v>
      </c>
      <c r="J25" s="67"/>
      <c r="K25" s="76">
        <f>IF(J25="",0,LEN(J25)-LEN(SUBSTITUTE(J25,";",""))+1)</f>
        <v>0</v>
      </c>
      <c r="L25" s="71"/>
      <c r="M25" s="71"/>
      <c r="N25" s="78">
        <f>IF(M25="",0,1/COUNTIF($M$3:$M$125,M25))</f>
        <v>0</v>
      </c>
      <c r="O25" s="65"/>
      <c r="P25" s="65" t="s">
        <v>1494</v>
      </c>
      <c r="Q25" s="66" t="s">
        <v>1493</v>
      </c>
    </row>
    <row r="26" spans="1:17" ht="60" customHeight="1">
      <c r="A26" s="71" t="s">
        <v>1496</v>
      </c>
      <c r="B26" s="71" t="s">
        <v>4002</v>
      </c>
      <c r="C26" s="76">
        <v>253</v>
      </c>
      <c r="D26" s="71" t="s">
        <v>784</v>
      </c>
      <c r="E26" s="71" t="s">
        <v>4003</v>
      </c>
      <c r="F26" s="71" t="s">
        <v>788</v>
      </c>
      <c r="G26" s="71" t="s">
        <v>1077</v>
      </c>
      <c r="H26" s="71" t="s">
        <v>74</v>
      </c>
      <c r="I26" s="71" t="s">
        <v>1499</v>
      </c>
      <c r="J26" s="67"/>
      <c r="K26" s="76">
        <f>IF(J26="",0,LEN(J26)-LEN(SUBSTITUTE(J26,";",""))+1)</f>
        <v>0</v>
      </c>
      <c r="L26" s="71"/>
      <c r="M26" s="71"/>
      <c r="N26" s="78">
        <f>IF(M26="",0,1/COUNTIF($M$3:$M$125,M26))</f>
        <v>0</v>
      </c>
      <c r="O26" s="65"/>
      <c r="P26" s="65" t="s">
        <v>1498</v>
      </c>
      <c r="Q26" s="66" t="s">
        <v>1497</v>
      </c>
    </row>
    <row r="27" spans="1:17" ht="60" customHeight="1">
      <c r="A27" s="71" t="s">
        <v>1500</v>
      </c>
      <c r="B27" s="71" t="s">
        <v>4002</v>
      </c>
      <c r="C27" s="76">
        <v>254</v>
      </c>
      <c r="D27" s="71" t="s">
        <v>212</v>
      </c>
      <c r="E27" s="71" t="s">
        <v>4003</v>
      </c>
      <c r="F27" s="71" t="s">
        <v>746</v>
      </c>
      <c r="G27" s="71" t="s">
        <v>1077</v>
      </c>
      <c r="H27" s="71" t="s">
        <v>74</v>
      </c>
      <c r="I27" s="71" t="s">
        <v>1505</v>
      </c>
      <c r="J27" s="67"/>
      <c r="K27" s="76">
        <f>IF(J27="",0,LEN(J27)-LEN(SUBSTITUTE(J27,";",""))+1)</f>
        <v>0</v>
      </c>
      <c r="L27" s="71"/>
      <c r="M27" s="71"/>
      <c r="N27" s="78">
        <f>IF(M27="",0,1/COUNTIF($M$3:$M$125,M27))</f>
        <v>0</v>
      </c>
      <c r="O27" s="65"/>
      <c r="P27" s="65" t="s">
        <v>1502</v>
      </c>
      <c r="Q27" s="66" t="s">
        <v>1501</v>
      </c>
    </row>
    <row r="28" spans="1:17" ht="60" customHeight="1">
      <c r="A28" s="71" t="s">
        <v>1506</v>
      </c>
      <c r="B28" s="71" t="s">
        <v>4002</v>
      </c>
      <c r="C28" s="76">
        <v>255</v>
      </c>
      <c r="D28" s="71" t="s">
        <v>212</v>
      </c>
      <c r="E28" s="71" t="s">
        <v>4003</v>
      </c>
      <c r="F28" s="71" t="s">
        <v>746</v>
      </c>
      <c r="G28" s="71" t="s">
        <v>1077</v>
      </c>
      <c r="H28" s="71" t="s">
        <v>74</v>
      </c>
      <c r="I28" s="71" t="s">
        <v>1510</v>
      </c>
      <c r="J28" s="67"/>
      <c r="K28" s="76">
        <f>IF(J28="",0,LEN(J28)-LEN(SUBSTITUTE(J28,";",""))+1)</f>
        <v>0</v>
      </c>
      <c r="L28" s="71"/>
      <c r="M28" s="71"/>
      <c r="N28" s="78">
        <f>IF(M28="",0,1/COUNTIF($M$3:$M$125,M28))</f>
        <v>0</v>
      </c>
      <c r="O28" s="65"/>
      <c r="P28" s="65" t="s">
        <v>1508</v>
      </c>
      <c r="Q28" s="66" t="s">
        <v>1507</v>
      </c>
    </row>
    <row r="29" spans="1:17" ht="60" customHeight="1">
      <c r="A29" s="71" t="s">
        <v>1511</v>
      </c>
      <c r="B29" s="71" t="s">
        <v>4002</v>
      </c>
      <c r="C29" s="76">
        <v>256</v>
      </c>
      <c r="D29" s="71" t="s">
        <v>212</v>
      </c>
      <c r="E29" s="71" t="s">
        <v>4003</v>
      </c>
      <c r="F29" s="71" t="s">
        <v>746</v>
      </c>
      <c r="G29" s="71" t="s">
        <v>1077</v>
      </c>
      <c r="H29" s="71" t="s">
        <v>74</v>
      </c>
      <c r="I29" s="71" t="s">
        <v>1516</v>
      </c>
      <c r="J29" s="67"/>
      <c r="K29" s="76">
        <f>IF(J29="",0,LEN(J29)-LEN(SUBSTITUTE(J29,";",""))+1)</f>
        <v>0</v>
      </c>
      <c r="L29" s="71"/>
      <c r="M29" s="71"/>
      <c r="N29" s="78">
        <f>IF(M29="",0,1/COUNTIF($M$3:$M$125,M29))</f>
        <v>0</v>
      </c>
      <c r="O29" s="65"/>
      <c r="P29" s="65" t="s">
        <v>1513</v>
      </c>
      <c r="Q29" s="66" t="s">
        <v>1512</v>
      </c>
    </row>
    <row r="30" spans="1:17" ht="60" customHeight="1">
      <c r="A30" s="71" t="s">
        <v>1517</v>
      </c>
      <c r="B30" s="71" t="s">
        <v>4002</v>
      </c>
      <c r="C30" s="76">
        <v>257</v>
      </c>
      <c r="D30" s="71" t="s">
        <v>1519</v>
      </c>
      <c r="E30" s="71" t="s">
        <v>4006</v>
      </c>
      <c r="F30" s="71" t="s">
        <v>746</v>
      </c>
      <c r="G30" s="71" t="s">
        <v>1077</v>
      </c>
      <c r="H30" s="71" t="s">
        <v>72</v>
      </c>
      <c r="I30" s="71" t="s">
        <v>1523</v>
      </c>
      <c r="J30" s="67"/>
      <c r="K30" s="76">
        <f>IF(J30="",0,LEN(J30)-LEN(SUBSTITUTE(J30,";",""))+1)</f>
        <v>0</v>
      </c>
      <c r="L30" s="71"/>
      <c r="M30" s="71"/>
      <c r="N30" s="78">
        <f>IF(M30="",0,1/COUNTIF($M$3:$M$125,M30))</f>
        <v>0</v>
      </c>
      <c r="O30" s="65"/>
      <c r="P30" s="65" t="s">
        <v>1520</v>
      </c>
      <c r="Q30" s="66" t="s">
        <v>1518</v>
      </c>
    </row>
    <row r="31" spans="1:17" ht="60" customHeight="1">
      <c r="A31" s="71" t="s">
        <v>1524</v>
      </c>
      <c r="B31" s="71" t="s">
        <v>4002</v>
      </c>
      <c r="C31" s="76">
        <v>258</v>
      </c>
      <c r="D31" s="71" t="s">
        <v>784</v>
      </c>
      <c r="E31" s="71" t="s">
        <v>4003</v>
      </c>
      <c r="F31" s="71" t="s">
        <v>788</v>
      </c>
      <c r="G31" s="71" t="s">
        <v>1077</v>
      </c>
      <c r="H31" s="71" t="s">
        <v>74</v>
      </c>
      <c r="I31" s="71" t="s">
        <v>1527</v>
      </c>
      <c r="J31" s="67"/>
      <c r="K31" s="76">
        <f>IF(J31="",0,LEN(J31)-LEN(SUBSTITUTE(J31,";",""))+1)</f>
        <v>0</v>
      </c>
      <c r="L31" s="71"/>
      <c r="M31" s="71"/>
      <c r="N31" s="78">
        <f>IF(M31="",0,1/COUNTIF($M$3:$M$125,M31))</f>
        <v>0</v>
      </c>
      <c r="O31" s="65"/>
      <c r="P31" s="65" t="s">
        <v>1526</v>
      </c>
      <c r="Q31" s="66" t="s">
        <v>1525</v>
      </c>
    </row>
    <row r="32" spans="1:17" ht="60" customHeight="1">
      <c r="A32" s="71" t="s">
        <v>1528</v>
      </c>
      <c r="B32" s="71" t="s">
        <v>4002</v>
      </c>
      <c r="C32" s="76">
        <v>259</v>
      </c>
      <c r="D32" s="71" t="s">
        <v>784</v>
      </c>
      <c r="E32" s="71" t="s">
        <v>4003</v>
      </c>
      <c r="F32" s="71" t="s">
        <v>788</v>
      </c>
      <c r="G32" s="71" t="s">
        <v>1077</v>
      </c>
      <c r="H32" s="71" t="s">
        <v>74</v>
      </c>
      <c r="I32" s="71" t="s">
        <v>1531</v>
      </c>
      <c r="J32" s="67"/>
      <c r="K32" s="76">
        <f>IF(J32="",0,LEN(J32)-LEN(SUBSTITUTE(J32,";",""))+1)</f>
        <v>0</v>
      </c>
      <c r="L32" s="71"/>
      <c r="M32" s="71"/>
      <c r="N32" s="78">
        <f>IF(M32="",0,1/COUNTIF($M$3:$M$125,M32))</f>
        <v>0</v>
      </c>
      <c r="O32" s="65"/>
      <c r="P32" s="65" t="s">
        <v>1530</v>
      </c>
      <c r="Q32" s="66" t="s">
        <v>1529</v>
      </c>
    </row>
    <row r="33" spans="1:17" ht="60" customHeight="1">
      <c r="A33" s="71" t="s">
        <v>1327</v>
      </c>
      <c r="B33" s="71" t="s">
        <v>4002</v>
      </c>
      <c r="C33" s="76">
        <v>260</v>
      </c>
      <c r="D33" s="71" t="s">
        <v>784</v>
      </c>
      <c r="E33" s="71" t="s">
        <v>4003</v>
      </c>
      <c r="F33" s="71" t="s">
        <v>788</v>
      </c>
      <c r="G33" s="71" t="s">
        <v>1077</v>
      </c>
      <c r="H33" s="71" t="s">
        <v>74</v>
      </c>
      <c r="I33" s="71" t="s">
        <v>1534</v>
      </c>
      <c r="J33" s="67"/>
      <c r="K33" s="76">
        <f>IF(J33="",0,LEN(J33)-LEN(SUBSTITUTE(J33,";",""))+1)</f>
        <v>0</v>
      </c>
      <c r="L33" s="71"/>
      <c r="M33" s="71"/>
      <c r="N33" s="78">
        <f>IF(M33="",0,1/COUNTIF($M$3:$M$125,M33))</f>
        <v>0</v>
      </c>
      <c r="O33" s="65"/>
      <c r="P33" s="65" t="s">
        <v>1533</v>
      </c>
      <c r="Q33" s="66" t="s">
        <v>1532</v>
      </c>
    </row>
    <row r="34" spans="1:17" ht="60" customHeight="1">
      <c r="A34" s="71" t="s">
        <v>1535</v>
      </c>
      <c r="B34" s="71" t="s">
        <v>4002</v>
      </c>
      <c r="C34" s="76">
        <v>261</v>
      </c>
      <c r="D34" s="71" t="s">
        <v>784</v>
      </c>
      <c r="E34" s="71" t="s">
        <v>4003</v>
      </c>
      <c r="F34" s="71" t="s">
        <v>788</v>
      </c>
      <c r="G34" s="71" t="s">
        <v>1077</v>
      </c>
      <c r="H34" s="71" t="s">
        <v>74</v>
      </c>
      <c r="I34" s="71" t="s">
        <v>1538</v>
      </c>
      <c r="J34" s="67"/>
      <c r="K34" s="76">
        <f>IF(J34="",0,LEN(J34)-LEN(SUBSTITUTE(J34,";",""))+1)</f>
        <v>0</v>
      </c>
      <c r="L34" s="71"/>
      <c r="M34" s="71"/>
      <c r="N34" s="78">
        <f>IF(M34="",0,1/COUNTIF($M$3:$M$125,M34))</f>
        <v>0</v>
      </c>
      <c r="O34" s="65"/>
      <c r="P34" s="65" t="s">
        <v>1537</v>
      </c>
      <c r="Q34" s="66" t="s">
        <v>1536</v>
      </c>
    </row>
    <row r="35" spans="1:17" ht="60" customHeight="1">
      <c r="A35" s="71" t="s">
        <v>1539</v>
      </c>
      <c r="B35" s="71" t="s">
        <v>4002</v>
      </c>
      <c r="C35" s="76">
        <v>262</v>
      </c>
      <c r="D35" s="71" t="s">
        <v>784</v>
      </c>
      <c r="E35" s="71" t="s">
        <v>4003</v>
      </c>
      <c r="F35" s="71" t="s">
        <v>788</v>
      </c>
      <c r="G35" s="71" t="s">
        <v>1077</v>
      </c>
      <c r="H35" s="71" t="s">
        <v>74</v>
      </c>
      <c r="I35" s="71" t="s">
        <v>1543</v>
      </c>
      <c r="J35" s="67"/>
      <c r="K35" s="76">
        <f>IF(J35="",0,LEN(J35)-LEN(SUBSTITUTE(J35,";",""))+1)</f>
        <v>0</v>
      </c>
      <c r="L35" s="71"/>
      <c r="M35" s="71"/>
      <c r="N35" s="78">
        <f>IF(M35="",0,1/COUNTIF($M$3:$M$125,M35))</f>
        <v>0</v>
      </c>
      <c r="O35" s="65"/>
      <c r="P35" s="65" t="s">
        <v>1541</v>
      </c>
      <c r="Q35" s="66" t="s">
        <v>1540</v>
      </c>
    </row>
    <row r="36" spans="1:17" ht="60" customHeight="1">
      <c r="A36" s="71" t="s">
        <v>1544</v>
      </c>
      <c r="B36" s="71" t="s">
        <v>4002</v>
      </c>
      <c r="C36" s="76">
        <v>263</v>
      </c>
      <c r="D36" s="71" t="s">
        <v>784</v>
      </c>
      <c r="E36" s="71" t="s">
        <v>4003</v>
      </c>
      <c r="F36" s="71" t="s">
        <v>788</v>
      </c>
      <c r="G36" s="71" t="s">
        <v>1077</v>
      </c>
      <c r="H36" s="71" t="s">
        <v>74</v>
      </c>
      <c r="I36" s="71" t="s">
        <v>1548</v>
      </c>
      <c r="J36" s="67"/>
      <c r="K36" s="76">
        <f>IF(J36="",0,LEN(J36)-LEN(SUBSTITUTE(J36,";",""))+1)</f>
        <v>0</v>
      </c>
      <c r="L36" s="71"/>
      <c r="M36" s="71"/>
      <c r="N36" s="78">
        <f>IF(M36="",0,1/COUNTIF($M$3:$M$125,M36))</f>
        <v>0</v>
      </c>
      <c r="O36" s="65"/>
      <c r="P36" s="65" t="s">
        <v>1546</v>
      </c>
      <c r="Q36" s="66" t="s">
        <v>1547</v>
      </c>
    </row>
    <row r="37" spans="1:17" ht="60" customHeight="1">
      <c r="A37" s="71" t="s">
        <v>1549</v>
      </c>
      <c r="B37" s="71" t="s">
        <v>4002</v>
      </c>
      <c r="C37" s="76">
        <v>264</v>
      </c>
      <c r="D37" s="71" t="s">
        <v>784</v>
      </c>
      <c r="E37" s="71" t="s">
        <v>4003</v>
      </c>
      <c r="F37" s="71" t="s">
        <v>788</v>
      </c>
      <c r="G37" s="71" t="s">
        <v>1077</v>
      </c>
      <c r="H37" s="71" t="s">
        <v>74</v>
      </c>
      <c r="I37" s="71" t="s">
        <v>1553</v>
      </c>
      <c r="J37" s="67"/>
      <c r="K37" s="76">
        <f>IF(J37="",0,LEN(J37)-LEN(SUBSTITUTE(J37,";",""))+1)</f>
        <v>0</v>
      </c>
      <c r="L37" s="71"/>
      <c r="M37" s="71"/>
      <c r="N37" s="78">
        <f>IF(M37="",0,1/COUNTIF($M$3:$M$125,M37))</f>
        <v>0</v>
      </c>
      <c r="O37" s="65"/>
      <c r="P37" s="65" t="s">
        <v>1551</v>
      </c>
      <c r="Q37" s="66" t="s">
        <v>1552</v>
      </c>
    </row>
    <row r="38" spans="1:17" ht="60" customHeight="1">
      <c r="A38" s="71" t="s">
        <v>1554</v>
      </c>
      <c r="B38" s="71" t="s">
        <v>4002</v>
      </c>
      <c r="C38" s="76">
        <v>265</v>
      </c>
      <c r="D38" s="71" t="s">
        <v>784</v>
      </c>
      <c r="E38" s="71" t="s">
        <v>4003</v>
      </c>
      <c r="F38" s="71" t="s">
        <v>788</v>
      </c>
      <c r="G38" s="71" t="s">
        <v>1077</v>
      </c>
      <c r="H38" s="71" t="s">
        <v>74</v>
      </c>
      <c r="I38" s="71" t="s">
        <v>1557</v>
      </c>
      <c r="J38" s="67"/>
      <c r="K38" s="76">
        <f>IF(J38="",0,LEN(J38)-LEN(SUBSTITUTE(J38,";",""))+1)</f>
        <v>0</v>
      </c>
      <c r="L38" s="71"/>
      <c r="M38" s="71"/>
      <c r="N38" s="78">
        <f>IF(M38="",0,1/COUNTIF($M$3:$M$125,M38))</f>
        <v>0</v>
      </c>
      <c r="O38" s="65"/>
      <c r="P38" s="65" t="s">
        <v>1556</v>
      </c>
      <c r="Q38" s="66" t="s">
        <v>1555</v>
      </c>
    </row>
    <row r="39" spans="1:17" ht="60" customHeight="1">
      <c r="A39" s="71" t="s">
        <v>1558</v>
      </c>
      <c r="B39" s="71" t="s">
        <v>4002</v>
      </c>
      <c r="C39" s="76">
        <v>266</v>
      </c>
      <c r="D39" s="71" t="s">
        <v>784</v>
      </c>
      <c r="E39" s="71" t="s">
        <v>4003</v>
      </c>
      <c r="F39" s="71" t="s">
        <v>788</v>
      </c>
      <c r="G39" s="71" t="s">
        <v>1077</v>
      </c>
      <c r="H39" s="71" t="s">
        <v>74</v>
      </c>
      <c r="I39" s="71" t="s">
        <v>1561</v>
      </c>
      <c r="J39" s="67"/>
      <c r="K39" s="76">
        <f>IF(J39="",0,LEN(J39)-LEN(SUBSTITUTE(J39,";",""))+1)</f>
        <v>0</v>
      </c>
      <c r="L39" s="71"/>
      <c r="M39" s="71"/>
      <c r="N39" s="78">
        <f>IF(M39="",0,1/COUNTIF($M$3:$M$125,M39))</f>
        <v>0</v>
      </c>
      <c r="O39" s="65"/>
      <c r="P39" s="65" t="s">
        <v>1560</v>
      </c>
      <c r="Q39" s="66" t="s">
        <v>1559</v>
      </c>
    </row>
    <row r="40" spans="1:17" ht="60" customHeight="1">
      <c r="A40" s="71" t="s">
        <v>1562</v>
      </c>
      <c r="B40" s="71" t="s">
        <v>4002</v>
      </c>
      <c r="C40" s="76">
        <v>267</v>
      </c>
      <c r="D40" s="71" t="s">
        <v>784</v>
      </c>
      <c r="E40" s="71" t="s">
        <v>4003</v>
      </c>
      <c r="F40" s="71" t="s">
        <v>788</v>
      </c>
      <c r="G40" s="71" t="s">
        <v>1077</v>
      </c>
      <c r="H40" s="71" t="s">
        <v>74</v>
      </c>
      <c r="I40" s="71" t="s">
        <v>1565</v>
      </c>
      <c r="J40" s="67"/>
      <c r="K40" s="76">
        <f>IF(J40="",0,LEN(J40)-LEN(SUBSTITUTE(J40,";",""))+1)</f>
        <v>0</v>
      </c>
      <c r="L40" s="71"/>
      <c r="M40" s="71"/>
      <c r="N40" s="78">
        <f>IF(M40="",0,1/COUNTIF($M$3:$M$125,M40))</f>
        <v>0</v>
      </c>
      <c r="O40" s="65"/>
      <c r="P40" s="65" t="s">
        <v>1564</v>
      </c>
      <c r="Q40" s="66" t="s">
        <v>1563</v>
      </c>
    </row>
    <row r="41" spans="1:17" ht="60" customHeight="1">
      <c r="A41" s="71" t="s">
        <v>1566</v>
      </c>
      <c r="B41" s="71" t="s">
        <v>4002</v>
      </c>
      <c r="C41" s="76">
        <v>268</v>
      </c>
      <c r="D41" s="71" t="s">
        <v>212</v>
      </c>
      <c r="E41" s="71" t="s">
        <v>4003</v>
      </c>
      <c r="F41" s="71" t="s">
        <v>746</v>
      </c>
      <c r="G41" s="71" t="s">
        <v>1077</v>
      </c>
      <c r="H41" s="71" t="s">
        <v>74</v>
      </c>
      <c r="I41" s="71" t="s">
        <v>1570</v>
      </c>
      <c r="J41" s="67"/>
      <c r="K41" s="76">
        <f>IF(J41="",0,LEN(J41)-LEN(SUBSTITUTE(J41,";",""))+1)</f>
        <v>0</v>
      </c>
      <c r="L41" s="71"/>
      <c r="M41" s="71"/>
      <c r="N41" s="78">
        <f>IF(M41="",0,1/COUNTIF($M$3:$M$125,M41))</f>
        <v>0</v>
      </c>
      <c r="O41" s="65"/>
      <c r="P41" s="65" t="s">
        <v>1568</v>
      </c>
      <c r="Q41" s="66" t="s">
        <v>1567</v>
      </c>
    </row>
    <row r="42" spans="1:17" ht="60" customHeight="1">
      <c r="A42" s="71" t="s">
        <v>1571</v>
      </c>
      <c r="B42" s="71" t="s">
        <v>4002</v>
      </c>
      <c r="C42" s="76">
        <v>269</v>
      </c>
      <c r="D42" s="71" t="s">
        <v>1575</v>
      </c>
      <c r="E42" s="71" t="s">
        <v>4006</v>
      </c>
      <c r="F42" s="71" t="s">
        <v>746</v>
      </c>
      <c r="G42" s="71" t="s">
        <v>1077</v>
      </c>
      <c r="H42" s="71" t="s">
        <v>72</v>
      </c>
      <c r="I42" s="71" t="s">
        <v>1580</v>
      </c>
      <c r="J42" s="67"/>
      <c r="K42" s="76">
        <f>IF(J42="",0,LEN(J42)-LEN(SUBSTITUTE(J42,";",""))+1)</f>
        <v>0</v>
      </c>
      <c r="L42" s="71"/>
      <c r="M42" s="71"/>
      <c r="N42" s="78">
        <f>IF(M42="",0,1/COUNTIF($M$3:$M$125,M42))</f>
        <v>0</v>
      </c>
      <c r="O42" s="65" t="s">
        <v>1576</v>
      </c>
      <c r="P42" s="65" t="s">
        <v>1578</v>
      </c>
      <c r="Q42" s="66" t="s">
        <v>1572</v>
      </c>
    </row>
    <row r="43" spans="1:17" ht="60" customHeight="1">
      <c r="A43" s="71" t="s">
        <v>1581</v>
      </c>
      <c r="B43" s="71" t="s">
        <v>4002</v>
      </c>
      <c r="C43" s="76">
        <v>270</v>
      </c>
      <c r="D43" s="71" t="s">
        <v>212</v>
      </c>
      <c r="E43" s="71" t="s">
        <v>4003</v>
      </c>
      <c r="F43" s="71" t="s">
        <v>746</v>
      </c>
      <c r="G43" s="71" t="s">
        <v>1077</v>
      </c>
      <c r="H43" s="71" t="s">
        <v>74</v>
      </c>
      <c r="I43" s="71" t="s">
        <v>1585</v>
      </c>
      <c r="J43" s="67"/>
      <c r="K43" s="76">
        <f>IF(J43="",0,LEN(J43)-LEN(SUBSTITUTE(J43,";",""))+1)</f>
        <v>0</v>
      </c>
      <c r="L43" s="71"/>
      <c r="M43" s="71"/>
      <c r="N43" s="78">
        <f>IF(M43="",0,1/COUNTIF($M$3:$M$125,M43))</f>
        <v>0</v>
      </c>
      <c r="O43" s="65"/>
      <c r="P43" s="65" t="s">
        <v>1583</v>
      </c>
      <c r="Q43" s="66" t="s">
        <v>1582</v>
      </c>
    </row>
    <row r="44" spans="1:17" ht="60" customHeight="1">
      <c r="A44" s="71" t="s">
        <v>1586</v>
      </c>
      <c r="B44" s="71" t="s">
        <v>4002</v>
      </c>
      <c r="C44" s="76">
        <v>271</v>
      </c>
      <c r="D44" s="71" t="s">
        <v>212</v>
      </c>
      <c r="E44" s="71" t="s">
        <v>4003</v>
      </c>
      <c r="F44" s="71" t="s">
        <v>746</v>
      </c>
      <c r="G44" s="71" t="s">
        <v>1077</v>
      </c>
      <c r="H44" s="71" t="s">
        <v>74</v>
      </c>
      <c r="I44" s="71" t="s">
        <v>1590</v>
      </c>
      <c r="J44" s="67"/>
      <c r="K44" s="76">
        <f>IF(J44="",0,LEN(J44)-LEN(SUBSTITUTE(J44,";",""))+1)</f>
        <v>0</v>
      </c>
      <c r="L44" s="71"/>
      <c r="M44" s="71"/>
      <c r="N44" s="78">
        <f>IF(M44="",0,1/COUNTIF($M$3:$M$125,M44))</f>
        <v>0</v>
      </c>
      <c r="O44" s="65"/>
      <c r="P44" s="65" t="s">
        <v>1588</v>
      </c>
      <c r="Q44" s="66" t="s">
        <v>1587</v>
      </c>
    </row>
    <row r="45" spans="1:17" ht="60" customHeight="1">
      <c r="A45" s="71" t="s">
        <v>1591</v>
      </c>
      <c r="B45" s="71" t="s">
        <v>4002</v>
      </c>
      <c r="C45" s="76">
        <v>272</v>
      </c>
      <c r="D45" s="71" t="s">
        <v>784</v>
      </c>
      <c r="E45" s="71" t="s">
        <v>4003</v>
      </c>
      <c r="F45" s="71" t="s">
        <v>788</v>
      </c>
      <c r="G45" s="71" t="s">
        <v>1077</v>
      </c>
      <c r="H45" s="71" t="s">
        <v>74</v>
      </c>
      <c r="I45" s="71" t="s">
        <v>1594</v>
      </c>
      <c r="J45" s="67"/>
      <c r="K45" s="76">
        <f>IF(J45="",0,LEN(J45)-LEN(SUBSTITUTE(J45,";",""))+1)</f>
        <v>0</v>
      </c>
      <c r="L45" s="71"/>
      <c r="M45" s="71"/>
      <c r="N45" s="78">
        <f>IF(M45="",0,1/COUNTIF($M$3:$M$125,M45))</f>
        <v>0</v>
      </c>
      <c r="O45" s="65"/>
      <c r="P45" s="65" t="s">
        <v>1593</v>
      </c>
      <c r="Q45" s="66" t="s">
        <v>1592</v>
      </c>
    </row>
    <row r="46" spans="1:17" ht="60" customHeight="1">
      <c r="A46" s="71" t="s">
        <v>1595</v>
      </c>
      <c r="B46" s="71" t="s">
        <v>4002</v>
      </c>
      <c r="C46" s="76">
        <v>273</v>
      </c>
      <c r="D46" s="71" t="s">
        <v>212</v>
      </c>
      <c r="E46" s="71" t="s">
        <v>4003</v>
      </c>
      <c r="F46" s="71" t="s">
        <v>746</v>
      </c>
      <c r="G46" s="71" t="s">
        <v>1077</v>
      </c>
      <c r="H46" s="71" t="s">
        <v>74</v>
      </c>
      <c r="I46" s="71" t="s">
        <v>1598</v>
      </c>
      <c r="J46" s="67"/>
      <c r="K46" s="76">
        <f>IF(J46="",0,LEN(J46)-LEN(SUBSTITUTE(J46,";",""))+1)</f>
        <v>0</v>
      </c>
      <c r="L46" s="71"/>
      <c r="M46" s="71"/>
      <c r="N46" s="78">
        <f>IF(M46="",0,1/COUNTIF($M$3:$M$125,M46))</f>
        <v>0</v>
      </c>
      <c r="O46" s="65"/>
      <c r="P46" s="65" t="s">
        <v>1597</v>
      </c>
      <c r="Q46" s="66" t="s">
        <v>1596</v>
      </c>
    </row>
    <row r="47" spans="1:17" ht="60" customHeight="1">
      <c r="A47" s="71" t="s">
        <v>1599</v>
      </c>
      <c r="B47" s="71" t="s">
        <v>4002</v>
      </c>
      <c r="C47" s="76">
        <v>274</v>
      </c>
      <c r="D47" s="71" t="s">
        <v>784</v>
      </c>
      <c r="E47" s="71" t="s">
        <v>4003</v>
      </c>
      <c r="F47" s="71" t="s">
        <v>788</v>
      </c>
      <c r="G47" s="71" t="s">
        <v>1077</v>
      </c>
      <c r="H47" s="71" t="s">
        <v>74</v>
      </c>
      <c r="I47" s="71" t="s">
        <v>1602</v>
      </c>
      <c r="J47" s="67"/>
      <c r="K47" s="76">
        <f>IF(J47="",0,LEN(J47)-LEN(SUBSTITUTE(J47,";",""))+1)</f>
        <v>0</v>
      </c>
      <c r="L47" s="71"/>
      <c r="M47" s="71"/>
      <c r="N47" s="78">
        <f>IF(M47="",0,1/COUNTIF($M$3:$M$125,M47))</f>
        <v>0</v>
      </c>
      <c r="O47" s="65"/>
      <c r="P47" s="65" t="s">
        <v>1601</v>
      </c>
      <c r="Q47" s="66" t="s">
        <v>1600</v>
      </c>
    </row>
    <row r="48" spans="1:17" ht="60" customHeight="1">
      <c r="A48" s="71" t="s">
        <v>1408</v>
      </c>
      <c r="B48" s="71" t="s">
        <v>4002</v>
      </c>
      <c r="C48" s="76">
        <v>275</v>
      </c>
      <c r="D48" s="71" t="s">
        <v>784</v>
      </c>
      <c r="E48" s="71" t="s">
        <v>4003</v>
      </c>
      <c r="F48" s="71" t="s">
        <v>788</v>
      </c>
      <c r="G48" s="71" t="s">
        <v>1077</v>
      </c>
      <c r="H48" s="71" t="s">
        <v>74</v>
      </c>
      <c r="I48" s="71" t="s">
        <v>1604</v>
      </c>
      <c r="J48" s="67"/>
      <c r="K48" s="76">
        <f>IF(J48="",0,LEN(J48)-LEN(SUBSTITUTE(J48,";",""))+1)</f>
        <v>0</v>
      </c>
      <c r="L48" s="71"/>
      <c r="M48" s="71"/>
      <c r="N48" s="78">
        <f>IF(M48="",0,1/COUNTIF($M$3:$M$125,M48))</f>
        <v>0</v>
      </c>
      <c r="O48" s="65"/>
      <c r="P48" s="65" t="s">
        <v>1603</v>
      </c>
      <c r="Q48" s="66" t="s">
        <v>1409</v>
      </c>
    </row>
    <row r="49" spans="1:17" ht="60" customHeight="1">
      <c r="A49" s="71" t="s">
        <v>1605</v>
      </c>
      <c r="B49" s="71" t="s">
        <v>4002</v>
      </c>
      <c r="C49" s="76">
        <v>276</v>
      </c>
      <c r="D49" s="71" t="s">
        <v>784</v>
      </c>
      <c r="E49" s="71" t="s">
        <v>4003</v>
      </c>
      <c r="F49" s="71" t="s">
        <v>788</v>
      </c>
      <c r="G49" s="71" t="s">
        <v>1077</v>
      </c>
      <c r="H49" s="71" t="s">
        <v>74</v>
      </c>
      <c r="I49" s="71" t="s">
        <v>1608</v>
      </c>
      <c r="J49" s="67"/>
      <c r="K49" s="76">
        <f>IF(J49="",0,LEN(J49)-LEN(SUBSTITUTE(J49,";",""))+1)</f>
        <v>0</v>
      </c>
      <c r="L49" s="71"/>
      <c r="M49" s="71"/>
      <c r="N49" s="78">
        <f>IF(M49="",0,1/COUNTIF($M$3:$M$125,M49))</f>
        <v>0</v>
      </c>
      <c r="O49" s="65"/>
      <c r="P49" s="65" t="s">
        <v>1607</v>
      </c>
      <c r="Q49" s="66" t="s">
        <v>1606</v>
      </c>
    </row>
    <row r="50" spans="1:17" ht="60" customHeight="1">
      <c r="A50" s="71" t="s">
        <v>1609</v>
      </c>
      <c r="B50" s="71" t="s">
        <v>4002</v>
      </c>
      <c r="C50" s="76">
        <v>277</v>
      </c>
      <c r="D50" s="71" t="s">
        <v>784</v>
      </c>
      <c r="E50" s="71" t="s">
        <v>4003</v>
      </c>
      <c r="F50" s="71" t="s">
        <v>788</v>
      </c>
      <c r="G50" s="71" t="s">
        <v>1077</v>
      </c>
      <c r="H50" s="71" t="s">
        <v>74</v>
      </c>
      <c r="I50" s="71" t="s">
        <v>1612</v>
      </c>
      <c r="J50" s="67"/>
      <c r="K50" s="76">
        <f>IF(J50="",0,LEN(J50)-LEN(SUBSTITUTE(J50,";",""))+1)</f>
        <v>0</v>
      </c>
      <c r="L50" s="71"/>
      <c r="M50" s="71"/>
      <c r="N50" s="78">
        <f>IF(M50="",0,1/COUNTIF($M$3:$M$125,M50))</f>
        <v>0</v>
      </c>
      <c r="O50" s="65"/>
      <c r="P50" s="65" t="s">
        <v>1611</v>
      </c>
      <c r="Q50" s="66" t="s">
        <v>1610</v>
      </c>
    </row>
    <row r="51" spans="1:17" ht="60" customHeight="1">
      <c r="A51" s="71" t="s">
        <v>1613</v>
      </c>
      <c r="B51" s="71" t="s">
        <v>4002</v>
      </c>
      <c r="C51" s="76">
        <v>278</v>
      </c>
      <c r="D51" s="71" t="s">
        <v>784</v>
      </c>
      <c r="E51" s="71" t="s">
        <v>4003</v>
      </c>
      <c r="F51" s="71" t="s">
        <v>788</v>
      </c>
      <c r="G51" s="71" t="s">
        <v>1077</v>
      </c>
      <c r="H51" s="71" t="s">
        <v>74</v>
      </c>
      <c r="I51" s="71" t="s">
        <v>1616</v>
      </c>
      <c r="J51" s="67"/>
      <c r="K51" s="76">
        <f>IF(J51="",0,LEN(J51)-LEN(SUBSTITUTE(J51,";",""))+1)</f>
        <v>0</v>
      </c>
      <c r="L51" s="71"/>
      <c r="M51" s="71"/>
      <c r="N51" s="78">
        <f>IF(M51="",0,1/COUNTIF($M$3:$M$125,M51))</f>
        <v>0</v>
      </c>
      <c r="O51" s="65"/>
      <c r="P51" s="65" t="s">
        <v>1615</v>
      </c>
      <c r="Q51" s="66" t="s">
        <v>1614</v>
      </c>
    </row>
    <row r="52" spans="1:17" ht="60" customHeight="1">
      <c r="A52" s="71" t="s">
        <v>1617</v>
      </c>
      <c r="B52" s="71" t="s">
        <v>4002</v>
      </c>
      <c r="C52" s="76">
        <v>279</v>
      </c>
      <c r="D52" s="71" t="s">
        <v>784</v>
      </c>
      <c r="E52" s="71" t="s">
        <v>4003</v>
      </c>
      <c r="F52" s="71" t="s">
        <v>788</v>
      </c>
      <c r="G52" s="71" t="s">
        <v>1077</v>
      </c>
      <c r="H52" s="71" t="s">
        <v>74</v>
      </c>
      <c r="I52" s="71" t="s">
        <v>1620</v>
      </c>
      <c r="J52" s="67"/>
      <c r="K52" s="76">
        <f>IF(J52="",0,LEN(J52)-LEN(SUBSTITUTE(J52,";",""))+1)</f>
        <v>0</v>
      </c>
      <c r="L52" s="71"/>
      <c r="M52" s="71"/>
      <c r="N52" s="78">
        <f>IF(M52="",0,1/COUNTIF($M$3:$M$125,M52))</f>
        <v>0</v>
      </c>
      <c r="O52" s="65"/>
      <c r="P52" s="65" t="s">
        <v>1619</v>
      </c>
      <c r="Q52" s="66" t="s">
        <v>1618</v>
      </c>
    </row>
    <row r="53" spans="1:17" ht="60" customHeight="1">
      <c r="A53" s="71" t="s">
        <v>1621</v>
      </c>
      <c r="B53" s="71" t="s">
        <v>4002</v>
      </c>
      <c r="C53" s="76">
        <v>280</v>
      </c>
      <c r="D53" s="71" t="s">
        <v>784</v>
      </c>
      <c r="E53" s="71" t="s">
        <v>4003</v>
      </c>
      <c r="F53" s="71" t="s">
        <v>788</v>
      </c>
      <c r="G53" s="71" t="s">
        <v>1077</v>
      </c>
      <c r="H53" s="71" t="s">
        <v>74</v>
      </c>
      <c r="I53" s="71" t="s">
        <v>1624</v>
      </c>
      <c r="J53" s="67"/>
      <c r="K53" s="76">
        <f>IF(J53="",0,LEN(J53)-LEN(SUBSTITUTE(J53,";",""))+1)</f>
        <v>0</v>
      </c>
      <c r="L53" s="71"/>
      <c r="M53" s="71"/>
      <c r="N53" s="78">
        <f>IF(M53="",0,1/COUNTIF($M$3:$M$125,M53))</f>
        <v>0</v>
      </c>
      <c r="O53" s="65"/>
      <c r="P53" s="65" t="s">
        <v>1623</v>
      </c>
      <c r="Q53" s="66" t="s">
        <v>1622</v>
      </c>
    </row>
    <row r="54" spans="1:17" ht="60" customHeight="1">
      <c r="A54" s="71" t="s">
        <v>1625</v>
      </c>
      <c r="B54" s="71" t="s">
        <v>4002</v>
      </c>
      <c r="C54" s="76">
        <v>281</v>
      </c>
      <c r="D54" s="71" t="s">
        <v>784</v>
      </c>
      <c r="E54" s="71" t="s">
        <v>4003</v>
      </c>
      <c r="F54" s="71" t="s">
        <v>788</v>
      </c>
      <c r="G54" s="71" t="s">
        <v>1077</v>
      </c>
      <c r="H54" s="71" t="s">
        <v>74</v>
      </c>
      <c r="I54" s="71" t="s">
        <v>1628</v>
      </c>
      <c r="J54" s="67"/>
      <c r="K54" s="76">
        <f>IF(J54="",0,LEN(J54)-LEN(SUBSTITUTE(J54,";",""))+1)</f>
        <v>0</v>
      </c>
      <c r="L54" s="71"/>
      <c r="M54" s="71"/>
      <c r="N54" s="78">
        <f>IF(M54="",0,1/COUNTIF($M$3:$M$125,M54))</f>
        <v>0</v>
      </c>
      <c r="O54" s="65"/>
      <c r="P54" s="65" t="s">
        <v>1627</v>
      </c>
      <c r="Q54" s="66" t="s">
        <v>1626</v>
      </c>
    </row>
    <row r="55" spans="1:17" ht="60" customHeight="1">
      <c r="A55" s="71" t="s">
        <v>1629</v>
      </c>
      <c r="B55" s="71" t="s">
        <v>4002</v>
      </c>
      <c r="C55" s="76">
        <v>282</v>
      </c>
      <c r="D55" s="71" t="s">
        <v>784</v>
      </c>
      <c r="E55" s="71" t="s">
        <v>4003</v>
      </c>
      <c r="F55" s="71" t="s">
        <v>788</v>
      </c>
      <c r="G55" s="71" t="s">
        <v>1077</v>
      </c>
      <c r="H55" s="71" t="s">
        <v>74</v>
      </c>
      <c r="I55" s="71" t="s">
        <v>1633</v>
      </c>
      <c r="J55" s="67"/>
      <c r="K55" s="76">
        <f>IF(J55="",0,LEN(J55)-LEN(SUBSTITUTE(J55,";",""))+1)</f>
        <v>0</v>
      </c>
      <c r="L55" s="71"/>
      <c r="M55" s="71"/>
      <c r="N55" s="78">
        <f>IF(M55="",0,1/COUNTIF($M$3:$M$125,M55))</f>
        <v>0</v>
      </c>
      <c r="O55" s="65"/>
      <c r="P55" s="65" t="s">
        <v>1631</v>
      </c>
      <c r="Q55" s="66" t="s">
        <v>1632</v>
      </c>
    </row>
    <row r="56" spans="1:17" ht="60" customHeight="1">
      <c r="A56" s="71" t="s">
        <v>1785</v>
      </c>
      <c r="B56" s="71" t="s">
        <v>4002</v>
      </c>
      <c r="C56" s="76">
        <v>311</v>
      </c>
      <c r="D56" s="71" t="s">
        <v>1793</v>
      </c>
      <c r="E56" s="71" t="s">
        <v>4006</v>
      </c>
      <c r="F56" s="71" t="s">
        <v>1801</v>
      </c>
      <c r="G56" s="71" t="s">
        <v>1077</v>
      </c>
      <c r="H56" s="71" t="s">
        <v>70</v>
      </c>
      <c r="I56" s="71" t="s">
        <v>1800</v>
      </c>
      <c r="J56" s="67"/>
      <c r="K56" s="76">
        <f>IF(J56="",0,LEN(J56)-LEN(SUBSTITUTE(J56,";",""))+1)</f>
        <v>0</v>
      </c>
      <c r="L56" s="71"/>
      <c r="M56" s="71"/>
      <c r="N56" s="78">
        <f>IF(M56="",0,1/COUNTIF($M$3:$M$125,M56))</f>
        <v>0</v>
      </c>
      <c r="O56" s="65" t="s">
        <v>1794</v>
      </c>
      <c r="P56" s="65" t="s">
        <v>1796</v>
      </c>
      <c r="Q56" s="66" t="s">
        <v>1798</v>
      </c>
    </row>
    <row r="57" spans="1:17" ht="60" customHeight="1">
      <c r="A57" s="71" t="s">
        <v>1837</v>
      </c>
      <c r="B57" s="71" t="s">
        <v>4002</v>
      </c>
      <c r="C57" s="76">
        <v>319</v>
      </c>
      <c r="D57" s="71" t="s">
        <v>1793</v>
      </c>
      <c r="E57" s="71" t="s">
        <v>4007</v>
      </c>
      <c r="F57" s="71" t="s">
        <v>1851</v>
      </c>
      <c r="G57" s="71" t="s">
        <v>1077</v>
      </c>
      <c r="H57" s="71" t="s">
        <v>70</v>
      </c>
      <c r="I57" s="71" t="s">
        <v>1849</v>
      </c>
      <c r="J57" s="67"/>
      <c r="K57" s="76">
        <f>IF(J57="",0,LEN(J57)-LEN(SUBSTITUTE(J57,";",""))+1)</f>
        <v>0</v>
      </c>
      <c r="L57" s="71"/>
      <c r="M57" s="71"/>
      <c r="N57" s="78">
        <f>IF(M57="",0,1/COUNTIF($M$3:$M$125,M57))</f>
        <v>0</v>
      </c>
      <c r="O57" s="65" t="s">
        <v>1843</v>
      </c>
      <c r="P57" s="65" t="s">
        <v>1845</v>
      </c>
      <c r="Q57" s="66" t="s">
        <v>1847</v>
      </c>
    </row>
    <row r="58" spans="1:17" ht="60" customHeight="1">
      <c r="A58" s="71" t="s">
        <v>1852</v>
      </c>
      <c r="B58" s="71" t="s">
        <v>4002</v>
      </c>
      <c r="C58" s="76">
        <v>320</v>
      </c>
      <c r="D58" s="71" t="s">
        <v>212</v>
      </c>
      <c r="E58" s="71" t="s">
        <v>4008</v>
      </c>
      <c r="F58" s="71" t="s">
        <v>1859</v>
      </c>
      <c r="G58" s="71" t="s">
        <v>1077</v>
      </c>
      <c r="H58" s="71" t="s">
        <v>74</v>
      </c>
      <c r="I58" s="71" t="s">
        <v>1858</v>
      </c>
      <c r="J58" s="67"/>
      <c r="K58" s="76">
        <f>IF(J58="",0,LEN(J58)-LEN(SUBSTITUTE(J58,";",""))+1)</f>
        <v>0</v>
      </c>
      <c r="L58" s="71"/>
      <c r="M58" s="71"/>
      <c r="N58" s="78">
        <f>IF(M58="",0,1/COUNTIF($M$3:$M$125,M58))</f>
        <v>0</v>
      </c>
      <c r="O58" s="65"/>
      <c r="P58" s="65" t="s">
        <v>1854</v>
      </c>
      <c r="Q58" s="66" t="s">
        <v>1856</v>
      </c>
    </row>
    <row r="59" spans="1:17" ht="60" customHeight="1">
      <c r="A59" s="71" t="s">
        <v>1860</v>
      </c>
      <c r="B59" s="71" t="s">
        <v>4002</v>
      </c>
      <c r="C59" s="76">
        <v>321</v>
      </c>
      <c r="D59" s="71" t="s">
        <v>212</v>
      </c>
      <c r="E59" s="71" t="s">
        <v>4008</v>
      </c>
      <c r="F59" s="71" t="s">
        <v>1859</v>
      </c>
      <c r="G59" s="71" t="s">
        <v>1077</v>
      </c>
      <c r="H59" s="71" t="s">
        <v>74</v>
      </c>
      <c r="I59" s="71" t="s">
        <v>1864</v>
      </c>
      <c r="J59" s="67"/>
      <c r="K59" s="76">
        <f>IF(J59="",0,LEN(J59)-LEN(SUBSTITUTE(J59,";",""))+1)</f>
        <v>0</v>
      </c>
      <c r="L59" s="71"/>
      <c r="M59" s="71"/>
      <c r="N59" s="78">
        <f>IF(M59="",0,1/COUNTIF($M$3:$M$125,M59))</f>
        <v>0</v>
      </c>
      <c r="O59" s="65"/>
      <c r="P59" s="65" t="s">
        <v>1862</v>
      </c>
      <c r="Q59" s="66" t="s">
        <v>1863</v>
      </c>
    </row>
    <row r="60" spans="1:17" ht="60" customHeight="1">
      <c r="A60" s="71" t="s">
        <v>1865</v>
      </c>
      <c r="B60" s="71" t="s">
        <v>4002</v>
      </c>
      <c r="C60" s="76">
        <v>322</v>
      </c>
      <c r="D60" s="71" t="s">
        <v>212</v>
      </c>
      <c r="E60" s="71" t="s">
        <v>4008</v>
      </c>
      <c r="F60" s="71" t="s">
        <v>1859</v>
      </c>
      <c r="G60" s="71" t="s">
        <v>1077</v>
      </c>
      <c r="H60" s="71" t="s">
        <v>74</v>
      </c>
      <c r="I60" s="71" t="s">
        <v>1868</v>
      </c>
      <c r="J60" s="67"/>
      <c r="K60" s="76">
        <f>IF(J60="",0,LEN(J60)-LEN(SUBSTITUTE(J60,";",""))+1)</f>
        <v>0</v>
      </c>
      <c r="L60" s="71"/>
      <c r="M60" s="71"/>
      <c r="N60" s="78">
        <f>IF(M60="",0,1/COUNTIF($M$3:$M$125,M60))</f>
        <v>0</v>
      </c>
      <c r="O60" s="65"/>
      <c r="P60" s="65" t="s">
        <v>1854</v>
      </c>
      <c r="Q60" s="66" t="s">
        <v>1867</v>
      </c>
    </row>
    <row r="61" spans="1:17" ht="60" customHeight="1">
      <c r="A61" s="71" t="s">
        <v>1990</v>
      </c>
      <c r="B61" s="71" t="s">
        <v>4002</v>
      </c>
      <c r="C61" s="76">
        <v>349</v>
      </c>
      <c r="D61" s="71" t="s">
        <v>1793</v>
      </c>
      <c r="E61" s="71" t="s">
        <v>4006</v>
      </c>
      <c r="F61" s="71" t="s">
        <v>2003</v>
      </c>
      <c r="G61" s="71" t="s">
        <v>223</v>
      </c>
      <c r="H61" s="71" t="s">
        <v>70</v>
      </c>
      <c r="I61" s="71" t="s">
        <v>2001</v>
      </c>
      <c r="J61" s="67"/>
      <c r="K61" s="76">
        <f>IF(J61="",0,LEN(J61)-LEN(SUBSTITUTE(J61,";",""))+1)</f>
        <v>0</v>
      </c>
      <c r="L61" s="71"/>
      <c r="M61" s="71"/>
      <c r="N61" s="78">
        <f>IF(M61="",0,1/COUNTIF($M$3:$M$125,M61))</f>
        <v>0</v>
      </c>
      <c r="O61" s="65" t="s">
        <v>1996</v>
      </c>
      <c r="P61" s="65" t="s">
        <v>1998</v>
      </c>
      <c r="Q61" s="66" t="s">
        <v>1991</v>
      </c>
    </row>
    <row r="62" spans="1:17" ht="60" customHeight="1">
      <c r="A62" s="71" t="s">
        <v>2311</v>
      </c>
      <c r="B62" s="71" t="s">
        <v>4002</v>
      </c>
      <c r="C62" s="76">
        <v>424</v>
      </c>
      <c r="D62" s="71" t="s">
        <v>1072</v>
      </c>
      <c r="E62" s="71" t="s">
        <v>4003</v>
      </c>
      <c r="F62" s="71" t="s">
        <v>788</v>
      </c>
      <c r="G62" s="71" t="s">
        <v>223</v>
      </c>
      <c r="H62" s="71" t="s">
        <v>74</v>
      </c>
      <c r="I62" s="71" t="s">
        <v>2318</v>
      </c>
      <c r="J62" s="67"/>
      <c r="K62" s="76">
        <f>IF(J62="",0,LEN(J62)-LEN(SUBSTITUTE(J62,";",""))+1)</f>
        <v>0</v>
      </c>
      <c r="L62" s="71"/>
      <c r="M62" s="71"/>
      <c r="N62" s="78">
        <f>IF(M62="",0,1/COUNTIF($M$3:$M$125,M62))</f>
        <v>0</v>
      </c>
      <c r="O62" s="65"/>
      <c r="P62" s="65" t="s">
        <v>2315</v>
      </c>
      <c r="Q62" s="66" t="s">
        <v>2316</v>
      </c>
    </row>
    <row r="63" spans="1:17" ht="60" customHeight="1">
      <c r="A63" s="71" t="s">
        <v>2475</v>
      </c>
      <c r="B63" s="71" t="s">
        <v>4002</v>
      </c>
      <c r="C63" s="76">
        <v>457</v>
      </c>
      <c r="D63" s="71" t="s">
        <v>1519</v>
      </c>
      <c r="E63" s="71" t="s">
        <v>4006</v>
      </c>
      <c r="F63" s="71" t="s">
        <v>746</v>
      </c>
      <c r="G63" s="71" t="s">
        <v>747</v>
      </c>
      <c r="H63" s="71" t="s">
        <v>72</v>
      </c>
      <c r="I63" s="71" t="s">
        <v>2487</v>
      </c>
      <c r="J63" s="67"/>
      <c r="K63" s="76">
        <f>IF(J63="",0,LEN(J63)-LEN(SUBSTITUTE(J63,";",""))+1)</f>
        <v>0</v>
      </c>
      <c r="L63" s="71"/>
      <c r="M63" s="71"/>
      <c r="N63" s="78">
        <f>IF(M63="",0,1/COUNTIF($M$3:$M$125,M63))</f>
        <v>0</v>
      </c>
      <c r="O63" s="65"/>
      <c r="P63" s="65" t="s">
        <v>2483</v>
      </c>
      <c r="Q63" s="66" t="s">
        <v>2485</v>
      </c>
    </row>
    <row r="64" spans="1:17" ht="60" customHeight="1">
      <c r="A64" s="71" t="s">
        <v>2488</v>
      </c>
      <c r="B64" s="71" t="s">
        <v>4002</v>
      </c>
      <c r="C64" s="76">
        <v>458</v>
      </c>
      <c r="D64" s="71" t="s">
        <v>212</v>
      </c>
      <c r="E64" s="71" t="s">
        <v>4003</v>
      </c>
      <c r="F64" s="71" t="s">
        <v>746</v>
      </c>
      <c r="G64" s="71" t="s">
        <v>747</v>
      </c>
      <c r="H64" s="71" t="s">
        <v>74</v>
      </c>
      <c r="I64" s="71" t="s">
        <v>2495</v>
      </c>
      <c r="J64" s="67"/>
      <c r="K64" s="76">
        <f>IF(J64="",0,LEN(J64)-LEN(SUBSTITUTE(J64,";",""))+1)</f>
        <v>0</v>
      </c>
      <c r="L64" s="71"/>
      <c r="M64" s="71"/>
      <c r="N64" s="78">
        <f>IF(M64="",0,1/COUNTIF($M$3:$M$125,M64))</f>
        <v>0</v>
      </c>
      <c r="O64" s="65"/>
      <c r="P64" s="65" t="s">
        <v>2491</v>
      </c>
      <c r="Q64" s="66" t="s">
        <v>2493</v>
      </c>
    </row>
    <row r="65" spans="1:17" ht="60" customHeight="1">
      <c r="A65" s="71" t="s">
        <v>2523</v>
      </c>
      <c r="B65" s="71" t="s">
        <v>4002</v>
      </c>
      <c r="C65" s="76">
        <v>464</v>
      </c>
      <c r="D65" s="71" t="s">
        <v>212</v>
      </c>
      <c r="E65" s="71" t="s">
        <v>4004</v>
      </c>
      <c r="F65" s="71" t="s">
        <v>746</v>
      </c>
      <c r="G65" s="71" t="s">
        <v>747</v>
      </c>
      <c r="H65" s="71" t="s">
        <v>74</v>
      </c>
      <c r="I65" s="71" t="s">
        <v>2532</v>
      </c>
      <c r="J65" s="67"/>
      <c r="K65" s="76">
        <f>IF(J65="",0,LEN(J65)-LEN(SUBSTITUTE(J65,";",""))+1)</f>
        <v>0</v>
      </c>
      <c r="L65" s="71"/>
      <c r="M65" s="71"/>
      <c r="N65" s="78">
        <f>IF(M65="",0,1/COUNTIF($M$3:$M$125,M65))</f>
        <v>0</v>
      </c>
      <c r="O65" s="65"/>
      <c r="P65" s="65" t="s">
        <v>2528</v>
      </c>
      <c r="Q65" s="66" t="s">
        <v>2530</v>
      </c>
    </row>
    <row r="66" spans="1:17" ht="60" customHeight="1">
      <c r="A66" s="71" t="s">
        <v>2544</v>
      </c>
      <c r="B66" s="71" t="s">
        <v>4002</v>
      </c>
      <c r="C66" s="76">
        <v>467</v>
      </c>
      <c r="D66" s="71" t="s">
        <v>212</v>
      </c>
      <c r="E66" s="71" t="s">
        <v>4003</v>
      </c>
      <c r="F66" s="71" t="s">
        <v>746</v>
      </c>
      <c r="G66" s="71" t="s">
        <v>747</v>
      </c>
      <c r="H66" s="71" t="s">
        <v>74</v>
      </c>
      <c r="I66" s="71" t="s">
        <v>2553</v>
      </c>
      <c r="J66" s="67"/>
      <c r="K66" s="76">
        <f>IF(J66="",0,LEN(J66)-LEN(SUBSTITUTE(J66,";",""))+1)</f>
        <v>0</v>
      </c>
      <c r="L66" s="71"/>
      <c r="M66" s="71"/>
      <c r="N66" s="78">
        <f>IF(M66="",0,1/COUNTIF($M$3:$M$125,M66))</f>
        <v>0</v>
      </c>
      <c r="O66" s="65"/>
      <c r="P66" s="65" t="s">
        <v>2549</v>
      </c>
      <c r="Q66" s="66" t="s">
        <v>2551</v>
      </c>
    </row>
    <row r="67" spans="1:17" ht="60" customHeight="1">
      <c r="A67" s="71" t="s">
        <v>2554</v>
      </c>
      <c r="B67" s="71" t="s">
        <v>4002</v>
      </c>
      <c r="C67" s="76">
        <v>468</v>
      </c>
      <c r="D67" s="71" t="s">
        <v>784</v>
      </c>
      <c r="E67" s="71" t="s">
        <v>4003</v>
      </c>
      <c r="F67" s="71" t="s">
        <v>788</v>
      </c>
      <c r="G67" s="71" t="s">
        <v>747</v>
      </c>
      <c r="H67" s="71" t="s">
        <v>74</v>
      </c>
      <c r="I67" s="71" t="s">
        <v>2562</v>
      </c>
      <c r="J67" s="67"/>
      <c r="K67" s="76">
        <f>IF(J67="",0,LEN(J67)-LEN(SUBSTITUTE(J67,";",""))+1)</f>
        <v>0</v>
      </c>
      <c r="L67" s="71"/>
      <c r="M67" s="71"/>
      <c r="N67" s="78">
        <f>IF(M67="",0,1/COUNTIF($M$3:$M$125,M67))</f>
        <v>0</v>
      </c>
      <c r="O67" s="65"/>
      <c r="P67" s="65" t="s">
        <v>2559</v>
      </c>
      <c r="Q67" s="66" t="s">
        <v>2560</v>
      </c>
    </row>
    <row r="68" spans="1:17" ht="60" customHeight="1">
      <c r="A68" s="71" t="s">
        <v>2595</v>
      </c>
      <c r="B68" s="71" t="s">
        <v>4002</v>
      </c>
      <c r="C68" s="76">
        <v>474</v>
      </c>
      <c r="D68" s="71" t="s">
        <v>1072</v>
      </c>
      <c r="E68" s="71" t="s">
        <v>4003</v>
      </c>
      <c r="F68" s="71" t="s">
        <v>2605</v>
      </c>
      <c r="G68" s="71" t="s">
        <v>2606</v>
      </c>
      <c r="H68" s="71" t="s">
        <v>74</v>
      </c>
      <c r="I68" s="71" t="s">
        <v>2604</v>
      </c>
      <c r="J68" s="67"/>
      <c r="K68" s="76">
        <f>IF(J68="",0,LEN(J68)-LEN(SUBSTITUTE(J68,";",""))+1)</f>
        <v>0</v>
      </c>
      <c r="L68" s="71"/>
      <c r="M68" s="71"/>
      <c r="N68" s="78">
        <f>IF(M68="",0,1/COUNTIF($M$3:$M$125,M68))</f>
        <v>0</v>
      </c>
      <c r="O68" s="65"/>
      <c r="P68" s="65" t="s">
        <v>2601</v>
      </c>
      <c r="Q68" s="66" t="s">
        <v>2602</v>
      </c>
    </row>
    <row r="69" spans="1:17" ht="60" customHeight="1">
      <c r="A69" s="71" t="s">
        <v>2607</v>
      </c>
      <c r="B69" s="71" t="s">
        <v>4002</v>
      </c>
      <c r="C69" s="76">
        <v>475</v>
      </c>
      <c r="D69" s="71" t="s">
        <v>1072</v>
      </c>
      <c r="E69" s="71" t="s">
        <v>4003</v>
      </c>
      <c r="F69" s="71" t="s">
        <v>2605</v>
      </c>
      <c r="G69" s="71" t="s">
        <v>2606</v>
      </c>
      <c r="H69" s="71" t="s">
        <v>74</v>
      </c>
      <c r="I69" s="71" t="s">
        <v>2612</v>
      </c>
      <c r="J69" s="67"/>
      <c r="K69" s="76">
        <f>IF(J69="",0,LEN(J69)-LEN(SUBSTITUTE(J69,";",""))+1)</f>
        <v>0</v>
      </c>
      <c r="L69" s="71"/>
      <c r="M69" s="71"/>
      <c r="N69" s="78">
        <f>IF(M69="",0,1/COUNTIF($M$3:$M$125,M69))</f>
        <v>0</v>
      </c>
      <c r="O69" s="65"/>
      <c r="P69" s="65" t="s">
        <v>2609</v>
      </c>
      <c r="Q69" s="66" t="s">
        <v>2610</v>
      </c>
    </row>
    <row r="70" spans="1:17" ht="60" customHeight="1">
      <c r="A70" s="71" t="s">
        <v>2613</v>
      </c>
      <c r="B70" s="71" t="s">
        <v>4002</v>
      </c>
      <c r="C70" s="76">
        <v>476</v>
      </c>
      <c r="D70" s="71" t="s">
        <v>2617</v>
      </c>
      <c r="E70" s="71" t="s">
        <v>4009</v>
      </c>
      <c r="F70" s="71" t="s">
        <v>746</v>
      </c>
      <c r="G70" s="71" t="s">
        <v>747</v>
      </c>
      <c r="H70" s="71" t="s">
        <v>70</v>
      </c>
      <c r="I70" s="71" t="s">
        <v>2624</v>
      </c>
      <c r="J70" s="67"/>
      <c r="K70" s="76">
        <f>IF(J70="",0,LEN(J70)-LEN(SUBSTITUTE(J70,";",""))+1)</f>
        <v>0</v>
      </c>
      <c r="L70" s="71"/>
      <c r="M70" s="71"/>
      <c r="N70" s="78">
        <f>IF(M70="",0,1/COUNTIF($M$3:$M$125,M70))</f>
        <v>0</v>
      </c>
      <c r="O70" s="65" t="s">
        <v>2618</v>
      </c>
      <c r="P70" s="65" t="s">
        <v>2620</v>
      </c>
      <c r="Q70" s="66" t="s">
        <v>2622</v>
      </c>
    </row>
    <row r="71" spans="1:17" ht="60" customHeight="1">
      <c r="A71" s="71" t="s">
        <v>2625</v>
      </c>
      <c r="B71" s="71" t="s">
        <v>4002</v>
      </c>
      <c r="C71" s="76">
        <v>477</v>
      </c>
      <c r="D71" s="71" t="s">
        <v>2617</v>
      </c>
      <c r="E71" s="71" t="s">
        <v>4009</v>
      </c>
      <c r="F71" s="71" t="s">
        <v>746</v>
      </c>
      <c r="G71" s="71" t="s">
        <v>747</v>
      </c>
      <c r="H71" s="71" t="s">
        <v>70</v>
      </c>
      <c r="I71" s="71" t="s">
        <v>2633</v>
      </c>
      <c r="J71" s="67"/>
      <c r="K71" s="76">
        <f>IF(J71="",0,LEN(J71)-LEN(SUBSTITUTE(J71,";",""))+1)</f>
        <v>0</v>
      </c>
      <c r="L71" s="71"/>
      <c r="M71" s="71"/>
      <c r="N71" s="78">
        <f>IF(M71="",0,1/COUNTIF($M$3:$M$125,M71))</f>
        <v>0</v>
      </c>
      <c r="O71" s="65" t="s">
        <v>2627</v>
      </c>
      <c r="P71" s="65" t="s">
        <v>2629</v>
      </c>
      <c r="Q71" s="66" t="s">
        <v>2631</v>
      </c>
    </row>
    <row r="72" spans="1:17" ht="60" customHeight="1">
      <c r="A72" s="71" t="s">
        <v>2639</v>
      </c>
      <c r="B72" s="71" t="s">
        <v>4002</v>
      </c>
      <c r="C72" s="76">
        <v>479</v>
      </c>
      <c r="D72" s="71" t="s">
        <v>784</v>
      </c>
      <c r="E72" s="71" t="s">
        <v>4003</v>
      </c>
      <c r="F72" s="71" t="s">
        <v>788</v>
      </c>
      <c r="G72" s="71" t="s">
        <v>1077</v>
      </c>
      <c r="H72" s="71" t="s">
        <v>74</v>
      </c>
      <c r="I72" s="71" t="s">
        <v>2649</v>
      </c>
      <c r="J72" s="67"/>
      <c r="K72" s="76">
        <f>IF(J72="",0,LEN(J72)-LEN(SUBSTITUTE(J72,";",""))+1)</f>
        <v>0</v>
      </c>
      <c r="L72" s="71"/>
      <c r="M72" s="71"/>
      <c r="N72" s="78">
        <f>IF(M72="",0,1/COUNTIF($M$3:$M$125,M72))</f>
        <v>0</v>
      </c>
      <c r="O72" s="65"/>
      <c r="P72" s="65" t="s">
        <v>2647</v>
      </c>
      <c r="Q72" s="66" t="s">
        <v>2641</v>
      </c>
    </row>
    <row r="73" spans="1:17" ht="60" customHeight="1">
      <c r="A73" s="71" t="s">
        <v>2656</v>
      </c>
      <c r="B73" s="71" t="s">
        <v>4002</v>
      </c>
      <c r="C73" s="76">
        <v>481</v>
      </c>
      <c r="D73" s="71" t="s">
        <v>2617</v>
      </c>
      <c r="E73" s="71" t="s">
        <v>4009</v>
      </c>
      <c r="F73" s="71" t="s">
        <v>746</v>
      </c>
      <c r="G73" s="71" t="s">
        <v>747</v>
      </c>
      <c r="H73" s="71" t="s">
        <v>70</v>
      </c>
      <c r="I73" s="71" t="s">
        <v>2667</v>
      </c>
      <c r="J73" s="67"/>
      <c r="K73" s="76">
        <f>IF(J73="",0,LEN(J73)-LEN(SUBSTITUTE(J73,";",""))+1)</f>
        <v>0</v>
      </c>
      <c r="L73" s="71"/>
      <c r="M73" s="71"/>
      <c r="N73" s="78">
        <f>IF(M73="",0,1/COUNTIF($M$3:$M$125,M73))</f>
        <v>0</v>
      </c>
      <c r="O73" s="65" t="s">
        <v>2662</v>
      </c>
      <c r="P73" s="65" t="s">
        <v>2664</v>
      </c>
      <c r="Q73" s="66" t="s">
        <v>2658</v>
      </c>
    </row>
    <row r="74" spans="1:17" ht="60" customHeight="1">
      <c r="A74" s="71" t="s">
        <v>2668</v>
      </c>
      <c r="B74" s="71" t="s">
        <v>4002</v>
      </c>
      <c r="C74" s="76">
        <v>482</v>
      </c>
      <c r="D74" s="71" t="s">
        <v>1519</v>
      </c>
      <c r="E74" s="71" t="s">
        <v>4007</v>
      </c>
      <c r="F74" s="71" t="s">
        <v>746</v>
      </c>
      <c r="G74" s="71" t="s">
        <v>1077</v>
      </c>
      <c r="H74" s="71" t="s">
        <v>72</v>
      </c>
      <c r="I74" s="71" t="s">
        <v>2678</v>
      </c>
      <c r="J74" s="67"/>
      <c r="K74" s="76">
        <f>IF(J74="",0,LEN(J74)-LEN(SUBSTITUTE(J74,";",""))+1)</f>
        <v>0</v>
      </c>
      <c r="L74" s="71"/>
      <c r="M74" s="71"/>
      <c r="N74" s="78">
        <f>IF(M74="",0,1/COUNTIF($M$3:$M$125,M74))</f>
        <v>0</v>
      </c>
      <c r="O74" s="65"/>
      <c r="P74" s="65" t="s">
        <v>2676</v>
      </c>
      <c r="Q74" s="66" t="s">
        <v>2670</v>
      </c>
    </row>
    <row r="75" spans="1:17" ht="60" customHeight="1">
      <c r="A75" s="71" t="s">
        <v>2679</v>
      </c>
      <c r="B75" s="71" t="s">
        <v>4002</v>
      </c>
      <c r="C75" s="76">
        <v>483</v>
      </c>
      <c r="D75" s="71" t="s">
        <v>1793</v>
      </c>
      <c r="E75" s="71" t="s">
        <v>4006</v>
      </c>
      <c r="F75" s="71" t="s">
        <v>746</v>
      </c>
      <c r="G75" s="71" t="s">
        <v>747</v>
      </c>
      <c r="H75" s="71" t="s">
        <v>70</v>
      </c>
      <c r="I75" s="71" t="s">
        <v>2693</v>
      </c>
      <c r="J75" s="67"/>
      <c r="K75" s="76">
        <f>IF(J75="",0,LEN(J75)-LEN(SUBSTITUTE(J75,";",""))+1)</f>
        <v>0</v>
      </c>
      <c r="L75" s="71"/>
      <c r="M75" s="71"/>
      <c r="N75" s="78">
        <f>IF(M75="",0,1/COUNTIF($M$3:$M$125,M75))</f>
        <v>0</v>
      </c>
      <c r="O75" s="65" t="s">
        <v>2687</v>
      </c>
      <c r="P75" s="65" t="s">
        <v>2689</v>
      </c>
      <c r="Q75" s="66" t="s">
        <v>2691</v>
      </c>
    </row>
    <row r="76" spans="1:17" ht="60" customHeight="1">
      <c r="A76" s="71" t="s">
        <v>2694</v>
      </c>
      <c r="B76" s="71" t="s">
        <v>4002</v>
      </c>
      <c r="C76" s="76">
        <v>484</v>
      </c>
      <c r="D76" s="71" t="s">
        <v>1072</v>
      </c>
      <c r="E76" s="71" t="s">
        <v>4003</v>
      </c>
      <c r="F76" s="71" t="s">
        <v>2701</v>
      </c>
      <c r="G76" s="71" t="s">
        <v>1077</v>
      </c>
      <c r="H76" s="71" t="s">
        <v>74</v>
      </c>
      <c r="I76" s="71" t="s">
        <v>2700</v>
      </c>
      <c r="J76" s="67"/>
      <c r="K76" s="76">
        <f>IF(J76="",0,LEN(J76)-LEN(SUBSTITUTE(J76,";",""))+1)</f>
        <v>0</v>
      </c>
      <c r="L76" s="71"/>
      <c r="M76" s="71"/>
      <c r="N76" s="78">
        <f>IF(M76="",0,1/COUNTIF($M$3:$M$125,M76))</f>
        <v>0</v>
      </c>
      <c r="O76" s="65"/>
      <c r="P76" s="65" t="s">
        <v>2698</v>
      </c>
      <c r="Q76" s="66" t="s">
        <v>2699</v>
      </c>
    </row>
    <row r="77" spans="1:17" ht="60" customHeight="1">
      <c r="A77" s="71" t="s">
        <v>2702</v>
      </c>
      <c r="B77" s="71" t="s">
        <v>4002</v>
      </c>
      <c r="C77" s="76">
        <v>485</v>
      </c>
      <c r="D77" s="71" t="s">
        <v>784</v>
      </c>
      <c r="E77" s="71" t="s">
        <v>4003</v>
      </c>
      <c r="F77" s="71" t="s">
        <v>2605</v>
      </c>
      <c r="G77" s="71" t="s">
        <v>1077</v>
      </c>
      <c r="H77" s="71" t="s">
        <v>74</v>
      </c>
      <c r="I77" s="71" t="s">
        <v>2709</v>
      </c>
      <c r="J77" s="67"/>
      <c r="K77" s="76">
        <f>IF(J77="",0,LEN(J77)-LEN(SUBSTITUTE(J77,";",""))+1)</f>
        <v>0</v>
      </c>
      <c r="L77" s="71"/>
      <c r="M77" s="71"/>
      <c r="N77" s="78">
        <f>IF(M77="",0,1/COUNTIF($M$3:$M$125,M77))</f>
        <v>0</v>
      </c>
      <c r="O77" s="65"/>
      <c r="P77" s="65" t="s">
        <v>2707</v>
      </c>
      <c r="Q77" s="66" t="s">
        <v>2708</v>
      </c>
    </row>
    <row r="78" spans="1:17" ht="60" customHeight="1">
      <c r="A78" s="71" t="s">
        <v>2711</v>
      </c>
      <c r="B78" s="71" t="s">
        <v>4002</v>
      </c>
      <c r="C78" s="76">
        <v>486</v>
      </c>
      <c r="D78" s="71" t="s">
        <v>784</v>
      </c>
      <c r="E78" s="71" t="s">
        <v>4003</v>
      </c>
      <c r="F78" s="71" t="s">
        <v>2605</v>
      </c>
      <c r="G78" s="71" t="s">
        <v>1077</v>
      </c>
      <c r="H78" s="71" t="s">
        <v>74</v>
      </c>
      <c r="I78" s="71" t="s">
        <v>2716</v>
      </c>
      <c r="J78" s="67"/>
      <c r="K78" s="76">
        <f>IF(J78="",0,LEN(J78)-LEN(SUBSTITUTE(J78,";",""))+1)</f>
        <v>0</v>
      </c>
      <c r="L78" s="71"/>
      <c r="M78" s="71"/>
      <c r="N78" s="78">
        <f>IF(M78="",0,1/COUNTIF($M$3:$M$125,M78))</f>
        <v>0</v>
      </c>
      <c r="O78" s="65"/>
      <c r="P78" s="65" t="s">
        <v>2713</v>
      </c>
      <c r="Q78" s="66" t="s">
        <v>2714</v>
      </c>
    </row>
    <row r="79" spans="1:17" ht="60" customHeight="1">
      <c r="A79" s="71" t="s">
        <v>2717</v>
      </c>
      <c r="B79" s="71" t="s">
        <v>4002</v>
      </c>
      <c r="C79" s="76">
        <v>487</v>
      </c>
      <c r="D79" s="71" t="s">
        <v>2720</v>
      </c>
      <c r="E79" s="71" t="s">
        <v>4003</v>
      </c>
      <c r="F79" s="71" t="s">
        <v>2605</v>
      </c>
      <c r="G79" s="71" t="s">
        <v>1077</v>
      </c>
      <c r="H79" s="71" t="s">
        <v>74</v>
      </c>
      <c r="I79" s="71" t="s">
        <v>2724</v>
      </c>
      <c r="J79" s="67"/>
      <c r="K79" s="76">
        <f>IF(J79="",0,LEN(J79)-LEN(SUBSTITUTE(J79,";",""))+1)</f>
        <v>0</v>
      </c>
      <c r="L79" s="71"/>
      <c r="M79" s="71"/>
      <c r="N79" s="78">
        <f>IF(M79="",0,1/COUNTIF($M$3:$M$125,M79))</f>
        <v>0</v>
      </c>
      <c r="O79" s="65"/>
      <c r="P79" s="65" t="s">
        <v>2721</v>
      </c>
      <c r="Q79" s="66" t="s">
        <v>2722</v>
      </c>
    </row>
    <row r="80" spans="1:17" ht="60" customHeight="1">
      <c r="A80" s="71" t="s">
        <v>2725</v>
      </c>
      <c r="B80" s="71" t="s">
        <v>4002</v>
      </c>
      <c r="C80" s="76">
        <v>488</v>
      </c>
      <c r="D80" s="71" t="s">
        <v>784</v>
      </c>
      <c r="E80" s="71" t="s">
        <v>4003</v>
      </c>
      <c r="F80" s="71" t="s">
        <v>2605</v>
      </c>
      <c r="G80" s="71" t="s">
        <v>1077</v>
      </c>
      <c r="H80" s="71" t="s">
        <v>74</v>
      </c>
      <c r="I80" s="71" t="s">
        <v>2729</v>
      </c>
      <c r="J80" s="67"/>
      <c r="K80" s="76">
        <f>IF(J80="",0,LEN(J80)-LEN(SUBSTITUTE(J80,";",""))+1)</f>
        <v>0</v>
      </c>
      <c r="L80" s="71"/>
      <c r="M80" s="71"/>
      <c r="N80" s="78">
        <f>IF(M80="",0,1/COUNTIF($M$3:$M$125,M80))</f>
        <v>0</v>
      </c>
      <c r="O80" s="65"/>
      <c r="P80" s="65" t="s">
        <v>2727</v>
      </c>
      <c r="Q80" s="66" t="s">
        <v>2728</v>
      </c>
    </row>
    <row r="81" spans="1:17" ht="60" customHeight="1">
      <c r="A81" s="71" t="s">
        <v>2730</v>
      </c>
      <c r="B81" s="71" t="s">
        <v>4002</v>
      </c>
      <c r="C81" s="76">
        <v>489</v>
      </c>
      <c r="D81" s="71" t="s">
        <v>784</v>
      </c>
      <c r="E81" s="71" t="s">
        <v>4003</v>
      </c>
      <c r="F81" s="71" t="s">
        <v>2605</v>
      </c>
      <c r="G81" s="71" t="s">
        <v>1077</v>
      </c>
      <c r="H81" s="71" t="s">
        <v>74</v>
      </c>
      <c r="I81" s="71" t="s">
        <v>2734</v>
      </c>
      <c r="J81" s="67"/>
      <c r="K81" s="76">
        <f>IF(J81="",0,LEN(J81)-LEN(SUBSTITUTE(J81,";",""))+1)</f>
        <v>0</v>
      </c>
      <c r="L81" s="71"/>
      <c r="M81" s="71"/>
      <c r="N81" s="78">
        <f>IF(M81="",0,1/COUNTIF($M$3:$M$125,M81))</f>
        <v>0</v>
      </c>
      <c r="O81" s="65"/>
      <c r="P81" s="65" t="s">
        <v>2732</v>
      </c>
      <c r="Q81" s="66" t="s">
        <v>2733</v>
      </c>
    </row>
    <row r="82" spans="1:17" ht="60" customHeight="1">
      <c r="A82" s="71" t="s">
        <v>2735</v>
      </c>
      <c r="B82" s="71" t="s">
        <v>4002</v>
      </c>
      <c r="C82" s="76">
        <v>490</v>
      </c>
      <c r="D82" s="71" t="s">
        <v>1519</v>
      </c>
      <c r="E82" s="71" t="s">
        <v>4010</v>
      </c>
      <c r="F82" s="71" t="s">
        <v>746</v>
      </c>
      <c r="G82" s="71" t="s">
        <v>747</v>
      </c>
      <c r="H82" s="71" t="s">
        <v>72</v>
      </c>
      <c r="I82" s="71" t="s">
        <v>2741</v>
      </c>
      <c r="J82" s="67"/>
      <c r="K82" s="76">
        <f>IF(J82="",0,LEN(J82)-LEN(SUBSTITUTE(J82,";",""))+1)</f>
        <v>0</v>
      </c>
      <c r="L82" s="71"/>
      <c r="M82" s="71"/>
      <c r="N82" s="78">
        <f>IF(M82="",0,1/COUNTIF($M$3:$M$125,M82))</f>
        <v>0</v>
      </c>
      <c r="O82" s="65"/>
      <c r="P82" s="65" t="s">
        <v>2738</v>
      </c>
      <c r="Q82" s="66" t="s">
        <v>2737</v>
      </c>
    </row>
    <row r="83" spans="1:17" ht="60" customHeight="1">
      <c r="A83" s="71" t="s">
        <v>2742</v>
      </c>
      <c r="B83" s="71" t="s">
        <v>4002</v>
      </c>
      <c r="C83" s="76">
        <v>491</v>
      </c>
      <c r="D83" s="71" t="s">
        <v>1519</v>
      </c>
      <c r="E83" s="71" t="s">
        <v>4006</v>
      </c>
      <c r="F83" s="71" t="s">
        <v>746</v>
      </c>
      <c r="G83" s="71" t="s">
        <v>747</v>
      </c>
      <c r="H83" s="71" t="s">
        <v>72</v>
      </c>
      <c r="I83" s="71" t="s">
        <v>2750</v>
      </c>
      <c r="J83" s="67"/>
      <c r="K83" s="76">
        <f>IF(J83="",0,LEN(J83)-LEN(SUBSTITUTE(J83,";",""))+1)</f>
        <v>0</v>
      </c>
      <c r="L83" s="71"/>
      <c r="M83" s="71"/>
      <c r="N83" s="78">
        <f>IF(M83="",0,1/COUNTIF($M$3:$M$125,M83))</f>
        <v>0</v>
      </c>
      <c r="O83" s="65"/>
      <c r="P83" s="65" t="s">
        <v>2746</v>
      </c>
      <c r="Q83" s="66" t="s">
        <v>2748</v>
      </c>
    </row>
    <row r="84" spans="1:17" ht="60" customHeight="1">
      <c r="A84" s="71" t="s">
        <v>2751</v>
      </c>
      <c r="B84" s="71" t="s">
        <v>4002</v>
      </c>
      <c r="C84" s="76">
        <v>492</v>
      </c>
      <c r="D84" s="71" t="s">
        <v>1793</v>
      </c>
      <c r="E84" s="71" t="s">
        <v>4006</v>
      </c>
      <c r="F84" s="71" t="s">
        <v>2764</v>
      </c>
      <c r="G84" s="71" t="s">
        <v>747</v>
      </c>
      <c r="H84" s="71" t="s">
        <v>70</v>
      </c>
      <c r="I84" s="71" t="s">
        <v>2762</v>
      </c>
      <c r="J84" s="67"/>
      <c r="K84" s="76">
        <f>IF(J84="",0,LEN(J84)-LEN(SUBSTITUTE(J84,";",""))+1)</f>
        <v>0</v>
      </c>
      <c r="L84" s="71"/>
      <c r="M84" s="71"/>
      <c r="N84" s="78">
        <f>IF(M84="",0,1/COUNTIF($M$3:$M$125,M84))</f>
        <v>0</v>
      </c>
      <c r="O84" s="65" t="s">
        <v>2757</v>
      </c>
      <c r="P84" s="65" t="s">
        <v>2759</v>
      </c>
      <c r="Q84" s="66" t="s">
        <v>2753</v>
      </c>
    </row>
    <row r="85" spans="1:17" ht="60" customHeight="1">
      <c r="A85" s="71" t="s">
        <v>2765</v>
      </c>
      <c r="B85" s="71" t="s">
        <v>4002</v>
      </c>
      <c r="C85" s="76">
        <v>493</v>
      </c>
      <c r="D85" s="71" t="s">
        <v>1793</v>
      </c>
      <c r="E85" s="71" t="s">
        <v>4006</v>
      </c>
      <c r="F85" s="71" t="s">
        <v>746</v>
      </c>
      <c r="G85" s="71" t="s">
        <v>747</v>
      </c>
      <c r="H85" s="71" t="s">
        <v>70</v>
      </c>
      <c r="I85" s="71" t="s">
        <v>2775</v>
      </c>
      <c r="J85" s="67"/>
      <c r="K85" s="76">
        <f>IF(J85="",0,LEN(J85)-LEN(SUBSTITUTE(J85,";",""))+1)</f>
        <v>0</v>
      </c>
      <c r="L85" s="71"/>
      <c r="M85" s="71"/>
      <c r="N85" s="78">
        <f>IF(M85="",0,1/COUNTIF($M$3:$M$125,M85))</f>
        <v>0</v>
      </c>
      <c r="O85" s="65" t="s">
        <v>2769</v>
      </c>
      <c r="P85" s="65" t="s">
        <v>2771</v>
      </c>
      <c r="Q85" s="66" t="s">
        <v>2773</v>
      </c>
    </row>
    <row r="86" spans="1:17" ht="60" customHeight="1">
      <c r="A86" s="71" t="s">
        <v>2776</v>
      </c>
      <c r="B86" s="71" t="s">
        <v>4002</v>
      </c>
      <c r="C86" s="76">
        <v>494</v>
      </c>
      <c r="D86" s="71" t="s">
        <v>2617</v>
      </c>
      <c r="E86" s="71" t="s">
        <v>4009</v>
      </c>
      <c r="F86" s="71" t="s">
        <v>2790</v>
      </c>
      <c r="G86" s="71" t="s">
        <v>747</v>
      </c>
      <c r="H86" s="71" t="s">
        <v>70</v>
      </c>
      <c r="I86" s="71" t="s">
        <v>2789</v>
      </c>
      <c r="J86" s="67"/>
      <c r="K86" s="76">
        <f>IF(J86="",0,LEN(J86)-LEN(SUBSTITUTE(J86,";",""))+1)</f>
        <v>0</v>
      </c>
      <c r="L86" s="71"/>
      <c r="M86" s="71"/>
      <c r="N86" s="78">
        <f>IF(M86="",0,1/COUNTIF($M$3:$M$125,M86))</f>
        <v>0</v>
      </c>
      <c r="O86" s="65" t="s">
        <v>2784</v>
      </c>
      <c r="P86" s="65" t="s">
        <v>2786</v>
      </c>
      <c r="Q86" s="66" t="s">
        <v>2778</v>
      </c>
    </row>
    <row r="87" spans="1:17" ht="60" customHeight="1">
      <c r="A87" s="71" t="s">
        <v>2796</v>
      </c>
      <c r="B87" s="71" t="s">
        <v>4002</v>
      </c>
      <c r="C87" s="76">
        <v>496</v>
      </c>
      <c r="D87" s="71" t="s">
        <v>2617</v>
      </c>
      <c r="E87" s="71" t="s">
        <v>4009</v>
      </c>
      <c r="F87" s="71" t="s">
        <v>2807</v>
      </c>
      <c r="G87" s="71" t="s">
        <v>747</v>
      </c>
      <c r="H87" s="71" t="s">
        <v>70</v>
      </c>
      <c r="I87" s="71" t="s">
        <v>2806</v>
      </c>
      <c r="J87" s="67"/>
      <c r="K87" s="76">
        <f>IF(J87="",0,LEN(J87)-LEN(SUBSTITUTE(J87,";",""))+1)</f>
        <v>0</v>
      </c>
      <c r="L87" s="71"/>
      <c r="M87" s="71"/>
      <c r="N87" s="78">
        <f>IF(M87="",0,1/COUNTIF($M$3:$M$125,M87))</f>
        <v>0</v>
      </c>
      <c r="O87" s="65" t="s">
        <v>2801</v>
      </c>
      <c r="P87" s="65" t="s">
        <v>2803</v>
      </c>
      <c r="Q87" s="66" t="s">
        <v>2797</v>
      </c>
    </row>
    <row r="88" spans="1:17" ht="60" customHeight="1">
      <c r="A88" s="71" t="s">
        <v>2808</v>
      </c>
      <c r="B88" s="71" t="s">
        <v>4002</v>
      </c>
      <c r="C88" s="76">
        <v>497</v>
      </c>
      <c r="D88" s="71" t="s">
        <v>1793</v>
      </c>
      <c r="E88" s="71" t="s">
        <v>4006</v>
      </c>
      <c r="F88" s="71" t="s">
        <v>746</v>
      </c>
      <c r="G88" s="71" t="s">
        <v>747</v>
      </c>
      <c r="H88" s="71" t="s">
        <v>70</v>
      </c>
      <c r="I88" s="71" t="s">
        <v>2821</v>
      </c>
      <c r="J88" s="67"/>
      <c r="K88" s="76">
        <f>IF(J88="",0,LEN(J88)-LEN(SUBSTITUTE(J88,";",""))+1)</f>
        <v>0</v>
      </c>
      <c r="L88" s="71"/>
      <c r="M88" s="71"/>
      <c r="N88" s="78">
        <f>IF(M88="",0,1/COUNTIF($M$3:$M$125,M88))</f>
        <v>0</v>
      </c>
      <c r="O88" s="65" t="s">
        <v>2815</v>
      </c>
      <c r="P88" s="65" t="s">
        <v>2817</v>
      </c>
      <c r="Q88" s="66" t="s">
        <v>2819</v>
      </c>
    </row>
    <row r="89" spans="1:17" ht="60" customHeight="1">
      <c r="A89" s="71" t="s">
        <v>2822</v>
      </c>
      <c r="B89" s="71" t="s">
        <v>4002</v>
      </c>
      <c r="C89" s="76">
        <v>498</v>
      </c>
      <c r="D89" s="71" t="s">
        <v>784</v>
      </c>
      <c r="E89" s="71" t="s">
        <v>4003</v>
      </c>
      <c r="F89" s="71" t="s">
        <v>788</v>
      </c>
      <c r="G89" s="71" t="s">
        <v>747</v>
      </c>
      <c r="H89" s="71" t="s">
        <v>74</v>
      </c>
      <c r="I89" s="71" t="s">
        <v>2828</v>
      </c>
      <c r="J89" s="67"/>
      <c r="K89" s="76">
        <f>IF(J89="",0,LEN(J89)-LEN(SUBSTITUTE(J89,";",""))+1)</f>
        <v>0</v>
      </c>
      <c r="L89" s="71"/>
      <c r="M89" s="71"/>
      <c r="N89" s="78">
        <f>IF(M89="",0,1/COUNTIF($M$3:$M$125,M89))</f>
        <v>0</v>
      </c>
      <c r="O89" s="65"/>
      <c r="P89" s="65" t="s">
        <v>2825</v>
      </c>
      <c r="Q89" s="66" t="s">
        <v>2826</v>
      </c>
    </row>
    <row r="90" spans="1:17" ht="60" customHeight="1">
      <c r="A90" s="71" t="s">
        <v>2830</v>
      </c>
      <c r="B90" s="71" t="s">
        <v>4002</v>
      </c>
      <c r="C90" s="76">
        <v>499</v>
      </c>
      <c r="D90" s="71" t="s">
        <v>2834</v>
      </c>
      <c r="E90" s="71" t="s">
        <v>4003</v>
      </c>
      <c r="F90" s="71" t="s">
        <v>2842</v>
      </c>
      <c r="G90" s="71" t="s">
        <v>1077</v>
      </c>
      <c r="H90" s="71" t="s">
        <v>74</v>
      </c>
      <c r="I90" s="71" t="s">
        <v>2840</v>
      </c>
      <c r="J90" s="67" t="s">
        <v>2839</v>
      </c>
      <c r="K90" s="76">
        <f>IF(J90="",0,LEN(J90)-LEN(SUBSTITUTE(J90,";",""))+1)</f>
        <v>1</v>
      </c>
      <c r="L90" s="71" t="s">
        <v>4011</v>
      </c>
      <c r="M90" s="71"/>
      <c r="N90" s="78">
        <f>IF(M90="",0,1/COUNTIF($M$3:$M$125,M90))</f>
        <v>0</v>
      </c>
      <c r="O90" s="65"/>
      <c r="P90" s="65" t="s">
        <v>2835</v>
      </c>
      <c r="Q90" s="66" t="s">
        <v>2837</v>
      </c>
    </row>
    <row r="91" spans="1:17" ht="60" customHeight="1">
      <c r="A91" s="71" t="s">
        <v>2843</v>
      </c>
      <c r="B91" s="71" t="s">
        <v>4002</v>
      </c>
      <c r="C91" s="76">
        <v>500</v>
      </c>
      <c r="D91" s="71" t="s">
        <v>2834</v>
      </c>
      <c r="E91" s="71" t="s">
        <v>4003</v>
      </c>
      <c r="F91" s="71" t="s">
        <v>2842</v>
      </c>
      <c r="G91" s="71" t="s">
        <v>1077</v>
      </c>
      <c r="H91" s="71" t="s">
        <v>74</v>
      </c>
      <c r="I91" s="71" t="s">
        <v>2849</v>
      </c>
      <c r="J91" s="67" t="s">
        <v>2848</v>
      </c>
      <c r="K91" s="76">
        <f>IF(J91="",0,LEN(J91)-LEN(SUBSTITUTE(J91,";",""))+1)</f>
        <v>1</v>
      </c>
      <c r="L91" s="71" t="s">
        <v>4011</v>
      </c>
      <c r="M91" s="71"/>
      <c r="N91" s="78">
        <f>IF(M91="",0,1/COUNTIF($M$3:$M$125,M91))</f>
        <v>0</v>
      </c>
      <c r="O91" s="65"/>
      <c r="P91" s="65" t="s">
        <v>2845</v>
      </c>
      <c r="Q91" s="66" t="s">
        <v>2847</v>
      </c>
    </row>
    <row r="92" spans="1:17" ht="60" customHeight="1">
      <c r="A92" s="71" t="s">
        <v>2850</v>
      </c>
      <c r="B92" s="71" t="s">
        <v>4002</v>
      </c>
      <c r="C92" s="76">
        <v>501</v>
      </c>
      <c r="D92" s="71" t="s">
        <v>2834</v>
      </c>
      <c r="E92" s="71" t="s">
        <v>4003</v>
      </c>
      <c r="F92" s="71" t="s">
        <v>2842</v>
      </c>
      <c r="G92" s="71" t="s">
        <v>1077</v>
      </c>
      <c r="H92" s="71" t="s">
        <v>74</v>
      </c>
      <c r="I92" s="71" t="s">
        <v>2857</v>
      </c>
      <c r="J92" s="67" t="s">
        <v>2856</v>
      </c>
      <c r="K92" s="76">
        <f>IF(J92="",0,LEN(J92)-LEN(SUBSTITUTE(J92,";",""))+1)</f>
        <v>1</v>
      </c>
      <c r="L92" s="71" t="s">
        <v>4011</v>
      </c>
      <c r="M92" s="71"/>
      <c r="N92" s="78">
        <f>IF(M92="",0,1/COUNTIF($M$3:$M$125,M92))</f>
        <v>0</v>
      </c>
      <c r="O92" s="65"/>
      <c r="P92" s="65" t="s">
        <v>2852</v>
      </c>
      <c r="Q92" s="66" t="s">
        <v>2854</v>
      </c>
    </row>
    <row r="93" spans="1:17" ht="60" customHeight="1">
      <c r="A93" s="71" t="s">
        <v>2858</v>
      </c>
      <c r="B93" s="71" t="s">
        <v>4002</v>
      </c>
      <c r="C93" s="76">
        <v>502</v>
      </c>
      <c r="D93" s="71" t="s">
        <v>2834</v>
      </c>
      <c r="E93" s="71" t="s">
        <v>4003</v>
      </c>
      <c r="F93" s="71" t="s">
        <v>2842</v>
      </c>
      <c r="G93" s="71" t="s">
        <v>1077</v>
      </c>
      <c r="H93" s="71" t="s">
        <v>74</v>
      </c>
      <c r="I93" s="71" t="s">
        <v>2865</v>
      </c>
      <c r="J93" s="67" t="s">
        <v>2864</v>
      </c>
      <c r="K93" s="76">
        <f>IF(J93="",0,LEN(J93)-LEN(SUBSTITUTE(J93,";",""))+1)</f>
        <v>1</v>
      </c>
      <c r="L93" s="71" t="s">
        <v>4011</v>
      </c>
      <c r="M93" s="71"/>
      <c r="N93" s="78">
        <f>IF(M93="",0,1/COUNTIF($M$3:$M$125,M93))</f>
        <v>0</v>
      </c>
      <c r="O93" s="65"/>
      <c r="P93" s="65" t="s">
        <v>2860</v>
      </c>
      <c r="Q93" s="66" t="s">
        <v>2862</v>
      </c>
    </row>
    <row r="94" spans="1:17" ht="60" customHeight="1">
      <c r="A94" s="71" t="s">
        <v>2866</v>
      </c>
      <c r="B94" s="71" t="s">
        <v>4002</v>
      </c>
      <c r="C94" s="76">
        <v>503</v>
      </c>
      <c r="D94" s="71" t="s">
        <v>2868</v>
      </c>
      <c r="E94" s="71" t="s">
        <v>4003</v>
      </c>
      <c r="F94" s="71" t="s">
        <v>2876</v>
      </c>
      <c r="G94" s="71" t="s">
        <v>1077</v>
      </c>
      <c r="H94" s="71" t="s">
        <v>74</v>
      </c>
      <c r="I94" s="71" t="s">
        <v>2874</v>
      </c>
      <c r="J94" s="67" t="s">
        <v>2873</v>
      </c>
      <c r="K94" s="76">
        <f>IF(J94="",0,LEN(J94)-LEN(SUBSTITUTE(J94,";",""))+1)</f>
        <v>3</v>
      </c>
      <c r="L94" s="71" t="s">
        <v>4012</v>
      </c>
      <c r="M94" s="71"/>
      <c r="N94" s="78">
        <f>IF(M94="",0,1/COUNTIF($M$3:$M$125,M94))</f>
        <v>0</v>
      </c>
      <c r="O94" s="65"/>
      <c r="P94" s="65" t="s">
        <v>2869</v>
      </c>
      <c r="Q94" s="66" t="s">
        <v>2871</v>
      </c>
    </row>
    <row r="95" spans="1:17" ht="60" customHeight="1">
      <c r="A95" s="71" t="s">
        <v>2877</v>
      </c>
      <c r="B95" s="71" t="s">
        <v>4002</v>
      </c>
      <c r="C95" s="76">
        <v>504</v>
      </c>
      <c r="D95" s="71" t="s">
        <v>2868</v>
      </c>
      <c r="E95" s="71" t="s">
        <v>4003</v>
      </c>
      <c r="F95" s="71" t="s">
        <v>2884</v>
      </c>
      <c r="G95" s="71" t="s">
        <v>1077</v>
      </c>
      <c r="H95" s="71" t="s">
        <v>74</v>
      </c>
      <c r="I95" s="71" t="s">
        <v>2883</v>
      </c>
      <c r="J95" s="67" t="s">
        <v>2882</v>
      </c>
      <c r="K95" s="76">
        <f>IF(J95="",0,LEN(J95)-LEN(SUBSTITUTE(J95,";",""))+1)</f>
        <v>1</v>
      </c>
      <c r="L95" s="71" t="s">
        <v>4012</v>
      </c>
      <c r="M95" s="71"/>
      <c r="N95" s="78">
        <f>IF(M95="",0,1/COUNTIF($M$3:$M$125,M95))</f>
        <v>0</v>
      </c>
      <c r="O95" s="65"/>
      <c r="P95" s="65" t="s">
        <v>2879</v>
      </c>
      <c r="Q95" s="66" t="s">
        <v>2881</v>
      </c>
    </row>
    <row r="96" spans="1:17" ht="60" customHeight="1">
      <c r="A96" s="71" t="s">
        <v>2885</v>
      </c>
      <c r="B96" s="71" t="s">
        <v>4002</v>
      </c>
      <c r="C96" s="76">
        <v>505</v>
      </c>
      <c r="D96" s="71" t="s">
        <v>212</v>
      </c>
      <c r="E96" s="71" t="s">
        <v>4003</v>
      </c>
      <c r="F96" s="71" t="s">
        <v>2892</v>
      </c>
      <c r="G96" s="71" t="s">
        <v>1077</v>
      </c>
      <c r="H96" s="71" t="s">
        <v>74</v>
      </c>
      <c r="I96" s="71" t="s">
        <v>2891</v>
      </c>
      <c r="J96" s="67"/>
      <c r="K96" s="76">
        <f>IF(J96="",0,LEN(J96)-LEN(SUBSTITUTE(J96,";",""))+1)</f>
        <v>0</v>
      </c>
      <c r="L96" s="71"/>
      <c r="M96" s="71"/>
      <c r="N96" s="78">
        <f>IF(M96="",0,1/COUNTIF($M$3:$M$125,M96))</f>
        <v>0</v>
      </c>
      <c r="O96" s="65"/>
      <c r="P96" s="65" t="s">
        <v>2887</v>
      </c>
      <c r="Q96" s="66" t="s">
        <v>2889</v>
      </c>
    </row>
    <row r="97" spans="1:17" ht="60" customHeight="1">
      <c r="A97" s="71" t="s">
        <v>2893</v>
      </c>
      <c r="B97" s="71" t="s">
        <v>4002</v>
      </c>
      <c r="C97" s="76">
        <v>506</v>
      </c>
      <c r="D97" s="71" t="s">
        <v>212</v>
      </c>
      <c r="E97" s="71" t="s">
        <v>4003</v>
      </c>
      <c r="F97" s="71" t="s">
        <v>2892</v>
      </c>
      <c r="G97" s="71" t="s">
        <v>1077</v>
      </c>
      <c r="H97" s="71" t="s">
        <v>74</v>
      </c>
      <c r="I97" s="71" t="s">
        <v>2897</v>
      </c>
      <c r="J97" s="67"/>
      <c r="K97" s="76">
        <f>IF(J97="",0,LEN(J97)-LEN(SUBSTITUTE(J97,";",""))+1)</f>
        <v>0</v>
      </c>
      <c r="L97" s="71"/>
      <c r="M97" s="71"/>
      <c r="N97" s="78">
        <f>IF(M97="",0,1/COUNTIF($M$3:$M$125,M97))</f>
        <v>0</v>
      </c>
      <c r="O97" s="65"/>
      <c r="P97" s="65" t="s">
        <v>2895</v>
      </c>
      <c r="Q97" s="66" t="s">
        <v>2896</v>
      </c>
    </row>
    <row r="98" spans="1:17" ht="60" customHeight="1">
      <c r="A98" s="71" t="s">
        <v>2898</v>
      </c>
      <c r="B98" s="71" t="s">
        <v>4002</v>
      </c>
      <c r="C98" s="76">
        <v>507</v>
      </c>
      <c r="D98" s="71" t="s">
        <v>212</v>
      </c>
      <c r="E98" s="71" t="s">
        <v>4003</v>
      </c>
      <c r="F98" s="71" t="s">
        <v>2892</v>
      </c>
      <c r="G98" s="71" t="s">
        <v>1077</v>
      </c>
      <c r="H98" s="71" t="s">
        <v>74</v>
      </c>
      <c r="I98" s="71" t="s">
        <v>2891</v>
      </c>
      <c r="J98" s="67"/>
      <c r="K98" s="76">
        <f>IF(J98="",0,LEN(J98)-LEN(SUBSTITUTE(J98,";",""))+1)</f>
        <v>0</v>
      </c>
      <c r="L98" s="71"/>
      <c r="M98" s="71"/>
      <c r="N98" s="78">
        <f>IF(M98="",0,1/COUNTIF($M$3:$M$125,M98))</f>
        <v>0</v>
      </c>
      <c r="O98" s="65"/>
      <c r="P98" s="65" t="s">
        <v>2900</v>
      </c>
      <c r="Q98" s="66" t="s">
        <v>2901</v>
      </c>
    </row>
    <row r="99" spans="1:17" ht="60" customHeight="1">
      <c r="A99" s="71" t="s">
        <v>2903</v>
      </c>
      <c r="B99" s="71" t="s">
        <v>4002</v>
      </c>
      <c r="C99" s="76">
        <v>508</v>
      </c>
      <c r="D99" s="71" t="s">
        <v>2909</v>
      </c>
      <c r="E99" s="71" t="s">
        <v>4010</v>
      </c>
      <c r="F99" s="71" t="s">
        <v>746</v>
      </c>
      <c r="G99" s="71" t="s">
        <v>1077</v>
      </c>
      <c r="H99" s="71" t="s">
        <v>72</v>
      </c>
      <c r="I99" s="71" t="s">
        <v>2914</v>
      </c>
      <c r="J99" s="67"/>
      <c r="K99" s="76">
        <f>IF(J99="",0,LEN(J99)-LEN(SUBSTITUTE(J99,";",""))+1)</f>
        <v>0</v>
      </c>
      <c r="L99" s="71"/>
      <c r="M99" s="71"/>
      <c r="N99" s="78">
        <f>IF(M99="",0,1/COUNTIF($M$3:$M$125,M99))</f>
        <v>0</v>
      </c>
      <c r="O99" s="65"/>
      <c r="P99" s="65" t="s">
        <v>2910</v>
      </c>
      <c r="Q99" s="66" t="s">
        <v>2912</v>
      </c>
    </row>
    <row r="100" spans="1:17" ht="60" customHeight="1">
      <c r="A100" s="71" t="s">
        <v>2915</v>
      </c>
      <c r="B100" s="71" t="s">
        <v>4002</v>
      </c>
      <c r="C100" s="76">
        <v>509</v>
      </c>
      <c r="D100" s="71" t="s">
        <v>1793</v>
      </c>
      <c r="E100" s="71" t="s">
        <v>4007</v>
      </c>
      <c r="F100" s="71" t="s">
        <v>1801</v>
      </c>
      <c r="G100" s="71" t="s">
        <v>1077</v>
      </c>
      <c r="H100" s="71" t="s">
        <v>70</v>
      </c>
      <c r="I100" s="71" t="s">
        <v>2927</v>
      </c>
      <c r="J100" s="67"/>
      <c r="K100" s="76">
        <f>IF(J100="",0,LEN(J100)-LEN(SUBSTITUTE(J100,";",""))+1)</f>
        <v>0</v>
      </c>
      <c r="L100" s="71"/>
      <c r="M100" s="71"/>
      <c r="N100" s="78">
        <f>IF(M100="",0,1/COUNTIF($M$3:$M$125,M100))</f>
        <v>0</v>
      </c>
      <c r="O100" s="65" t="s">
        <v>2922</v>
      </c>
      <c r="P100" s="65" t="s">
        <v>2924</v>
      </c>
      <c r="Q100" s="66" t="s">
        <v>2926</v>
      </c>
    </row>
    <row r="101" spans="1:17" ht="60" customHeight="1">
      <c r="A101" s="71" t="s">
        <v>2928</v>
      </c>
      <c r="B101" s="71" t="s">
        <v>4002</v>
      </c>
      <c r="C101" s="76">
        <v>510</v>
      </c>
      <c r="D101" s="71" t="s">
        <v>2934</v>
      </c>
      <c r="E101" s="71" t="s">
        <v>4007</v>
      </c>
      <c r="F101" s="71" t="s">
        <v>746</v>
      </c>
      <c r="G101" s="71" t="s">
        <v>1077</v>
      </c>
      <c r="H101" s="71" t="s">
        <v>70</v>
      </c>
      <c r="I101" s="71" t="s">
        <v>2940</v>
      </c>
      <c r="J101" s="67"/>
      <c r="K101" s="76">
        <f>IF(J101="",0,LEN(J101)-LEN(SUBSTITUTE(J101,";",""))+1)</f>
        <v>0</v>
      </c>
      <c r="L101" s="71"/>
      <c r="M101" s="71"/>
      <c r="N101" s="78">
        <f>IF(M101="",0,1/COUNTIF($M$3:$M$125,M101))</f>
        <v>0</v>
      </c>
      <c r="O101" s="65" t="s">
        <v>2935</v>
      </c>
      <c r="P101" s="65" t="s">
        <v>2937</v>
      </c>
      <c r="Q101" s="66" t="s">
        <v>2930</v>
      </c>
    </row>
    <row r="102" spans="1:17" ht="60" customHeight="1">
      <c r="A102" s="71" t="s">
        <v>2941</v>
      </c>
      <c r="B102" s="71" t="s">
        <v>4002</v>
      </c>
      <c r="C102" s="76">
        <v>511</v>
      </c>
      <c r="D102" s="71" t="s">
        <v>1519</v>
      </c>
      <c r="E102" s="71" t="s">
        <v>4006</v>
      </c>
      <c r="F102" s="71" t="s">
        <v>746</v>
      </c>
      <c r="G102" s="71" t="s">
        <v>747</v>
      </c>
      <c r="H102" s="71" t="s">
        <v>72</v>
      </c>
      <c r="I102" s="71" t="s">
        <v>2951</v>
      </c>
      <c r="J102" s="67"/>
      <c r="K102" s="76">
        <f>IF(J102="",0,LEN(J102)-LEN(SUBSTITUTE(J102,";",""))+1)</f>
        <v>0</v>
      </c>
      <c r="L102" s="71"/>
      <c r="M102" s="71"/>
      <c r="N102" s="78">
        <f>IF(M102="",0,1/COUNTIF($M$3:$M$125,M102))</f>
        <v>0</v>
      </c>
      <c r="O102" s="65"/>
      <c r="P102" s="65" t="s">
        <v>2947</v>
      </c>
      <c r="Q102" s="66" t="s">
        <v>2949</v>
      </c>
    </row>
    <row r="103" spans="1:17" ht="60" customHeight="1">
      <c r="A103" s="71" t="s">
        <v>2952</v>
      </c>
      <c r="B103" s="71" t="s">
        <v>4002</v>
      </c>
      <c r="C103" s="76">
        <v>512</v>
      </c>
      <c r="D103" s="71" t="s">
        <v>1519</v>
      </c>
      <c r="E103" s="71" t="s">
        <v>4006</v>
      </c>
      <c r="F103" s="71" t="s">
        <v>746</v>
      </c>
      <c r="G103" s="71" t="s">
        <v>747</v>
      </c>
      <c r="H103" s="71" t="s">
        <v>72</v>
      </c>
      <c r="I103" s="71" t="s">
        <v>2958</v>
      </c>
      <c r="J103" s="67"/>
      <c r="K103" s="76">
        <f>IF(J103="",0,LEN(J103)-LEN(SUBSTITUTE(J103,";",""))+1)</f>
        <v>0</v>
      </c>
      <c r="L103" s="71"/>
      <c r="M103" s="71"/>
      <c r="N103" s="78">
        <f>IF(M103="",0,1/COUNTIF($M$3:$M$125,M103))</f>
        <v>0</v>
      </c>
      <c r="O103" s="65"/>
      <c r="P103" s="65" t="s">
        <v>2955</v>
      </c>
      <c r="Q103" s="66" t="s">
        <v>2957</v>
      </c>
    </row>
    <row r="104" spans="1:17" ht="60" customHeight="1">
      <c r="A104" s="71" t="s">
        <v>2959</v>
      </c>
      <c r="B104" s="71" t="s">
        <v>4002</v>
      </c>
      <c r="C104" s="76">
        <v>513</v>
      </c>
      <c r="D104" s="71" t="s">
        <v>1072</v>
      </c>
      <c r="E104" s="71" t="s">
        <v>4003</v>
      </c>
      <c r="F104" s="71" t="s">
        <v>788</v>
      </c>
      <c r="G104" s="71" t="s">
        <v>1077</v>
      </c>
      <c r="H104" s="71" t="s">
        <v>74</v>
      </c>
      <c r="I104" s="71" t="s">
        <v>2968</v>
      </c>
      <c r="J104" s="67"/>
      <c r="K104" s="76">
        <f>IF(J104="",0,LEN(J104)-LEN(SUBSTITUTE(J104,";",""))+1)</f>
        <v>0</v>
      </c>
      <c r="L104" s="71"/>
      <c r="M104" s="71"/>
      <c r="N104" s="78">
        <f>IF(M104="",0,1/COUNTIF($M$3:$M$125,M104))</f>
        <v>0</v>
      </c>
      <c r="O104" s="65"/>
      <c r="P104" s="65" t="s">
        <v>2965</v>
      </c>
      <c r="Q104" s="66" t="s">
        <v>2966</v>
      </c>
    </row>
    <row r="105" spans="1:17" ht="60" customHeight="1">
      <c r="A105" s="71" t="s">
        <v>2969</v>
      </c>
      <c r="B105" s="71" t="s">
        <v>4002</v>
      </c>
      <c r="C105" s="76">
        <v>514</v>
      </c>
      <c r="D105" s="71" t="s">
        <v>1072</v>
      </c>
      <c r="E105" s="71" t="s">
        <v>4008</v>
      </c>
      <c r="F105" s="71" t="s">
        <v>746</v>
      </c>
      <c r="G105" s="71" t="s">
        <v>1077</v>
      </c>
      <c r="H105" s="71" t="s">
        <v>74</v>
      </c>
      <c r="I105" s="71" t="s">
        <v>2979</v>
      </c>
      <c r="J105" s="67"/>
      <c r="K105" s="76">
        <f>IF(J105="",0,LEN(J105)-LEN(SUBSTITUTE(J105,";",""))+1)</f>
        <v>0</v>
      </c>
      <c r="L105" s="71"/>
      <c r="M105" s="71"/>
      <c r="N105" s="78">
        <f>IF(M105="",0,1/COUNTIF($M$3:$M$125,M105))</f>
        <v>0</v>
      </c>
      <c r="O105" s="65"/>
      <c r="P105" s="65" t="s">
        <v>2976</v>
      </c>
      <c r="Q105" s="66" t="s">
        <v>2971</v>
      </c>
    </row>
    <row r="106" spans="1:17" ht="60" customHeight="1">
      <c r="A106" s="71" t="s">
        <v>2980</v>
      </c>
      <c r="B106" s="71" t="s">
        <v>4002</v>
      </c>
      <c r="C106" s="76">
        <v>515</v>
      </c>
      <c r="D106" s="71" t="s">
        <v>2985</v>
      </c>
      <c r="E106" s="71" t="s">
        <v>4008</v>
      </c>
      <c r="F106" s="71" t="s">
        <v>788</v>
      </c>
      <c r="G106" s="71" t="s">
        <v>223</v>
      </c>
      <c r="H106" s="71" t="s">
        <v>76</v>
      </c>
      <c r="I106" s="71" t="s">
        <v>2989</v>
      </c>
      <c r="J106" s="67"/>
      <c r="K106" s="76">
        <f>IF(J106="",0,LEN(J106)-LEN(SUBSTITUTE(J106,";",""))+1)</f>
        <v>0</v>
      </c>
      <c r="L106" s="71"/>
      <c r="M106" s="71"/>
      <c r="N106" s="78">
        <f>IF(M106="",0,1/COUNTIF($M$3:$M$125,M106))</f>
        <v>0</v>
      </c>
      <c r="O106" s="65"/>
      <c r="P106" s="65" t="s">
        <v>2986</v>
      </c>
      <c r="Q106" s="66" t="s">
        <v>2987</v>
      </c>
    </row>
    <row r="107" spans="1:17" ht="60" customHeight="1">
      <c r="A107" s="71" t="s">
        <v>2991</v>
      </c>
      <c r="B107" s="71" t="s">
        <v>4002</v>
      </c>
      <c r="C107" s="76">
        <v>516</v>
      </c>
      <c r="D107" s="71" t="s">
        <v>784</v>
      </c>
      <c r="E107" s="71" t="s">
        <v>4008</v>
      </c>
      <c r="F107" s="71" t="s">
        <v>788</v>
      </c>
      <c r="G107" s="71" t="s">
        <v>1077</v>
      </c>
      <c r="H107" s="71" t="s">
        <v>74</v>
      </c>
      <c r="I107" s="71" t="s">
        <v>2999</v>
      </c>
      <c r="J107" s="67"/>
      <c r="K107" s="76">
        <f>IF(J107="",0,LEN(J107)-LEN(SUBSTITUTE(J107,";",""))+1)</f>
        <v>0</v>
      </c>
      <c r="L107" s="71"/>
      <c r="M107" s="71"/>
      <c r="N107" s="78">
        <f>IF(M107="",0,1/COUNTIF($M$3:$M$125,M107))</f>
        <v>0</v>
      </c>
      <c r="O107" s="65"/>
      <c r="P107" s="65" t="s">
        <v>2997</v>
      </c>
      <c r="Q107" s="66" t="s">
        <v>2993</v>
      </c>
    </row>
    <row r="108" spans="1:17" ht="60" customHeight="1">
      <c r="A108" s="71" t="s">
        <v>3000</v>
      </c>
      <c r="B108" s="71" t="s">
        <v>4002</v>
      </c>
      <c r="C108" s="76">
        <v>517</v>
      </c>
      <c r="D108" s="71" t="s">
        <v>3005</v>
      </c>
      <c r="E108" s="71" t="s">
        <v>4003</v>
      </c>
      <c r="F108" s="71" t="s">
        <v>3009</v>
      </c>
      <c r="G108" s="71" t="s">
        <v>747</v>
      </c>
      <c r="H108" s="71" t="s">
        <v>74</v>
      </c>
      <c r="I108" s="71" t="s">
        <v>3008</v>
      </c>
      <c r="J108" s="67"/>
      <c r="K108" s="76">
        <f>IF(J108="",0,LEN(J108)-LEN(SUBSTITUTE(J108,";",""))+1)</f>
        <v>0</v>
      </c>
      <c r="L108" s="71"/>
      <c r="M108" s="71" t="s">
        <v>3000</v>
      </c>
      <c r="N108" s="78">
        <f>IF(M108="",0,1/COUNTIF($M$3:$M$125,M108))</f>
        <v>0.5</v>
      </c>
      <c r="O108" s="65"/>
      <c r="P108" s="65" t="s">
        <v>3006</v>
      </c>
      <c r="Q108" s="66" t="s">
        <v>3002</v>
      </c>
    </row>
    <row r="109" spans="1:17" ht="60" customHeight="1">
      <c r="A109" s="71" t="s">
        <v>3093</v>
      </c>
      <c r="B109" s="71" t="s">
        <v>4013</v>
      </c>
      <c r="C109" s="76">
        <v>22</v>
      </c>
      <c r="D109" s="71" t="s">
        <v>784</v>
      </c>
      <c r="E109" s="71" t="s">
        <v>4003</v>
      </c>
      <c r="F109" s="71" t="s">
        <v>788</v>
      </c>
      <c r="G109" s="71" t="s">
        <v>747</v>
      </c>
      <c r="H109" s="71" t="s">
        <v>74</v>
      </c>
      <c r="I109" s="71" t="s">
        <v>3098</v>
      </c>
      <c r="J109" s="67"/>
      <c r="K109" s="76">
        <f>IF(J109="",0,LEN(J109)-LEN(SUBSTITUTE(J109,";",""))+1)</f>
        <v>0</v>
      </c>
      <c r="L109" s="71"/>
      <c r="M109" s="71"/>
      <c r="N109" s="78">
        <f>IF(M109="",0,1/COUNTIF($M$3:$M$125,M109))</f>
        <v>0</v>
      </c>
      <c r="O109" s="65"/>
      <c r="P109" s="65" t="s">
        <v>3095</v>
      </c>
      <c r="Q109" s="66" t="s">
        <v>3096</v>
      </c>
    </row>
    <row r="110" spans="1:17" ht="60" customHeight="1">
      <c r="A110" s="71" t="s">
        <v>2634</v>
      </c>
      <c r="B110" s="71" t="s">
        <v>4013</v>
      </c>
      <c r="C110" s="76">
        <v>26</v>
      </c>
      <c r="D110" s="71" t="s">
        <v>2617</v>
      </c>
      <c r="E110" s="71" t="s">
        <v>4009</v>
      </c>
      <c r="F110" s="71" t="s">
        <v>746</v>
      </c>
      <c r="G110" s="71" t="s">
        <v>747</v>
      </c>
      <c r="H110" s="71" t="s">
        <v>70</v>
      </c>
      <c r="I110" s="71" t="s">
        <v>3121</v>
      </c>
      <c r="J110" s="67"/>
      <c r="K110" s="76">
        <f>IF(J110="",0,LEN(J110)-LEN(SUBSTITUTE(J110,";",""))+1)</f>
        <v>0</v>
      </c>
      <c r="L110" s="71"/>
      <c r="M110" s="71"/>
      <c r="N110" s="78">
        <f>IF(M110="",0,1/COUNTIF($M$3:$M$125,M110))</f>
        <v>0</v>
      </c>
      <c r="O110" s="65" t="s">
        <v>3116</v>
      </c>
      <c r="P110" s="65" t="s">
        <v>3118</v>
      </c>
      <c r="Q110" s="66" t="s">
        <v>2635</v>
      </c>
    </row>
    <row r="111" spans="1:17" ht="60" customHeight="1">
      <c r="A111" s="71" t="s">
        <v>2569</v>
      </c>
      <c r="B111" s="71" t="s">
        <v>4013</v>
      </c>
      <c r="C111" s="76">
        <v>31</v>
      </c>
      <c r="D111" s="71" t="s">
        <v>212</v>
      </c>
      <c r="E111" s="71" t="s">
        <v>4003</v>
      </c>
      <c r="F111" s="71" t="s">
        <v>746</v>
      </c>
      <c r="G111" s="71" t="s">
        <v>747</v>
      </c>
      <c r="H111" s="71" t="s">
        <v>74</v>
      </c>
      <c r="I111" s="71" t="s">
        <v>3145</v>
      </c>
      <c r="J111" s="67"/>
      <c r="K111" s="76">
        <f>IF(J111="",0,LEN(J111)-LEN(SUBSTITUTE(J111,";",""))+1)</f>
        <v>0</v>
      </c>
      <c r="L111" s="71"/>
      <c r="M111" s="71"/>
      <c r="N111" s="78">
        <f>IF(M111="",0,1/COUNTIF($M$3:$M$125,M111))</f>
        <v>0</v>
      </c>
      <c r="O111" s="65"/>
      <c r="P111" s="65" t="s">
        <v>3141</v>
      </c>
      <c r="Q111" s="66" t="s">
        <v>3143</v>
      </c>
    </row>
    <row r="112" spans="1:17" ht="60" customHeight="1">
      <c r="A112" s="71" t="s">
        <v>3153</v>
      </c>
      <c r="B112" s="71" t="s">
        <v>4013</v>
      </c>
      <c r="C112" s="76">
        <v>34</v>
      </c>
      <c r="D112" s="71" t="s">
        <v>784</v>
      </c>
      <c r="E112" s="71" t="s">
        <v>4003</v>
      </c>
      <c r="F112" s="71" t="s">
        <v>788</v>
      </c>
      <c r="G112" s="71" t="s">
        <v>747</v>
      </c>
      <c r="H112" s="71" t="s">
        <v>74</v>
      </c>
      <c r="I112" s="71" t="s">
        <v>3160</v>
      </c>
      <c r="J112" s="67"/>
      <c r="K112" s="76">
        <f>IF(J112="",0,LEN(J112)-LEN(SUBSTITUTE(J112,";",""))+1)</f>
        <v>0</v>
      </c>
      <c r="L112" s="71"/>
      <c r="M112" s="71"/>
      <c r="N112" s="78">
        <f>IF(M112="",0,1/COUNTIF($M$3:$M$125,M112))</f>
        <v>0</v>
      </c>
      <c r="O112" s="65"/>
      <c r="P112" s="65" t="s">
        <v>3158</v>
      </c>
      <c r="Q112" s="66" t="s">
        <v>3154</v>
      </c>
    </row>
    <row r="113" spans="1:17" ht="60" customHeight="1">
      <c r="A113" s="71" t="s">
        <v>3161</v>
      </c>
      <c r="B113" s="71" t="s">
        <v>4013</v>
      </c>
      <c r="C113" s="76">
        <v>35</v>
      </c>
      <c r="D113" s="71" t="s">
        <v>212</v>
      </c>
      <c r="E113" s="71" t="s">
        <v>4003</v>
      </c>
      <c r="F113" s="71" t="s">
        <v>3169</v>
      </c>
      <c r="G113" s="71" t="s">
        <v>747</v>
      </c>
      <c r="H113" s="71" t="s">
        <v>74</v>
      </c>
      <c r="I113" s="71" t="s">
        <v>3168</v>
      </c>
      <c r="J113" s="67"/>
      <c r="K113" s="76">
        <f>IF(J113="",0,LEN(J113)-LEN(SUBSTITUTE(J113,";",""))+1)</f>
        <v>0</v>
      </c>
      <c r="L113" s="71"/>
      <c r="M113" s="71"/>
      <c r="N113" s="78">
        <f>IF(M113="",0,1/COUNTIF($M$3:$M$125,M113))</f>
        <v>0</v>
      </c>
      <c r="O113" s="65"/>
      <c r="P113" s="65" t="s">
        <v>3164</v>
      </c>
      <c r="Q113" s="66" t="s">
        <v>3166</v>
      </c>
    </row>
    <row r="114" spans="1:17" ht="60" customHeight="1">
      <c r="A114" s="71" t="s">
        <v>3177</v>
      </c>
      <c r="B114" s="71" t="s">
        <v>4013</v>
      </c>
      <c r="C114" s="76">
        <v>37</v>
      </c>
      <c r="D114" s="71" t="s">
        <v>1519</v>
      </c>
      <c r="E114" s="71" t="s">
        <v>4006</v>
      </c>
      <c r="F114" s="71" t="s">
        <v>746</v>
      </c>
      <c r="G114" s="71" t="s">
        <v>747</v>
      </c>
      <c r="H114" s="71" t="s">
        <v>72</v>
      </c>
      <c r="I114" s="71" t="s">
        <v>3183</v>
      </c>
      <c r="J114" s="67"/>
      <c r="K114" s="76">
        <f>IF(J114="",0,LEN(J114)-LEN(SUBSTITUTE(J114,";",""))+1)</f>
        <v>0</v>
      </c>
      <c r="L114" s="71"/>
      <c r="M114" s="71"/>
      <c r="N114" s="78">
        <f>IF(M114="",0,1/COUNTIF($M$3:$M$125,M114))</f>
        <v>0</v>
      </c>
      <c r="O114" s="65"/>
      <c r="P114" s="65" t="s">
        <v>3180</v>
      </c>
      <c r="Q114" s="66" t="s">
        <v>3178</v>
      </c>
    </row>
    <row r="115" spans="1:17" ht="60" customHeight="1">
      <c r="A115" s="71" t="s">
        <v>3184</v>
      </c>
      <c r="B115" s="71" t="s">
        <v>4013</v>
      </c>
      <c r="C115" s="76">
        <v>38</v>
      </c>
      <c r="D115" s="71" t="s">
        <v>3188</v>
      </c>
      <c r="E115" s="71" t="s">
        <v>4009</v>
      </c>
      <c r="F115" s="71" t="s">
        <v>746</v>
      </c>
      <c r="G115" s="71" t="s">
        <v>747</v>
      </c>
      <c r="H115" s="71" t="s">
        <v>70</v>
      </c>
      <c r="I115" s="71" t="s">
        <v>3195</v>
      </c>
      <c r="J115" s="67"/>
      <c r="K115" s="76">
        <f>IF(J115="",0,LEN(J115)-LEN(SUBSTITUTE(J115,";",""))+1)</f>
        <v>0</v>
      </c>
      <c r="L115" s="71"/>
      <c r="M115" s="71"/>
      <c r="N115" s="78">
        <f>IF(M115="",0,1/COUNTIF($M$3:$M$125,M115))</f>
        <v>0</v>
      </c>
      <c r="O115" s="65" t="s">
        <v>3189</v>
      </c>
      <c r="P115" s="65" t="s">
        <v>3191</v>
      </c>
      <c r="Q115" s="66" t="s">
        <v>3193</v>
      </c>
    </row>
    <row r="116" spans="1:17" ht="60" customHeight="1">
      <c r="A116" s="71" t="s">
        <v>817</v>
      </c>
      <c r="B116" s="71" t="s">
        <v>4013</v>
      </c>
      <c r="C116" s="76">
        <v>39</v>
      </c>
      <c r="D116" s="71" t="s">
        <v>827</v>
      </c>
      <c r="E116" s="71" t="s">
        <v>4005</v>
      </c>
      <c r="F116" s="71" t="s">
        <v>746</v>
      </c>
      <c r="G116" s="71" t="s">
        <v>747</v>
      </c>
      <c r="H116" s="71" t="s">
        <v>72</v>
      </c>
      <c r="I116" s="71" t="s">
        <v>832</v>
      </c>
      <c r="J116" s="67"/>
      <c r="K116" s="76">
        <f>IF(J116="",0,LEN(J116)-LEN(SUBSTITUTE(J116,";",""))+1)</f>
        <v>0</v>
      </c>
      <c r="L116" s="71"/>
      <c r="M116" s="71" t="s">
        <v>817</v>
      </c>
      <c r="N116" s="78">
        <f>IF(M116="",0,1/COUNTIF($M$3:$M$125,M116))</f>
        <v>0.5</v>
      </c>
      <c r="O116" s="65"/>
      <c r="P116" s="65" t="s">
        <v>828</v>
      </c>
      <c r="Q116" s="66" t="s">
        <v>830</v>
      </c>
    </row>
    <row r="117" spans="1:17" ht="60" customHeight="1">
      <c r="A117" s="71" t="s">
        <v>3196</v>
      </c>
      <c r="B117" s="71" t="s">
        <v>4013</v>
      </c>
      <c r="C117" s="76">
        <v>40</v>
      </c>
      <c r="D117" s="71" t="s">
        <v>212</v>
      </c>
      <c r="E117" s="71" t="s">
        <v>4003</v>
      </c>
      <c r="F117" s="71" t="s">
        <v>746</v>
      </c>
      <c r="G117" s="71" t="s">
        <v>747</v>
      </c>
      <c r="H117" s="71" t="s">
        <v>74</v>
      </c>
      <c r="I117" s="71" t="s">
        <v>3202</v>
      </c>
      <c r="J117" s="67"/>
      <c r="K117" s="76">
        <f>IF(J117="",0,LEN(J117)-LEN(SUBSTITUTE(J117,";",""))+1)</f>
        <v>0</v>
      </c>
      <c r="L117" s="71"/>
      <c r="M117" s="71"/>
      <c r="N117" s="78">
        <f>IF(M117="",0,1/COUNTIF($M$3:$M$125,M117))</f>
        <v>0</v>
      </c>
      <c r="O117" s="65"/>
      <c r="P117" s="65" t="s">
        <v>3199</v>
      </c>
      <c r="Q117" s="66" t="s">
        <v>3197</v>
      </c>
    </row>
    <row r="118" spans="1:17" ht="60" customHeight="1">
      <c r="A118" s="71" t="s">
        <v>3203</v>
      </c>
      <c r="B118" s="71" t="s">
        <v>4013</v>
      </c>
      <c r="C118" s="76">
        <v>41</v>
      </c>
      <c r="D118" s="71" t="s">
        <v>2617</v>
      </c>
      <c r="E118" s="71" t="s">
        <v>4009</v>
      </c>
      <c r="F118" s="71" t="s">
        <v>746</v>
      </c>
      <c r="G118" s="71" t="s">
        <v>747</v>
      </c>
      <c r="H118" s="71" t="s">
        <v>70</v>
      </c>
      <c r="I118" s="71" t="s">
        <v>3212</v>
      </c>
      <c r="J118" s="67"/>
      <c r="K118" s="76">
        <f>IF(J118="",0,LEN(J118)-LEN(SUBSTITUTE(J118,";",""))+1)</f>
        <v>0</v>
      </c>
      <c r="L118" s="71"/>
      <c r="M118" s="71"/>
      <c r="N118" s="78">
        <f>IF(M118="",0,1/COUNTIF($M$3:$M$125,M118))</f>
        <v>0</v>
      </c>
      <c r="O118" s="65" t="s">
        <v>3207</v>
      </c>
      <c r="P118" s="65" t="s">
        <v>3209</v>
      </c>
      <c r="Q118" s="66" t="s">
        <v>3204</v>
      </c>
    </row>
    <row r="119" spans="1:17" ht="60" customHeight="1">
      <c r="A119" s="71" t="s">
        <v>3213</v>
      </c>
      <c r="B119" s="71" t="s">
        <v>4013</v>
      </c>
      <c r="C119" s="76">
        <v>42</v>
      </c>
      <c r="D119" s="71" t="s">
        <v>2617</v>
      </c>
      <c r="E119" s="71" t="s">
        <v>4009</v>
      </c>
      <c r="F119" s="71" t="s">
        <v>746</v>
      </c>
      <c r="G119" s="71" t="s">
        <v>747</v>
      </c>
      <c r="H119" s="71" t="s">
        <v>70</v>
      </c>
      <c r="I119" s="71" t="s">
        <v>3217</v>
      </c>
      <c r="J119" s="67"/>
      <c r="K119" s="76">
        <f>IF(J119="",0,LEN(J119)-LEN(SUBSTITUTE(J119,";",""))+1)</f>
        <v>0</v>
      </c>
      <c r="L119" s="71"/>
      <c r="M119" s="71"/>
      <c r="N119" s="78">
        <f>IF(M119="",0,1/COUNTIF($M$3:$M$125,M119))</f>
        <v>0</v>
      </c>
      <c r="O119" s="65" t="s">
        <v>3215</v>
      </c>
      <c r="P119" s="65" t="s">
        <v>3216</v>
      </c>
      <c r="Q119" s="66" t="s">
        <v>3214</v>
      </c>
    </row>
    <row r="120" spans="1:17" ht="60" customHeight="1">
      <c r="A120" s="71" t="s">
        <v>3218</v>
      </c>
      <c r="B120" s="71" t="s">
        <v>4013</v>
      </c>
      <c r="C120" s="76">
        <v>43</v>
      </c>
      <c r="D120" s="71" t="s">
        <v>2909</v>
      </c>
      <c r="E120" s="71" t="s">
        <v>4010</v>
      </c>
      <c r="F120" s="71" t="s">
        <v>3227</v>
      </c>
      <c r="G120" s="71" t="s">
        <v>747</v>
      </c>
      <c r="H120" s="71" t="s">
        <v>72</v>
      </c>
      <c r="I120" s="71" t="s">
        <v>3226</v>
      </c>
      <c r="J120" s="67"/>
      <c r="K120" s="76">
        <f>IF(J120="",0,LEN(J120)-LEN(SUBSTITUTE(J120,";",""))+1)</f>
        <v>0</v>
      </c>
      <c r="L120" s="71"/>
      <c r="M120" s="71"/>
      <c r="N120" s="78">
        <f>IF(M120="",0,1/COUNTIF($M$3:$M$125,M120))</f>
        <v>0</v>
      </c>
      <c r="O120" s="65"/>
      <c r="P120" s="65" t="s">
        <v>3223</v>
      </c>
      <c r="Q120" s="66" t="s">
        <v>3219</v>
      </c>
    </row>
    <row r="121" spans="1:17" ht="60" customHeight="1">
      <c r="A121" s="71" t="s">
        <v>3000</v>
      </c>
      <c r="B121" s="71" t="s">
        <v>4013</v>
      </c>
      <c r="C121" s="76">
        <v>44</v>
      </c>
      <c r="D121" s="71" t="s">
        <v>3005</v>
      </c>
      <c r="E121" s="71" t="s">
        <v>4003</v>
      </c>
      <c r="F121" s="71" t="s">
        <v>3009</v>
      </c>
      <c r="G121" s="71" t="s">
        <v>747</v>
      </c>
      <c r="H121" s="71" t="s">
        <v>74</v>
      </c>
      <c r="I121" s="71" t="s">
        <v>3230</v>
      </c>
      <c r="J121" s="67"/>
      <c r="K121" s="76">
        <f>IF(J121="",0,LEN(J121)-LEN(SUBSTITUTE(J121,";",""))+1)</f>
        <v>0</v>
      </c>
      <c r="L121" s="71"/>
      <c r="M121" s="71" t="s">
        <v>3000</v>
      </c>
      <c r="N121" s="78">
        <f>IF(M121="",0,1/COUNTIF($M$3:$M$125,M121))</f>
        <v>0.5</v>
      </c>
      <c r="O121" s="65"/>
      <c r="P121" s="65" t="s">
        <v>3006</v>
      </c>
      <c r="Q121" s="66" t="s">
        <v>3002</v>
      </c>
    </row>
    <row r="122" spans="1:17" ht="60" customHeight="1">
      <c r="A122" s="71" t="s">
        <v>3231</v>
      </c>
      <c r="B122" s="71" t="s">
        <v>4013</v>
      </c>
      <c r="C122" s="76">
        <v>45</v>
      </c>
      <c r="D122" s="71" t="s">
        <v>784</v>
      </c>
      <c r="E122" s="71" t="s">
        <v>4003</v>
      </c>
      <c r="F122" s="71" t="s">
        <v>788</v>
      </c>
      <c r="G122" s="71" t="s">
        <v>747</v>
      </c>
      <c r="H122" s="71" t="s">
        <v>74</v>
      </c>
      <c r="I122" s="71" t="s">
        <v>3238</v>
      </c>
      <c r="J122" s="67"/>
      <c r="K122" s="76">
        <f>IF(J122="",0,LEN(J122)-LEN(SUBSTITUTE(J122,";",""))+1)</f>
        <v>0</v>
      </c>
      <c r="L122" s="71"/>
      <c r="M122" s="71"/>
      <c r="N122" s="78">
        <f>IF(M122="",0,1/COUNTIF($M$3:$M$125,M122))</f>
        <v>0</v>
      </c>
      <c r="O122" s="65"/>
      <c r="P122" s="65" t="s">
        <v>3235</v>
      </c>
      <c r="Q122" s="66" t="s">
        <v>3236</v>
      </c>
    </row>
    <row r="123" spans="1:17" ht="60" customHeight="1">
      <c r="A123" s="71" t="s">
        <v>3239</v>
      </c>
      <c r="B123" s="71" t="s">
        <v>4013</v>
      </c>
      <c r="C123" s="76">
        <v>46</v>
      </c>
      <c r="D123" s="71" t="s">
        <v>2617</v>
      </c>
      <c r="E123" s="71" t="s">
        <v>4009</v>
      </c>
      <c r="F123" s="71" t="s">
        <v>746</v>
      </c>
      <c r="G123" s="71" t="s">
        <v>747</v>
      </c>
      <c r="H123" s="71" t="s">
        <v>70</v>
      </c>
      <c r="I123" s="71" t="s">
        <v>3247</v>
      </c>
      <c r="J123" s="67"/>
      <c r="K123" s="76">
        <f>IF(J123="",0,LEN(J123)-LEN(SUBSTITUTE(J123,";",""))+1)</f>
        <v>0</v>
      </c>
      <c r="L123" s="71"/>
      <c r="M123" s="71"/>
      <c r="N123" s="78">
        <f>IF(M123="",0,1/COUNTIF($M$3:$M$125,M123))</f>
        <v>0</v>
      </c>
      <c r="O123" s="65" t="s">
        <v>3241</v>
      </c>
      <c r="P123" s="65" t="s">
        <v>3243</v>
      </c>
      <c r="Q123" s="66" t="s">
        <v>3245</v>
      </c>
    </row>
    <row r="124" spans="1:17" ht="60" customHeight="1">
      <c r="A124" s="71" t="s">
        <v>3248</v>
      </c>
      <c r="B124" s="71" t="s">
        <v>4013</v>
      </c>
      <c r="C124" s="76">
        <v>47</v>
      </c>
      <c r="D124" s="71" t="s">
        <v>2617</v>
      </c>
      <c r="E124" s="71" t="s">
        <v>4009</v>
      </c>
      <c r="F124" s="71" t="s">
        <v>746</v>
      </c>
      <c r="G124" s="71" t="s">
        <v>747</v>
      </c>
      <c r="H124" s="71" t="s">
        <v>70</v>
      </c>
      <c r="I124" s="71" t="s">
        <v>3255</v>
      </c>
      <c r="J124" s="67"/>
      <c r="K124" s="76">
        <f>IF(J124="",0,LEN(J124)-LEN(SUBSTITUTE(J124,";",""))+1)</f>
        <v>0</v>
      </c>
      <c r="L124" s="71"/>
      <c r="M124" s="71"/>
      <c r="N124" s="78">
        <f>IF(M124="",0,1/COUNTIF($M$3:$M$125,M124))</f>
        <v>0</v>
      </c>
      <c r="O124" s="65" t="s">
        <v>3251</v>
      </c>
      <c r="P124" s="65" t="s">
        <v>3253</v>
      </c>
      <c r="Q124" s="66" t="s">
        <v>3249</v>
      </c>
    </row>
    <row r="125" spans="1:17" ht="60" customHeight="1">
      <c r="A125" s="71" t="s">
        <v>3256</v>
      </c>
      <c r="B125" s="71" t="s">
        <v>4013</v>
      </c>
      <c r="C125" s="76">
        <v>48</v>
      </c>
      <c r="D125" s="71" t="s">
        <v>3259</v>
      </c>
      <c r="E125" s="71" t="s">
        <v>4003</v>
      </c>
      <c r="F125" s="71" t="s">
        <v>746</v>
      </c>
      <c r="G125" s="71" t="s">
        <v>747</v>
      </c>
      <c r="H125" s="71" t="s">
        <v>74</v>
      </c>
      <c r="I125" s="71" t="s">
        <v>3264</v>
      </c>
      <c r="J125" s="67"/>
      <c r="K125" s="76">
        <f>IF(J125="",0,LEN(J125)-LEN(SUBSTITUTE(J125,";",""))+1)</f>
        <v>0</v>
      </c>
      <c r="L125" s="71"/>
      <c r="M125" s="71"/>
      <c r="N125" s="78">
        <f>IF(M125="",0,1/COUNTIF($M$3:$M$125,M125))</f>
        <v>0</v>
      </c>
      <c r="O125" s="65"/>
      <c r="P125" s="65" t="s">
        <v>3260</v>
      </c>
      <c r="Q125" s="66" t="s">
        <v>3262</v>
      </c>
    </row>
  </sheetData>
  <mergeCells count="1">
    <mergeCell ref="A1:Q1"/>
  </mergeCells>
  <conditionalFormatting sqref="D3:G125">
    <cfRule type="containsText" dxfId="75" priority="1" operator="containsText" text="VALIDER">
      <formula>NOT(ISERROR(SEARCH("VALIDER",D3)))</formula>
    </cfRule>
  </conditionalFormatting>
  <conditionalFormatting sqref="D3:G125">
    <cfRule type="containsText" dxfId="74" priority="2" operator="containsText" text="RENSEIGNER">
      <formula>NOT(ISERROR(SEARCH("RENSEIGNER",D3)))</formula>
    </cfRule>
  </conditionalFormatting>
  <conditionalFormatting sqref="H3:H125">
    <cfRule type="containsText" dxfId="73" priority="3" operator="containsText" text="Élevé">
      <formula>NOT(ISERROR(SEARCH("Élevé",H3)))</formula>
    </cfRule>
  </conditionalFormatting>
  <conditionalFormatting sqref="H3:H125">
    <cfRule type="containsText" dxfId="72" priority="4" operator="containsText" text="Moyen">
      <formula>NOT(ISERROR(SEARCH("Moyen",H3)))</formula>
    </cfRule>
  </conditionalFormatting>
  <conditionalFormatting sqref="H3:H125">
    <cfRule type="containsText" dxfId="71" priority="5" operator="containsText" text="Faible">
      <formula>NOT(ISERROR(SEARCH("Faible",H3)))</formula>
    </cfRule>
  </conditionalFormatting>
  <conditionalFormatting sqref="H3:H125">
    <cfRule type="containsText" dxfId="70" priority="6" operator="containsText" text="Non applicable">
      <formula>NOT(ISERROR(SEARCH("Non applicable",H3)))</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414F-D7DA-4641-8F3F-19FB43880653}">
  <dimension ref="A1:E84"/>
  <sheetViews>
    <sheetView workbookViewId="0">
      <pane ySplit="2" topLeftCell="A3" activePane="bottomLeft" state="frozen"/>
      <selection pane="bottomLeft"/>
    </sheetView>
  </sheetViews>
  <sheetFormatPr defaultRowHeight="15"/>
  <cols>
    <col min="1" max="1" width="31.7109375" customWidth="1"/>
    <col min="2" max="2" width="104.7109375" customWidth="1"/>
    <col min="3" max="3" width="38.7109375" customWidth="1"/>
    <col min="4" max="4" width="62.7109375" customWidth="1"/>
    <col min="5" max="5" width="103.7109375" customWidth="1"/>
  </cols>
  <sheetData>
    <row r="1" spans="1:5" ht="30" customHeight="1">
      <c r="A1" s="94" t="s">
        <v>4014</v>
      </c>
      <c r="B1" s="94"/>
      <c r="C1" s="94"/>
      <c r="D1" s="94"/>
      <c r="E1" s="94"/>
    </row>
    <row r="2" spans="1:5" ht="42" customHeight="1">
      <c r="A2" s="63" t="s">
        <v>4015</v>
      </c>
      <c r="B2" s="63" t="s">
        <v>4016</v>
      </c>
      <c r="C2" s="63" t="s">
        <v>4017</v>
      </c>
      <c r="D2" s="63" t="s">
        <v>4018</v>
      </c>
      <c r="E2" s="63" t="s">
        <v>4019</v>
      </c>
    </row>
    <row r="3" spans="1:5" ht="60" customHeight="1">
      <c r="A3" s="71" t="s">
        <v>4020</v>
      </c>
      <c r="B3" s="71" t="s">
        <v>4021</v>
      </c>
      <c r="C3" s="71" t="s">
        <v>4022</v>
      </c>
      <c r="D3" s="71" t="s">
        <v>4023</v>
      </c>
      <c r="E3" s="71" t="s">
        <v>4024</v>
      </c>
    </row>
    <row r="4" spans="1:5" ht="60" customHeight="1">
      <c r="A4" s="72" t="s">
        <v>4025</v>
      </c>
      <c r="B4" s="72" t="s">
        <v>4026</v>
      </c>
      <c r="C4" s="72" t="s">
        <v>4027</v>
      </c>
      <c r="D4" s="72" t="s">
        <v>4028</v>
      </c>
      <c r="E4" s="72" t="s">
        <v>4029</v>
      </c>
    </row>
    <row r="5" spans="1:5" ht="60" customHeight="1">
      <c r="A5" s="71" t="s">
        <v>4030</v>
      </c>
      <c r="B5" s="71" t="s">
        <v>4031</v>
      </c>
      <c r="C5" s="71" t="s">
        <v>4032</v>
      </c>
      <c r="D5" s="71" t="s">
        <v>4033</v>
      </c>
      <c r="E5" s="71" t="s">
        <v>4034</v>
      </c>
    </row>
    <row r="6" spans="1:5" ht="60" customHeight="1">
      <c r="A6" s="72" t="s">
        <v>4035</v>
      </c>
      <c r="B6" s="72" t="s">
        <v>4036</v>
      </c>
      <c r="C6" s="72" t="s">
        <v>4037</v>
      </c>
      <c r="D6" s="72" t="s">
        <v>4038</v>
      </c>
      <c r="E6" s="72" t="s">
        <v>4039</v>
      </c>
    </row>
    <row r="7" spans="1:5" ht="60" customHeight="1">
      <c r="A7" s="71" t="s">
        <v>79</v>
      </c>
      <c r="B7" s="71" t="s">
        <v>4040</v>
      </c>
      <c r="C7" s="71" t="s">
        <v>4041</v>
      </c>
      <c r="D7" s="71" t="s">
        <v>4042</v>
      </c>
      <c r="E7" s="71" t="s">
        <v>4043</v>
      </c>
    </row>
    <row r="8" spans="1:5" ht="60" customHeight="1">
      <c r="A8" s="72" t="s">
        <v>4044</v>
      </c>
      <c r="B8" s="72" t="s">
        <v>4045</v>
      </c>
      <c r="C8" s="72" t="s">
        <v>4046</v>
      </c>
      <c r="D8" s="72" t="s">
        <v>4047</v>
      </c>
      <c r="E8" s="72" t="s">
        <v>4048</v>
      </c>
    </row>
    <row r="9" spans="1:5" ht="60" customHeight="1">
      <c r="A9" s="71" t="s">
        <v>4049</v>
      </c>
      <c r="B9" s="71" t="s">
        <v>4050</v>
      </c>
      <c r="C9" s="71" t="s">
        <v>4046</v>
      </c>
      <c r="D9" s="71" t="s">
        <v>4051</v>
      </c>
      <c r="E9" s="71" t="s">
        <v>4052</v>
      </c>
    </row>
    <row r="10" spans="1:5" ht="60" customHeight="1">
      <c r="A10" s="72" t="s">
        <v>4001</v>
      </c>
      <c r="B10" s="72" t="s">
        <v>4053</v>
      </c>
      <c r="C10" s="72" t="s">
        <v>4054</v>
      </c>
      <c r="D10" s="72" t="s">
        <v>4055</v>
      </c>
      <c r="E10" s="72" t="s">
        <v>4056</v>
      </c>
    </row>
    <row r="11" spans="1:5" ht="60" customHeight="1">
      <c r="A11" s="71" t="s">
        <v>4057</v>
      </c>
      <c r="B11" s="71" t="s">
        <v>4058</v>
      </c>
      <c r="C11" s="71" t="s">
        <v>4059</v>
      </c>
      <c r="D11" s="71" t="s">
        <v>4060</v>
      </c>
      <c r="E11" s="71" t="s">
        <v>4061</v>
      </c>
    </row>
    <row r="12" spans="1:5" ht="60" customHeight="1">
      <c r="A12" s="72" t="s">
        <v>4062</v>
      </c>
      <c r="B12" s="72" t="s">
        <v>4063</v>
      </c>
      <c r="C12" s="72" t="s">
        <v>4064</v>
      </c>
      <c r="D12" s="72" t="s">
        <v>4065</v>
      </c>
      <c r="E12" s="72" t="s">
        <v>4066</v>
      </c>
    </row>
    <row r="13" spans="1:5" ht="60" customHeight="1">
      <c r="A13" s="71" t="s">
        <v>4067</v>
      </c>
      <c r="B13" s="71" t="s">
        <v>4068</v>
      </c>
      <c r="C13" s="71" t="s">
        <v>4069</v>
      </c>
      <c r="D13" s="71" t="s">
        <v>4065</v>
      </c>
      <c r="E13" s="71" t="s">
        <v>4070</v>
      </c>
    </row>
    <row r="14" spans="1:5" ht="60" customHeight="1">
      <c r="A14" s="72" t="s">
        <v>4071</v>
      </c>
      <c r="B14" s="72" t="s">
        <v>4072</v>
      </c>
      <c r="C14" s="72" t="s">
        <v>4073</v>
      </c>
      <c r="D14" s="72" t="s">
        <v>4074</v>
      </c>
      <c r="E14" s="72" t="s">
        <v>4075</v>
      </c>
    </row>
    <row r="15" spans="1:5" ht="60" customHeight="1">
      <c r="A15" s="71" t="s">
        <v>4076</v>
      </c>
      <c r="B15" s="71" t="s">
        <v>4077</v>
      </c>
      <c r="C15" s="71" t="s">
        <v>4078</v>
      </c>
      <c r="D15" s="71" t="s">
        <v>4079</v>
      </c>
      <c r="E15" s="71" t="s">
        <v>4080</v>
      </c>
    </row>
    <row r="16" spans="1:5" ht="60" customHeight="1">
      <c r="A16" s="72" t="s">
        <v>4081</v>
      </c>
      <c r="B16" s="72" t="s">
        <v>4082</v>
      </c>
      <c r="C16" s="72" t="s">
        <v>4083</v>
      </c>
      <c r="D16" s="72" t="s">
        <v>4084</v>
      </c>
      <c r="E16" s="72" t="s">
        <v>4085</v>
      </c>
    </row>
    <row r="17" spans="1:5" ht="60" customHeight="1">
      <c r="A17" s="71" t="s">
        <v>4086</v>
      </c>
      <c r="B17" s="71" t="s">
        <v>4087</v>
      </c>
      <c r="C17" s="71" t="s">
        <v>4088</v>
      </c>
      <c r="D17" s="71" t="s">
        <v>4089</v>
      </c>
      <c r="E17" s="71" t="s">
        <v>4090</v>
      </c>
    </row>
    <row r="18" spans="1:5" ht="60" customHeight="1">
      <c r="A18" s="72" t="s">
        <v>4091</v>
      </c>
      <c r="B18" s="72" t="s">
        <v>4092</v>
      </c>
      <c r="C18" s="72" t="s">
        <v>4093</v>
      </c>
      <c r="D18" s="72" t="s">
        <v>4094</v>
      </c>
      <c r="E18" s="72" t="s">
        <v>4095</v>
      </c>
    </row>
    <row r="19" spans="1:5" ht="60" customHeight="1">
      <c r="A19" s="71" t="s">
        <v>48</v>
      </c>
      <c r="B19" s="71" t="s">
        <v>4096</v>
      </c>
      <c r="C19" s="71" t="s">
        <v>4097</v>
      </c>
      <c r="D19" s="71" t="s">
        <v>4098</v>
      </c>
      <c r="E19" s="71" t="s">
        <v>4099</v>
      </c>
    </row>
    <row r="20" spans="1:5" ht="60" customHeight="1">
      <c r="A20" s="72" t="s">
        <v>4100</v>
      </c>
      <c r="B20" s="72" t="s">
        <v>4101</v>
      </c>
      <c r="C20" s="72" t="s">
        <v>4102</v>
      </c>
      <c r="D20" s="72" t="s">
        <v>4103</v>
      </c>
      <c r="E20" s="72" t="s">
        <v>4104</v>
      </c>
    </row>
    <row r="21" spans="1:5" ht="60" customHeight="1">
      <c r="A21" s="71" t="s">
        <v>4105</v>
      </c>
      <c r="B21" s="71" t="s">
        <v>4106</v>
      </c>
      <c r="C21" s="71" t="s">
        <v>76</v>
      </c>
      <c r="D21" s="71" t="s">
        <v>4107</v>
      </c>
      <c r="E21" s="71" t="s">
        <v>4108</v>
      </c>
    </row>
    <row r="22" spans="1:5" ht="60" customHeight="1">
      <c r="A22" s="72" t="s">
        <v>4109</v>
      </c>
      <c r="B22" s="72" t="s">
        <v>4110</v>
      </c>
      <c r="C22" s="72" t="s">
        <v>4111</v>
      </c>
      <c r="D22" s="72" t="s">
        <v>4047</v>
      </c>
      <c r="E22" s="72" t="s">
        <v>4112</v>
      </c>
    </row>
    <row r="23" spans="1:5" ht="60" customHeight="1">
      <c r="A23" s="71" t="s">
        <v>4113</v>
      </c>
      <c r="B23" s="71" t="s">
        <v>4114</v>
      </c>
      <c r="C23" s="71" t="s">
        <v>4115</v>
      </c>
      <c r="D23" s="71" t="s">
        <v>4116</v>
      </c>
      <c r="E23" s="71" t="s">
        <v>4117</v>
      </c>
    </row>
    <row r="24" spans="1:5" ht="60" customHeight="1">
      <c r="A24" s="72" t="s">
        <v>4118</v>
      </c>
      <c r="B24" s="72" t="s">
        <v>4119</v>
      </c>
      <c r="C24" s="72" t="s">
        <v>4120</v>
      </c>
      <c r="D24" s="72" t="s">
        <v>4121</v>
      </c>
      <c r="E24" s="72" t="s">
        <v>4122</v>
      </c>
    </row>
    <row r="25" spans="1:5" ht="60" customHeight="1">
      <c r="A25" s="71" t="s">
        <v>4123</v>
      </c>
      <c r="B25" s="71" t="s">
        <v>4124</v>
      </c>
      <c r="C25" s="71" t="s">
        <v>4125</v>
      </c>
      <c r="D25" s="71" t="s">
        <v>4126</v>
      </c>
      <c r="E25" s="71" t="s">
        <v>4127</v>
      </c>
    </row>
    <row r="26" spans="1:5" ht="60" customHeight="1">
      <c r="A26" s="72" t="s">
        <v>2904</v>
      </c>
      <c r="B26" s="72" t="s">
        <v>4128</v>
      </c>
      <c r="C26" s="72" t="s">
        <v>4129</v>
      </c>
      <c r="D26" s="72" t="s">
        <v>4130</v>
      </c>
      <c r="E26" s="72" t="s">
        <v>4131</v>
      </c>
    </row>
    <row r="27" spans="1:5" ht="60" customHeight="1">
      <c r="A27" s="71" t="s">
        <v>4132</v>
      </c>
      <c r="B27" s="71" t="s">
        <v>4133</v>
      </c>
      <c r="C27" s="71" t="s">
        <v>4134</v>
      </c>
      <c r="D27" s="71" t="s">
        <v>4135</v>
      </c>
      <c r="E27" s="71" t="s">
        <v>4136</v>
      </c>
    </row>
    <row r="28" spans="1:5" ht="60" customHeight="1">
      <c r="A28" s="72" t="s">
        <v>4137</v>
      </c>
      <c r="B28" s="72" t="s">
        <v>4138</v>
      </c>
      <c r="C28" s="72" t="s">
        <v>4139</v>
      </c>
      <c r="D28" s="72" t="s">
        <v>4140</v>
      </c>
      <c r="E28" s="72" t="s">
        <v>4141</v>
      </c>
    </row>
    <row r="29" spans="1:5" ht="60" customHeight="1">
      <c r="A29" s="71" t="s">
        <v>4142</v>
      </c>
      <c r="B29" s="71" t="s">
        <v>4143</v>
      </c>
      <c r="C29" s="71" t="s">
        <v>4144</v>
      </c>
      <c r="D29" s="71" t="s">
        <v>4145</v>
      </c>
      <c r="E29" s="71" t="s">
        <v>4146</v>
      </c>
    </row>
    <row r="30" spans="1:5" ht="60" customHeight="1">
      <c r="A30" s="72" t="s">
        <v>4147</v>
      </c>
      <c r="B30" s="72" t="s">
        <v>4148</v>
      </c>
      <c r="C30" s="72" t="s">
        <v>4149</v>
      </c>
      <c r="D30" s="72" t="s">
        <v>4150</v>
      </c>
      <c r="E30" s="72" t="s">
        <v>4151</v>
      </c>
    </row>
    <row r="31" spans="1:5" ht="60" customHeight="1">
      <c r="A31" s="71" t="s">
        <v>4152</v>
      </c>
      <c r="B31" s="71" t="s">
        <v>4153</v>
      </c>
      <c r="C31" s="71" t="s">
        <v>4154</v>
      </c>
      <c r="D31" s="71" t="s">
        <v>4155</v>
      </c>
      <c r="E31" s="71" t="s">
        <v>4156</v>
      </c>
    </row>
    <row r="32" spans="1:5" ht="60" customHeight="1">
      <c r="A32" s="72" t="s">
        <v>4157</v>
      </c>
      <c r="B32" s="72" t="s">
        <v>4158</v>
      </c>
      <c r="C32" s="72" t="s">
        <v>4159</v>
      </c>
      <c r="D32" s="72" t="s">
        <v>4065</v>
      </c>
      <c r="E32" s="72" t="s">
        <v>4160</v>
      </c>
    </row>
    <row r="33" spans="1:5" ht="60" customHeight="1">
      <c r="A33" s="71" t="s">
        <v>4161</v>
      </c>
      <c r="B33" s="71" t="s">
        <v>4162</v>
      </c>
      <c r="C33" s="71" t="s">
        <v>4163</v>
      </c>
      <c r="D33" s="71" t="s">
        <v>4164</v>
      </c>
      <c r="E33" s="71" t="s">
        <v>4165</v>
      </c>
    </row>
    <row r="34" spans="1:5" ht="60" customHeight="1">
      <c r="A34" s="72" t="s">
        <v>4166</v>
      </c>
      <c r="B34" s="72" t="s">
        <v>4167</v>
      </c>
      <c r="C34" s="72" t="s">
        <v>4168</v>
      </c>
      <c r="D34" s="72" t="s">
        <v>4065</v>
      </c>
      <c r="E34" s="72" t="s">
        <v>4169</v>
      </c>
    </row>
    <row r="35" spans="1:5" ht="60" customHeight="1">
      <c r="A35" s="71" t="s">
        <v>4170</v>
      </c>
      <c r="B35" s="71" t="s">
        <v>4171</v>
      </c>
      <c r="C35" s="71" t="s">
        <v>4172</v>
      </c>
      <c r="D35" s="71" t="s">
        <v>4173</v>
      </c>
      <c r="E35" s="71" t="s">
        <v>4174</v>
      </c>
    </row>
    <row r="36" spans="1:5" ht="60" customHeight="1">
      <c r="A36" s="72" t="s">
        <v>4175</v>
      </c>
      <c r="B36" s="72" t="s">
        <v>4176</v>
      </c>
      <c r="C36" s="72" t="s">
        <v>4172</v>
      </c>
      <c r="D36" s="72" t="s">
        <v>4173</v>
      </c>
      <c r="E36" s="72" t="s">
        <v>4177</v>
      </c>
    </row>
    <row r="37" spans="1:5" ht="60" customHeight="1">
      <c r="A37" s="71" t="s">
        <v>4178</v>
      </c>
      <c r="B37" s="71" t="s">
        <v>4179</v>
      </c>
      <c r="C37" s="71" t="s">
        <v>4172</v>
      </c>
      <c r="D37" s="71" t="s">
        <v>4173</v>
      </c>
      <c r="E37" s="71" t="s">
        <v>4180</v>
      </c>
    </row>
    <row r="38" spans="1:5" ht="60" customHeight="1">
      <c r="A38" s="72" t="s">
        <v>4181</v>
      </c>
      <c r="B38" s="72" t="s">
        <v>4182</v>
      </c>
      <c r="C38" s="72" t="s">
        <v>4172</v>
      </c>
      <c r="D38" s="72" t="s">
        <v>4173</v>
      </c>
      <c r="E38" s="72" t="s">
        <v>4183</v>
      </c>
    </row>
    <row r="39" spans="1:5" ht="60" customHeight="1">
      <c r="A39" s="71" t="s">
        <v>4184</v>
      </c>
      <c r="B39" s="71" t="s">
        <v>4185</v>
      </c>
      <c r="C39" s="71" t="s">
        <v>4172</v>
      </c>
      <c r="D39" s="71" t="s">
        <v>4173</v>
      </c>
      <c r="E39" s="71" t="s">
        <v>4186</v>
      </c>
    </row>
    <row r="40" spans="1:5" ht="60" customHeight="1">
      <c r="A40" s="72" t="s">
        <v>4187</v>
      </c>
      <c r="B40" s="72" t="s">
        <v>4188</v>
      </c>
      <c r="C40" s="72" t="s">
        <v>4172</v>
      </c>
      <c r="D40" s="72" t="s">
        <v>4173</v>
      </c>
      <c r="E40" s="72" t="s">
        <v>4189</v>
      </c>
    </row>
    <row r="41" spans="1:5" ht="60" customHeight="1">
      <c r="A41" s="71" t="s">
        <v>4190</v>
      </c>
      <c r="B41" s="71" t="s">
        <v>4191</v>
      </c>
      <c r="C41" s="71" t="s">
        <v>4192</v>
      </c>
      <c r="D41" s="71" t="s">
        <v>4193</v>
      </c>
      <c r="E41" s="71" t="s">
        <v>4194</v>
      </c>
    </row>
    <row r="42" spans="1:5" ht="60" customHeight="1">
      <c r="A42" s="72" t="s">
        <v>4195</v>
      </c>
      <c r="B42" s="72" t="s">
        <v>4196</v>
      </c>
      <c r="C42" s="72" t="s">
        <v>4192</v>
      </c>
      <c r="D42" s="72" t="s">
        <v>4193</v>
      </c>
      <c r="E42" s="72" t="s">
        <v>4197</v>
      </c>
    </row>
    <row r="43" spans="1:5" ht="60" customHeight="1">
      <c r="A43" s="71" t="s">
        <v>4198</v>
      </c>
      <c r="B43" s="71" t="s">
        <v>4199</v>
      </c>
      <c r="C43" s="71" t="s">
        <v>4192</v>
      </c>
      <c r="D43" s="71" t="s">
        <v>4193</v>
      </c>
      <c r="E43" s="71" t="s">
        <v>4200</v>
      </c>
    </row>
    <row r="44" spans="1:5" ht="60" customHeight="1">
      <c r="A44" s="72" t="s">
        <v>4201</v>
      </c>
      <c r="B44" s="72" t="s">
        <v>4202</v>
      </c>
      <c r="C44" s="72" t="s">
        <v>4192</v>
      </c>
      <c r="D44" s="72" t="s">
        <v>4203</v>
      </c>
      <c r="E44" s="72" t="s">
        <v>4204</v>
      </c>
    </row>
    <row r="45" spans="1:5" ht="60" customHeight="1">
      <c r="A45" s="71" t="s">
        <v>4205</v>
      </c>
      <c r="B45" s="71" t="s">
        <v>4206</v>
      </c>
      <c r="C45" s="71" t="s">
        <v>4207</v>
      </c>
      <c r="D45" s="71" t="s">
        <v>4098</v>
      </c>
      <c r="E45" s="71" t="s">
        <v>4208</v>
      </c>
    </row>
    <row r="46" spans="1:5" ht="60" customHeight="1">
      <c r="A46" s="72" t="s">
        <v>4209</v>
      </c>
      <c r="B46" s="72" t="s">
        <v>4210</v>
      </c>
      <c r="C46" s="72" t="s">
        <v>4211</v>
      </c>
      <c r="D46" s="72" t="s">
        <v>4212</v>
      </c>
      <c r="E46" s="72" t="s">
        <v>4213</v>
      </c>
    </row>
    <row r="47" spans="1:5" ht="60" customHeight="1">
      <c r="A47" s="71" t="s">
        <v>4214</v>
      </c>
      <c r="B47" s="71" t="s">
        <v>4215</v>
      </c>
      <c r="C47" s="71" t="s">
        <v>4216</v>
      </c>
      <c r="D47" s="71" t="s">
        <v>4217</v>
      </c>
      <c r="E47" s="71" t="s">
        <v>4218</v>
      </c>
    </row>
    <row r="48" spans="1:5" ht="60" customHeight="1">
      <c r="A48" s="72" t="s">
        <v>4219</v>
      </c>
      <c r="B48" s="72" t="s">
        <v>4220</v>
      </c>
      <c r="C48" s="72" t="s">
        <v>4221</v>
      </c>
      <c r="D48" s="72" t="s">
        <v>4222</v>
      </c>
      <c r="E48" s="72" t="s">
        <v>4223</v>
      </c>
    </row>
    <row r="49" spans="1:5" ht="60" customHeight="1">
      <c r="A49" s="71" t="s">
        <v>4224</v>
      </c>
      <c r="B49" s="71" t="s">
        <v>4225</v>
      </c>
      <c r="C49" s="71" t="s">
        <v>4226</v>
      </c>
      <c r="D49" s="71" t="s">
        <v>4047</v>
      </c>
      <c r="E49" s="71" t="s">
        <v>4227</v>
      </c>
    </row>
    <row r="50" spans="1:5" ht="60" customHeight="1">
      <c r="A50" s="72" t="s">
        <v>4228</v>
      </c>
      <c r="B50" s="72" t="s">
        <v>4229</v>
      </c>
      <c r="C50" s="72" t="s">
        <v>4230</v>
      </c>
      <c r="D50" s="72" t="s">
        <v>4231</v>
      </c>
      <c r="E50" s="72" t="s">
        <v>4232</v>
      </c>
    </row>
    <row r="51" spans="1:5" ht="60" customHeight="1">
      <c r="A51" s="71" t="s">
        <v>4233</v>
      </c>
      <c r="B51" s="71" t="s">
        <v>4234</v>
      </c>
      <c r="C51" s="71" t="s">
        <v>4235</v>
      </c>
      <c r="D51" s="71" t="s">
        <v>4236</v>
      </c>
      <c r="E51" s="71" t="s">
        <v>4237</v>
      </c>
    </row>
    <row r="52" spans="1:5" ht="60" customHeight="1">
      <c r="A52" s="72" t="s">
        <v>4238</v>
      </c>
      <c r="B52" s="72" t="s">
        <v>4239</v>
      </c>
      <c r="C52" s="72" t="s">
        <v>4240</v>
      </c>
      <c r="D52" s="72" t="s">
        <v>4241</v>
      </c>
      <c r="E52" s="72" t="s">
        <v>4242</v>
      </c>
    </row>
    <row r="53" spans="1:5" ht="60" customHeight="1">
      <c r="A53" s="71" t="s">
        <v>4243</v>
      </c>
      <c r="B53" s="71" t="s">
        <v>4244</v>
      </c>
      <c r="C53" s="71" t="s">
        <v>4245</v>
      </c>
      <c r="D53" s="71" t="s">
        <v>4246</v>
      </c>
      <c r="E53" s="71" t="s">
        <v>4247</v>
      </c>
    </row>
    <row r="54" spans="1:5" ht="60" customHeight="1">
      <c r="A54" s="72" t="s">
        <v>4248</v>
      </c>
      <c r="B54" s="72" t="s">
        <v>4249</v>
      </c>
      <c r="C54" s="72" t="s">
        <v>4250</v>
      </c>
      <c r="D54" s="72" t="s">
        <v>4251</v>
      </c>
      <c r="E54" s="72" t="s">
        <v>4252</v>
      </c>
    </row>
    <row r="55" spans="1:5" ht="60" customHeight="1">
      <c r="A55" s="71" t="s">
        <v>93</v>
      </c>
      <c r="B55" s="71" t="s">
        <v>4253</v>
      </c>
      <c r="C55" s="71" t="s">
        <v>4254</v>
      </c>
      <c r="D55" s="71" t="s">
        <v>4222</v>
      </c>
      <c r="E55" s="71" t="s">
        <v>4255</v>
      </c>
    </row>
    <row r="56" spans="1:5" ht="60" customHeight="1">
      <c r="A56" s="72" t="s">
        <v>4256</v>
      </c>
      <c r="B56" s="72" t="s">
        <v>4257</v>
      </c>
      <c r="C56" s="72" t="s">
        <v>4022</v>
      </c>
      <c r="D56" s="72" t="s">
        <v>4038</v>
      </c>
      <c r="E56" s="72" t="s">
        <v>4258</v>
      </c>
    </row>
    <row r="57" spans="1:5" ht="60" customHeight="1">
      <c r="A57" s="71" t="s">
        <v>4259</v>
      </c>
      <c r="B57" s="71" t="s">
        <v>4260</v>
      </c>
      <c r="C57" s="71" t="s">
        <v>4261</v>
      </c>
      <c r="D57" s="71" t="s">
        <v>4262</v>
      </c>
      <c r="E57" s="71" t="s">
        <v>4263</v>
      </c>
    </row>
    <row r="58" spans="1:5" ht="60" customHeight="1">
      <c r="A58" s="72" t="s">
        <v>4264</v>
      </c>
      <c r="B58" s="72" t="s">
        <v>4265</v>
      </c>
      <c r="C58" s="72" t="s">
        <v>4266</v>
      </c>
      <c r="D58" s="72" t="s">
        <v>4065</v>
      </c>
      <c r="E58" s="72" t="s">
        <v>4267</v>
      </c>
    </row>
    <row r="59" spans="1:5" ht="60" customHeight="1">
      <c r="A59" s="71" t="s">
        <v>4268</v>
      </c>
      <c r="B59" s="71" t="s">
        <v>4269</v>
      </c>
      <c r="C59" s="71" t="s">
        <v>4270</v>
      </c>
      <c r="D59" s="71" t="s">
        <v>4271</v>
      </c>
      <c r="E59" s="71" t="s">
        <v>4272</v>
      </c>
    </row>
    <row r="60" spans="1:5" ht="60" customHeight="1">
      <c r="A60" s="72"/>
      <c r="B60" s="72"/>
      <c r="C60" s="72"/>
      <c r="D60" s="72"/>
      <c r="E60" s="72"/>
    </row>
    <row r="61" spans="1:5" ht="60" customHeight="1">
      <c r="A61" s="71" t="s">
        <v>4273</v>
      </c>
      <c r="B61" s="71" t="s">
        <v>7</v>
      </c>
      <c r="C61" s="71" t="s">
        <v>4274</v>
      </c>
      <c r="D61" s="71" t="s">
        <v>4275</v>
      </c>
      <c r="E61" s="71" t="s">
        <v>3270</v>
      </c>
    </row>
    <row r="62" spans="1:5" ht="60" customHeight="1">
      <c r="A62" s="72" t="s">
        <v>4276</v>
      </c>
      <c r="B62" s="74">
        <v>0</v>
      </c>
      <c r="C62" s="72" t="s">
        <v>4277</v>
      </c>
      <c r="D62" s="72" t="s">
        <v>4278</v>
      </c>
      <c r="E62" s="72" t="s">
        <v>4279</v>
      </c>
    </row>
    <row r="63" spans="1:5" ht="60" customHeight="1">
      <c r="A63" s="71" t="s">
        <v>4280</v>
      </c>
      <c r="B63" s="73">
        <v>0</v>
      </c>
      <c r="C63" s="71" t="s">
        <v>4277</v>
      </c>
      <c r="D63" s="71" t="s">
        <v>4278</v>
      </c>
      <c r="E63" s="71" t="s">
        <v>4281</v>
      </c>
    </row>
    <row r="64" spans="1:5" ht="60" customHeight="1">
      <c r="A64" s="72" t="s">
        <v>4282</v>
      </c>
      <c r="B64" s="74">
        <v>0</v>
      </c>
      <c r="C64" s="72" t="s">
        <v>4277</v>
      </c>
      <c r="D64" s="72" t="s">
        <v>4278</v>
      </c>
      <c r="E64" s="72" t="s">
        <v>4283</v>
      </c>
    </row>
    <row r="65" spans="1:5" ht="60" customHeight="1">
      <c r="A65" s="71" t="s">
        <v>4284</v>
      </c>
      <c r="B65" s="73">
        <v>0</v>
      </c>
      <c r="C65" s="71" t="s">
        <v>4277</v>
      </c>
      <c r="D65" s="71" t="s">
        <v>4285</v>
      </c>
      <c r="E65" s="71" t="s">
        <v>4286</v>
      </c>
    </row>
    <row r="66" spans="1:5" ht="60" customHeight="1">
      <c r="A66" s="72" t="s">
        <v>4287</v>
      </c>
      <c r="B66" s="74">
        <v>165</v>
      </c>
      <c r="C66" s="72" t="s">
        <v>4277</v>
      </c>
      <c r="D66" s="72" t="s">
        <v>4288</v>
      </c>
      <c r="E66" s="72" t="s">
        <v>4289</v>
      </c>
    </row>
    <row r="67" spans="1:5" ht="60" customHeight="1">
      <c r="A67" s="71" t="s">
        <v>4290</v>
      </c>
      <c r="B67" s="73">
        <v>10</v>
      </c>
      <c r="C67" s="71" t="s">
        <v>4277</v>
      </c>
      <c r="D67" s="71" t="s">
        <v>4288</v>
      </c>
      <c r="E67" s="71" t="s">
        <v>4289</v>
      </c>
    </row>
    <row r="68" spans="1:5" ht="60" customHeight="1">
      <c r="A68" s="72" t="s">
        <v>4291</v>
      </c>
      <c r="B68" s="74">
        <v>149938</v>
      </c>
      <c r="C68" s="72" t="s">
        <v>4292</v>
      </c>
      <c r="D68" s="72" t="s">
        <v>4293</v>
      </c>
      <c r="E68" s="72" t="s">
        <v>4294</v>
      </c>
    </row>
    <row r="69" spans="1:5" ht="60" customHeight="1">
      <c r="A69" s="71" t="s">
        <v>4295</v>
      </c>
      <c r="B69" s="73">
        <v>83497</v>
      </c>
      <c r="C69" s="71" t="s">
        <v>4296</v>
      </c>
      <c r="D69" s="71" t="s">
        <v>4293</v>
      </c>
      <c r="E69" s="71" t="s">
        <v>4297</v>
      </c>
    </row>
    <row r="70" spans="1:5" ht="60" customHeight="1">
      <c r="A70" s="72" t="s">
        <v>4298</v>
      </c>
      <c r="B70" s="74">
        <v>805</v>
      </c>
      <c r="C70" s="72" t="s">
        <v>4299</v>
      </c>
      <c r="D70" s="72" t="s">
        <v>4293</v>
      </c>
      <c r="E70" s="72" t="s">
        <v>4300</v>
      </c>
    </row>
    <row r="71" spans="1:5" ht="60" customHeight="1">
      <c r="A71" s="71" t="s">
        <v>4301</v>
      </c>
      <c r="B71" s="73">
        <v>800</v>
      </c>
      <c r="C71" s="71" t="s">
        <v>4296</v>
      </c>
      <c r="D71" s="71" t="s">
        <v>4302</v>
      </c>
      <c r="E71" s="71" t="s">
        <v>4303</v>
      </c>
    </row>
    <row r="72" spans="1:5" ht="60" customHeight="1">
      <c r="A72" s="72" t="s">
        <v>4304</v>
      </c>
      <c r="B72" s="74">
        <v>5</v>
      </c>
      <c r="C72" s="72" t="s">
        <v>4305</v>
      </c>
      <c r="D72" s="72" t="s">
        <v>4302</v>
      </c>
      <c r="E72" s="72" t="s">
        <v>4306</v>
      </c>
    </row>
    <row r="73" spans="1:5" ht="60" customHeight="1">
      <c r="A73" s="71" t="s">
        <v>4307</v>
      </c>
      <c r="B73" s="73">
        <v>50</v>
      </c>
      <c r="C73" s="71" t="s">
        <v>4308</v>
      </c>
      <c r="D73" s="71" t="s">
        <v>4309</v>
      </c>
      <c r="E73" s="71" t="s">
        <v>4310</v>
      </c>
    </row>
    <row r="74" spans="1:5" ht="60" customHeight="1">
      <c r="A74" s="72"/>
      <c r="B74" s="72"/>
      <c r="C74" s="72"/>
      <c r="D74" s="72"/>
      <c r="E74" s="72"/>
    </row>
    <row r="75" spans="1:5" ht="60" customHeight="1">
      <c r="A75" s="71"/>
      <c r="B75" s="71"/>
      <c r="C75" s="71"/>
      <c r="D75" s="71"/>
      <c r="E75" s="71"/>
    </row>
    <row r="76" spans="1:5" ht="60" customHeight="1">
      <c r="A76" s="72" t="s">
        <v>4311</v>
      </c>
      <c r="B76" s="72" t="s">
        <v>3416</v>
      </c>
      <c r="C76" s="72" t="s">
        <v>4312</v>
      </c>
      <c r="D76" s="72" t="s">
        <v>4313</v>
      </c>
      <c r="E76" s="72" t="s">
        <v>4314</v>
      </c>
    </row>
    <row r="77" spans="1:5" ht="60" customHeight="1">
      <c r="A77" s="71" t="s">
        <v>4311</v>
      </c>
      <c r="B77" s="71" t="s">
        <v>3509</v>
      </c>
      <c r="C77" s="71" t="s">
        <v>4312</v>
      </c>
      <c r="D77" s="71" t="s">
        <v>4313</v>
      </c>
      <c r="E77" s="71" t="s">
        <v>4314</v>
      </c>
    </row>
    <row r="78" spans="1:5" ht="60" customHeight="1">
      <c r="A78" s="72" t="s">
        <v>4311</v>
      </c>
      <c r="B78" s="72" t="s">
        <v>3581</v>
      </c>
      <c r="C78" s="72" t="s">
        <v>4312</v>
      </c>
      <c r="D78" s="72" t="s">
        <v>4313</v>
      </c>
      <c r="E78" s="72" t="s">
        <v>4314</v>
      </c>
    </row>
    <row r="79" spans="1:5" ht="60" customHeight="1">
      <c r="A79" s="71" t="s">
        <v>4311</v>
      </c>
      <c r="B79" s="71" t="s">
        <v>3582</v>
      </c>
      <c r="C79" s="71" t="s">
        <v>4312</v>
      </c>
      <c r="D79" s="71" t="s">
        <v>4313</v>
      </c>
      <c r="E79" s="71" t="s">
        <v>4314</v>
      </c>
    </row>
    <row r="80" spans="1:5" ht="60" customHeight="1">
      <c r="A80" s="72" t="s">
        <v>4311</v>
      </c>
      <c r="B80" s="72" t="s">
        <v>3985</v>
      </c>
      <c r="C80" s="72" t="s">
        <v>4312</v>
      </c>
      <c r="D80" s="72" t="s">
        <v>4313</v>
      </c>
      <c r="E80" s="72" t="s">
        <v>4314</v>
      </c>
    </row>
    <row r="81" spans="1:5" ht="60" customHeight="1">
      <c r="A81" s="71"/>
      <c r="B81" s="71"/>
      <c r="C81" s="71"/>
      <c r="D81" s="71"/>
      <c r="E81" s="71"/>
    </row>
    <row r="82" spans="1:5" ht="60" customHeight="1">
      <c r="A82" s="72"/>
      <c r="B82" s="72"/>
      <c r="C82" s="72"/>
      <c r="D82" s="72"/>
      <c r="E82" s="72"/>
    </row>
    <row r="83" spans="1:5" ht="60" customHeight="1">
      <c r="A83" s="71" t="s">
        <v>4315</v>
      </c>
      <c r="B83" s="89" t="str">
        <f>HYPERLINK("https://bonduelleprd.sharepoint.com/sites/bsl-all-coswin/_layouts/15/Doc.aspx?sourcedoc=%7B4AF2E33A-EB15-4BD1-BAE7-6D16C48763C0%7D&amp;file=Formulaire%20demande%20de%20cr%C3%A9ation%20article%20COSWIN%20-%20Copy.xlsx&amp;action=default&amp;mobileredirect=true","Formulaire source — lecture uniquement")</f>
        <v>Formulaire source — lecture uniquement</v>
      </c>
      <c r="C83" s="71"/>
      <c r="D83" s="71"/>
      <c r="E83" s="71"/>
    </row>
    <row r="84" spans="1:5" ht="60" customHeight="1">
      <c r="A84" s="72" t="s">
        <v>4316</v>
      </c>
      <c r="B84" s="90" t="str">
        <f>HYPERLINK("https://bonduelleprd.sharepoint.com/sites/stg-gsv-fra-cellulereferentiellegmao/Shared%20Documents/Donn%C3%A9es%20assistant%20de%20cr%C3%A9ation/Fichier%20de%20v%C3%A9rification%20IA","Dossier de livraison demandé")</f>
        <v>Dossier de livraison demandé</v>
      </c>
      <c r="C84" s="72"/>
      <c r="D84" s="72"/>
      <c r="E84" s="72"/>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F8759-27D5-404D-BC88-53642D1D7F28}">
  <dimension ref="A1:G52"/>
  <sheetViews>
    <sheetView workbookViewId="0">
      <pane ySplit="2" topLeftCell="A3" activePane="bottomLeft" state="frozen"/>
      <selection pane="bottomLeft"/>
    </sheetView>
  </sheetViews>
  <sheetFormatPr defaultRowHeight="15"/>
  <cols>
    <col min="1" max="1" width="34.7109375" customWidth="1"/>
    <col min="2" max="2" width="18.7109375" customWidth="1"/>
    <col min="3" max="3" width="70.7109375" customWidth="1"/>
    <col min="4" max="5" width="110.7109375" customWidth="1"/>
    <col min="6" max="6" width="75.7109375" customWidth="1"/>
    <col min="7" max="7" width="80.7109375" customWidth="1"/>
  </cols>
  <sheetData>
    <row r="1" spans="1:7" ht="30" customHeight="1">
      <c r="A1" s="94" t="s">
        <v>4317</v>
      </c>
      <c r="B1" s="94"/>
      <c r="C1" s="94"/>
      <c r="D1" s="94"/>
      <c r="E1" s="94"/>
      <c r="F1" s="94"/>
      <c r="G1" s="94"/>
    </row>
    <row r="2" spans="1:7" ht="42" customHeight="1">
      <c r="A2" s="63" t="s">
        <v>4318</v>
      </c>
      <c r="B2" s="63" t="s">
        <v>4319</v>
      </c>
      <c r="C2" s="63" t="s">
        <v>4320</v>
      </c>
      <c r="D2" s="63" t="s">
        <v>4321</v>
      </c>
      <c r="E2" s="63" t="s">
        <v>4322</v>
      </c>
      <c r="F2" s="63" t="s">
        <v>4323</v>
      </c>
      <c r="G2" s="63" t="s">
        <v>4324</v>
      </c>
    </row>
    <row r="3" spans="1:7" ht="38.25" customHeight="1">
      <c r="A3" s="71" t="s">
        <v>4002</v>
      </c>
      <c r="B3" s="71" t="s">
        <v>4325</v>
      </c>
      <c r="C3" s="71" t="s">
        <v>166</v>
      </c>
      <c r="D3" s="89" t="str">
        <f t="shared" ref="D3:D34" si="0">IF(F3="",E3,HYPERLINK(F3,"OUVRIR LE DOCUMENT D ORIGINE"))</f>
        <v>OUVRIR LE DOCUMENT D ORIGINE</v>
      </c>
      <c r="E3" s="71" t="s">
        <v>4326</v>
      </c>
      <c r="F3" s="71" t="s">
        <v>4326</v>
      </c>
      <c r="G3" s="71" t="s">
        <v>4327</v>
      </c>
    </row>
    <row r="4" spans="1:7" ht="38.25" customHeight="1">
      <c r="A4" s="71" t="s">
        <v>4002</v>
      </c>
      <c r="B4" s="71" t="s">
        <v>4328</v>
      </c>
      <c r="C4" s="71" t="s">
        <v>166</v>
      </c>
      <c r="D4" s="89" t="str">
        <f t="shared" si="0"/>
        <v>OUVRIR LE DOCUMENT D ORIGINE</v>
      </c>
      <c r="E4" s="71" t="s">
        <v>4326</v>
      </c>
      <c r="F4" s="71" t="s">
        <v>4326</v>
      </c>
      <c r="G4" s="71" t="s">
        <v>4327</v>
      </c>
    </row>
    <row r="5" spans="1:7" ht="38.25" customHeight="1">
      <c r="A5" s="71" t="s">
        <v>4002</v>
      </c>
      <c r="B5" s="71" t="s">
        <v>4329</v>
      </c>
      <c r="C5" s="71" t="s">
        <v>536</v>
      </c>
      <c r="D5" s="89" t="str">
        <f t="shared" si="0"/>
        <v>OUVRIR LE DOCUMENT D ORIGINE</v>
      </c>
      <c r="E5" s="71" t="s">
        <v>4330</v>
      </c>
      <c r="F5" s="71" t="s">
        <v>4330</v>
      </c>
      <c r="G5" s="71" t="s">
        <v>4327</v>
      </c>
    </row>
    <row r="6" spans="1:7" ht="38.25" customHeight="1">
      <c r="A6" s="71" t="s">
        <v>4002</v>
      </c>
      <c r="B6" s="71" t="s">
        <v>4331</v>
      </c>
      <c r="C6" s="71" t="s">
        <v>185</v>
      </c>
      <c r="D6" s="89" t="str">
        <f t="shared" si="0"/>
        <v>OUVRIR LE DOCUMENT D ORIGINE</v>
      </c>
      <c r="E6" s="71" t="s">
        <v>4332</v>
      </c>
      <c r="F6" s="71" t="s">
        <v>4332</v>
      </c>
      <c r="G6" s="71" t="s">
        <v>4327</v>
      </c>
    </row>
    <row r="7" spans="1:7" ht="38.25" customHeight="1">
      <c r="A7" s="71" t="s">
        <v>4002</v>
      </c>
      <c r="B7" s="71" t="s">
        <v>4333</v>
      </c>
      <c r="C7" s="71" t="s">
        <v>185</v>
      </c>
      <c r="D7" s="89" t="str">
        <f t="shared" si="0"/>
        <v>OUVRIR LE DOCUMENT D ORIGINE</v>
      </c>
      <c r="E7" s="71" t="s">
        <v>4334</v>
      </c>
      <c r="F7" s="71" t="s">
        <v>4334</v>
      </c>
      <c r="G7" s="71" t="s">
        <v>4327</v>
      </c>
    </row>
    <row r="8" spans="1:7" ht="38.25" customHeight="1">
      <c r="A8" s="71" t="s">
        <v>4002</v>
      </c>
      <c r="B8" s="71" t="s">
        <v>4335</v>
      </c>
      <c r="C8" s="71" t="s">
        <v>185</v>
      </c>
      <c r="D8" s="89" t="str">
        <f t="shared" si="0"/>
        <v>OUVRIR LE DOCUMENT D ORIGINE</v>
      </c>
      <c r="E8" s="71" t="s">
        <v>4334</v>
      </c>
      <c r="F8" s="71" t="s">
        <v>4334</v>
      </c>
      <c r="G8" s="71" t="s">
        <v>4327</v>
      </c>
    </row>
    <row r="9" spans="1:7" ht="38.25" customHeight="1">
      <c r="A9" s="71" t="s">
        <v>4002</v>
      </c>
      <c r="B9" s="71" t="s">
        <v>4336</v>
      </c>
      <c r="C9" s="71" t="s">
        <v>700</v>
      </c>
      <c r="D9" s="89" t="str">
        <f t="shared" si="0"/>
        <v>OUVRIR LE DOCUMENT D ORIGINE</v>
      </c>
      <c r="E9" s="71" t="s">
        <v>4337</v>
      </c>
      <c r="F9" s="71" t="s">
        <v>4337</v>
      </c>
      <c r="G9" s="71" t="s">
        <v>4327</v>
      </c>
    </row>
    <row r="10" spans="1:7" ht="38.25" customHeight="1">
      <c r="A10" s="71" t="s">
        <v>4002</v>
      </c>
      <c r="B10" s="71" t="s">
        <v>4338</v>
      </c>
      <c r="C10" s="71" t="s">
        <v>725</v>
      </c>
      <c r="D10" s="89" t="str">
        <f t="shared" si="0"/>
        <v>OUVRIR LE DOCUMENT D ORIGINE</v>
      </c>
      <c r="E10" s="71" t="s">
        <v>4339</v>
      </c>
      <c r="F10" s="71" t="s">
        <v>4339</v>
      </c>
      <c r="G10" s="71" t="s">
        <v>4327</v>
      </c>
    </row>
    <row r="11" spans="1:7" ht="38.25" customHeight="1">
      <c r="A11" s="71" t="s">
        <v>4002</v>
      </c>
      <c r="B11" s="71" t="s">
        <v>4340</v>
      </c>
      <c r="C11" s="71" t="s">
        <v>725</v>
      </c>
      <c r="D11" s="89" t="str">
        <f t="shared" si="0"/>
        <v>OUVRIR LE DOCUMENT D ORIGINE</v>
      </c>
      <c r="E11" s="71" t="s">
        <v>4339</v>
      </c>
      <c r="F11" s="71" t="s">
        <v>4339</v>
      </c>
      <c r="G11" s="71" t="s">
        <v>4327</v>
      </c>
    </row>
    <row r="12" spans="1:7" ht="38.25" customHeight="1">
      <c r="A12" s="71" t="s">
        <v>4002</v>
      </c>
      <c r="B12" s="71" t="s">
        <v>4341</v>
      </c>
      <c r="C12" s="71" t="s">
        <v>730</v>
      </c>
      <c r="D12" s="89" t="str">
        <f t="shared" si="0"/>
        <v>OUVRIR LE DOCUMENT D ORIGINE</v>
      </c>
      <c r="E12" s="71" t="s">
        <v>4342</v>
      </c>
      <c r="F12" s="71" t="s">
        <v>4342</v>
      </c>
      <c r="G12" s="71" t="s">
        <v>4327</v>
      </c>
    </row>
    <row r="13" spans="1:7" ht="38.25" customHeight="1">
      <c r="A13" s="71" t="s">
        <v>4002</v>
      </c>
      <c r="B13" s="71" t="s">
        <v>4343</v>
      </c>
      <c r="C13" s="71" t="s">
        <v>730</v>
      </c>
      <c r="D13" s="89" t="str">
        <f t="shared" si="0"/>
        <v>OUVRIR LE DOCUMENT D ORIGINE</v>
      </c>
      <c r="E13" s="71" t="s">
        <v>4342</v>
      </c>
      <c r="F13" s="71" t="s">
        <v>4342</v>
      </c>
      <c r="G13" s="71" t="s">
        <v>4327</v>
      </c>
    </row>
    <row r="14" spans="1:7" ht="38.25" customHeight="1">
      <c r="A14" s="71" t="s">
        <v>4002</v>
      </c>
      <c r="B14" s="71" t="s">
        <v>4344</v>
      </c>
      <c r="C14" s="71" t="s">
        <v>823</v>
      </c>
      <c r="D14" s="89" t="str">
        <f t="shared" si="0"/>
        <v>OUVRIR LE DOCUMENT D ORIGINE</v>
      </c>
      <c r="E14" s="71" t="s">
        <v>4345</v>
      </c>
      <c r="F14" s="71" t="s">
        <v>4345</v>
      </c>
      <c r="G14" s="71" t="s">
        <v>4327</v>
      </c>
    </row>
    <row r="15" spans="1:7" ht="38.25" customHeight="1">
      <c r="A15" s="71" t="s">
        <v>4002</v>
      </c>
      <c r="B15" s="71" t="s">
        <v>4346</v>
      </c>
      <c r="C15" s="71" t="s">
        <v>851</v>
      </c>
      <c r="D15" s="89" t="str">
        <f t="shared" si="0"/>
        <v>OUVRIR LE DOCUMENT D ORIGINE</v>
      </c>
      <c r="E15" s="71" t="s">
        <v>4347</v>
      </c>
      <c r="F15" s="71" t="s">
        <v>4348</v>
      </c>
      <c r="G15" s="71" t="s">
        <v>4349</v>
      </c>
    </row>
    <row r="16" spans="1:7" ht="38.25" customHeight="1">
      <c r="A16" s="71" t="s">
        <v>4002</v>
      </c>
      <c r="B16" s="71" t="s">
        <v>4350</v>
      </c>
      <c r="C16" s="71" t="s">
        <v>893</v>
      </c>
      <c r="D16" s="89" t="str">
        <f t="shared" si="0"/>
        <v>OUVRIR LE DOCUMENT D ORIGINE</v>
      </c>
      <c r="E16" s="71" t="s">
        <v>4351</v>
      </c>
      <c r="F16" s="71" t="s">
        <v>4351</v>
      </c>
      <c r="G16" s="71" t="s">
        <v>4327</v>
      </c>
    </row>
    <row r="17" spans="1:7" ht="38.25" customHeight="1">
      <c r="A17" s="71" t="s">
        <v>4002</v>
      </c>
      <c r="B17" s="71" t="s">
        <v>4352</v>
      </c>
      <c r="C17" s="71" t="s">
        <v>898</v>
      </c>
      <c r="D17" s="89" t="str">
        <f t="shared" si="0"/>
        <v>OUVRIR LE DOCUMENT D ORIGINE</v>
      </c>
      <c r="E17" s="71" t="s">
        <v>4353</v>
      </c>
      <c r="F17" s="71" t="s">
        <v>4353</v>
      </c>
      <c r="G17" s="71" t="s">
        <v>4327</v>
      </c>
    </row>
    <row r="18" spans="1:7" ht="38.25" customHeight="1">
      <c r="A18" s="71" t="s">
        <v>4002</v>
      </c>
      <c r="B18" s="71" t="s">
        <v>4354</v>
      </c>
      <c r="C18" s="71" t="s">
        <v>893</v>
      </c>
      <c r="D18" s="89" t="str">
        <f t="shared" si="0"/>
        <v>OUVRIR LE DOCUMENT D ORIGINE</v>
      </c>
      <c r="E18" s="71" t="s">
        <v>4355</v>
      </c>
      <c r="F18" s="71" t="s">
        <v>4355</v>
      </c>
      <c r="G18" s="71" t="s">
        <v>4327</v>
      </c>
    </row>
    <row r="19" spans="1:7" ht="38.25" customHeight="1">
      <c r="A19" s="71" t="s">
        <v>4002</v>
      </c>
      <c r="B19" s="71" t="s">
        <v>4356</v>
      </c>
      <c r="C19" s="71" t="s">
        <v>919</v>
      </c>
      <c r="D19" s="89" t="str">
        <f t="shared" si="0"/>
        <v>OUVRIR LE DOCUMENT D ORIGINE</v>
      </c>
      <c r="E19" s="71" t="s">
        <v>4357</v>
      </c>
      <c r="F19" s="71" t="s">
        <v>4358</v>
      </c>
      <c r="G19" s="71" t="s">
        <v>4349</v>
      </c>
    </row>
    <row r="20" spans="1:7" ht="38.25" customHeight="1">
      <c r="A20" s="71" t="s">
        <v>4002</v>
      </c>
      <c r="B20" s="71" t="s">
        <v>4359</v>
      </c>
      <c r="C20" s="71" t="s">
        <v>927</v>
      </c>
      <c r="D20" s="89" t="str">
        <f t="shared" si="0"/>
        <v>OUVRIR LE DOCUMENT D ORIGINE</v>
      </c>
      <c r="E20" s="71" t="s">
        <v>4360</v>
      </c>
      <c r="F20" s="71" t="s">
        <v>4361</v>
      </c>
      <c r="G20" s="71" t="s">
        <v>4349</v>
      </c>
    </row>
    <row r="21" spans="1:7" ht="38.25" customHeight="1">
      <c r="A21" s="71" t="s">
        <v>4002</v>
      </c>
      <c r="B21" s="71" t="s">
        <v>4362</v>
      </c>
      <c r="C21" s="71" t="s">
        <v>944</v>
      </c>
      <c r="D21" s="89" t="str">
        <f t="shared" si="0"/>
        <v>https://bonduelleprd.sharepoint.com/:b:/r/sites/gdrive-renservicetechnique/Shared%20Documents/001%20-%20COSWIN%20-%20Arborescence%20documentaire/%E2%99%95%20COSWIN%20%E2%99%95/%E2%98%AF%20METHODES%20%E2%98%AF/plan%20et%20croquis%20machines/plan%20801-1200/plan%20928.pdf?d=w9525ebfbb4b3422fa52421b809736e05&amp;csf=1&amp;web=1&amp;e=Hg4PfN</v>
      </c>
      <c r="E21" s="71" t="s">
        <v>4363</v>
      </c>
      <c r="F21" s="71"/>
      <c r="G21" s="71" t="s">
        <v>4364</v>
      </c>
    </row>
    <row r="22" spans="1:7" ht="38.25" customHeight="1">
      <c r="A22" s="71" t="s">
        <v>4002</v>
      </c>
      <c r="B22" s="71" t="s">
        <v>4365</v>
      </c>
      <c r="C22" s="71" t="s">
        <v>944</v>
      </c>
      <c r="D22" s="89" t="str">
        <f t="shared" si="0"/>
        <v>https://bonduelleprd.sharepoint.com/:b:/r/sites/gdrive-renservicetechnique/Shared%20Documents/001%20-%20COSWIN%20-%20Arborescence%20documentaire/%E2%99%95%20COSWIN%20%E2%99%95/%E2%98%AF%20METHODES%20%E2%98%AF/plan%20et%20croquis%20machines/plan%20801-1200/plan%20928.pdf?d=w9525ebfbb4b3422fa52421b809736e05&amp;csf=1&amp;web=1&amp;e=Hg4PfN</v>
      </c>
      <c r="E22" s="71" t="s">
        <v>4363</v>
      </c>
      <c r="F22" s="71"/>
      <c r="G22" s="71" t="s">
        <v>4364</v>
      </c>
    </row>
    <row r="23" spans="1:7" ht="38.25" customHeight="1">
      <c r="A23" s="71" t="s">
        <v>4002</v>
      </c>
      <c r="B23" s="71" t="s">
        <v>4366</v>
      </c>
      <c r="C23" s="71" t="s">
        <v>962</v>
      </c>
      <c r="D23" s="89" t="str">
        <f t="shared" si="0"/>
        <v>OUVRIR LE DOCUMENT D ORIGINE</v>
      </c>
      <c r="E23" s="71" t="s">
        <v>4367</v>
      </c>
      <c r="F23" s="71" t="s">
        <v>4367</v>
      </c>
      <c r="G23" s="71" t="s">
        <v>4327</v>
      </c>
    </row>
    <row r="24" spans="1:7" ht="38.25" customHeight="1">
      <c r="A24" s="71" t="s">
        <v>4002</v>
      </c>
      <c r="B24" s="71" t="s">
        <v>4368</v>
      </c>
      <c r="C24" s="71" t="s">
        <v>983</v>
      </c>
      <c r="D24" s="89" t="str">
        <f t="shared" si="0"/>
        <v>OUVRIR LE DOCUMENT D ORIGINE</v>
      </c>
      <c r="E24" s="71" t="s">
        <v>4369</v>
      </c>
      <c r="F24" s="71" t="s">
        <v>4369</v>
      </c>
      <c r="G24" s="71" t="s">
        <v>4327</v>
      </c>
    </row>
    <row r="25" spans="1:7" ht="38.25" customHeight="1">
      <c r="A25" s="71" t="s">
        <v>4002</v>
      </c>
      <c r="B25" s="71" t="s">
        <v>4370</v>
      </c>
      <c r="C25" s="71" t="s">
        <v>993</v>
      </c>
      <c r="D25" s="89" t="str">
        <f t="shared" si="0"/>
        <v>OUVRIR LE DOCUMENT D ORIGINE</v>
      </c>
      <c r="E25" s="71" t="s">
        <v>4371</v>
      </c>
      <c r="F25" s="71" t="s">
        <v>4371</v>
      </c>
      <c r="G25" s="71" t="s">
        <v>4327</v>
      </c>
    </row>
    <row r="26" spans="1:7" ht="38.25" customHeight="1">
      <c r="A26" s="71" t="s">
        <v>4002</v>
      </c>
      <c r="B26" s="71" t="s">
        <v>4372</v>
      </c>
      <c r="C26" s="71" t="s">
        <v>993</v>
      </c>
      <c r="D26" s="89" t="str">
        <f t="shared" si="0"/>
        <v>OUVRIR LE DOCUMENT D ORIGINE</v>
      </c>
      <c r="E26" s="71" t="s">
        <v>4371</v>
      </c>
      <c r="F26" s="71" t="s">
        <v>4371</v>
      </c>
      <c r="G26" s="71" t="s">
        <v>4327</v>
      </c>
    </row>
    <row r="27" spans="1:7" ht="38.25" customHeight="1">
      <c r="A27" s="71" t="s">
        <v>4002</v>
      </c>
      <c r="B27" s="71" t="s">
        <v>4373</v>
      </c>
      <c r="C27" s="71" t="s">
        <v>1068</v>
      </c>
      <c r="D27" s="89" t="str">
        <f t="shared" si="0"/>
        <v>OUVRIR LE DOCUMENT D ORIGINE</v>
      </c>
      <c r="E27" s="71" t="s">
        <v>4374</v>
      </c>
      <c r="F27" s="71" t="s">
        <v>4374</v>
      </c>
      <c r="G27" s="71" t="s">
        <v>4327</v>
      </c>
    </row>
    <row r="28" spans="1:7" ht="38.25" customHeight="1">
      <c r="A28" s="71" t="s">
        <v>4002</v>
      </c>
      <c r="B28" s="71" t="s">
        <v>4375</v>
      </c>
      <c r="C28" s="71" t="s">
        <v>1089</v>
      </c>
      <c r="D28" s="89" t="str">
        <f t="shared" si="0"/>
        <v>https://bonduelleprd-my.sharepoint.com/:b:/r/personal/dany_bacot_bonduelle_com/Documents/document%20doc%20constructeur%20.nomenclature.devis%20pour%20cr%C3%A9ation%20article%20coswin/Pi%C3%A8ces%20d%C3%A9tach%C3%A9es%20fermeuse%20de%20boite%20B4%20_20170308%20(1).pdf?d=wc048d25b744f48feb062317c1b15f9b3&amp;csf=1&amp;web=1&amp;e=JsgYIj</v>
      </c>
      <c r="E28" s="71" t="s">
        <v>4376</v>
      </c>
      <c r="F28" s="71"/>
      <c r="G28" s="71" t="s">
        <v>4364</v>
      </c>
    </row>
    <row r="29" spans="1:7" ht="38.25" customHeight="1">
      <c r="A29" s="71" t="s">
        <v>4002</v>
      </c>
      <c r="B29" s="71" t="s">
        <v>4377</v>
      </c>
      <c r="C29" s="71" t="s">
        <v>1098</v>
      </c>
      <c r="D29" s="89" t="str">
        <f t="shared" si="0"/>
        <v>OUVRIR LE DOCUMENT D ORIGINE</v>
      </c>
      <c r="E29" s="71" t="s">
        <v>4378</v>
      </c>
      <c r="F29" s="71" t="s">
        <v>4379</v>
      </c>
      <c r="G29" s="71" t="s">
        <v>4349</v>
      </c>
    </row>
    <row r="30" spans="1:7" ht="38.25" customHeight="1">
      <c r="A30" s="71" t="s">
        <v>4002</v>
      </c>
      <c r="B30" s="71" t="s">
        <v>4380</v>
      </c>
      <c r="C30" s="71" t="s">
        <v>1708</v>
      </c>
      <c r="D30" s="89" t="str">
        <f t="shared" si="0"/>
        <v>https://bonduelleprd-my.sharepoint.com/:b:/r/personal/dany_bacot_bonduelle_com/Documents/document%20doc%20constructeur%20.nomenclature.devis%20pour%20cr%C3%A9ation%20article%20coswin/ET%20PACK%20devis%20jeu%20de%20calibration%20encaisseuse%20b4%20DEVIS_20936-.pdf?d=w090451b6423149e0ad0cd9f9f935a6c7&amp;csf=1&amp;web=1&amp;e=DZvp9E</v>
      </c>
      <c r="E30" s="71" t="s">
        <v>4381</v>
      </c>
      <c r="F30" s="71"/>
      <c r="G30" s="71" t="s">
        <v>4364</v>
      </c>
    </row>
    <row r="31" spans="1:7" ht="38.25" customHeight="1">
      <c r="A31" s="71" t="s">
        <v>4002</v>
      </c>
      <c r="B31" s="71" t="s">
        <v>4382</v>
      </c>
      <c r="C31" s="71" t="s">
        <v>1714</v>
      </c>
      <c r="D31" s="89" t="str">
        <f t="shared" si="0"/>
        <v>OUVRIR LE DOCUMENT D ORIGINE</v>
      </c>
      <c r="E31" s="71" t="s">
        <v>4383</v>
      </c>
      <c r="F31" s="71" t="s">
        <v>4384</v>
      </c>
      <c r="G31" s="71" t="s">
        <v>4349</v>
      </c>
    </row>
    <row r="32" spans="1:7" ht="38.25" customHeight="1">
      <c r="A32" s="71" t="s">
        <v>4002</v>
      </c>
      <c r="B32" s="71" t="s">
        <v>4385</v>
      </c>
      <c r="C32" s="71" t="s">
        <v>1763</v>
      </c>
      <c r="D32" s="89" t="str">
        <f t="shared" si="0"/>
        <v>OUVRIR LE DOCUMENT D ORIGINE</v>
      </c>
      <c r="E32" s="71" t="s">
        <v>4386</v>
      </c>
      <c r="F32" s="71" t="s">
        <v>4387</v>
      </c>
      <c r="G32" s="71" t="s">
        <v>4349</v>
      </c>
    </row>
    <row r="33" spans="1:7" ht="38.25" customHeight="1">
      <c r="A33" s="71" t="s">
        <v>4002</v>
      </c>
      <c r="B33" s="71" t="s">
        <v>4388</v>
      </c>
      <c r="C33" s="71" t="s">
        <v>1769</v>
      </c>
      <c r="D33" s="89" t="str">
        <f t="shared" si="0"/>
        <v>OUVRIR LE DOCUMENT D ORIGINE</v>
      </c>
      <c r="E33" s="71" t="s">
        <v>4389</v>
      </c>
      <c r="F33" s="71" t="s">
        <v>4390</v>
      </c>
      <c r="G33" s="71" t="s">
        <v>4349</v>
      </c>
    </row>
    <row r="34" spans="1:7" ht="38.25" customHeight="1">
      <c r="A34" s="71" t="s">
        <v>4002</v>
      </c>
      <c r="B34" s="71" t="s">
        <v>4391</v>
      </c>
      <c r="C34" s="71" t="s">
        <v>1778</v>
      </c>
      <c r="D34" s="89" t="str">
        <f t="shared" si="0"/>
        <v>OUVRIR LE DOCUMENT D ORIGINE</v>
      </c>
      <c r="E34" s="71" t="s">
        <v>4392</v>
      </c>
      <c r="F34" s="71" t="s">
        <v>4393</v>
      </c>
      <c r="G34" s="71" t="s">
        <v>4349</v>
      </c>
    </row>
    <row r="35" spans="1:7" ht="38.25" customHeight="1">
      <c r="A35" s="71" t="s">
        <v>4002</v>
      </c>
      <c r="B35" s="71" t="s">
        <v>4394</v>
      </c>
      <c r="C35" s="71" t="s">
        <v>2503</v>
      </c>
      <c r="D35" s="89" t="str">
        <f t="shared" ref="D35:D66" si="1">IF(F35="",E35,HYPERLINK(F35,"OUVRIR LE DOCUMENT D ORIGINE"))</f>
        <v>OUVRIR LE DOCUMENT D ORIGINE</v>
      </c>
      <c r="E35" s="71" t="s">
        <v>4395</v>
      </c>
      <c r="F35" s="71" t="s">
        <v>4396</v>
      </c>
      <c r="G35" s="71" t="s">
        <v>4349</v>
      </c>
    </row>
    <row r="36" spans="1:7" ht="38.25" customHeight="1">
      <c r="A36" s="71" t="s">
        <v>4002</v>
      </c>
      <c r="B36" s="71" t="s">
        <v>4397</v>
      </c>
      <c r="C36" s="71" t="s">
        <v>2547</v>
      </c>
      <c r="D36" s="89" t="str">
        <f t="shared" si="1"/>
        <v>OUVRIR LE DOCUMENT D ORIGINE</v>
      </c>
      <c r="E36" s="71" t="s">
        <v>4398</v>
      </c>
      <c r="F36" s="71" t="s">
        <v>4399</v>
      </c>
      <c r="G36" s="71" t="s">
        <v>4349</v>
      </c>
    </row>
    <row r="37" spans="1:7" ht="38.25" customHeight="1">
      <c r="A37" s="71" t="s">
        <v>4002</v>
      </c>
      <c r="B37" s="71" t="s">
        <v>4400</v>
      </c>
      <c r="C37" s="71" t="s">
        <v>2573</v>
      </c>
      <c r="D37" s="89" t="str">
        <f t="shared" si="1"/>
        <v>OUVRIR LE DOCUMENT D ORIGINE</v>
      </c>
      <c r="E37" s="71" t="s">
        <v>4401</v>
      </c>
      <c r="F37" s="71" t="s">
        <v>4401</v>
      </c>
      <c r="G37" s="71" t="s">
        <v>4327</v>
      </c>
    </row>
    <row r="38" spans="1:7" ht="38.25" customHeight="1">
      <c r="A38" s="71" t="s">
        <v>4002</v>
      </c>
      <c r="B38" s="71" t="s">
        <v>4402</v>
      </c>
      <c r="C38" s="71" t="s">
        <v>2592</v>
      </c>
      <c r="D38" s="89" t="str">
        <f t="shared" si="1"/>
        <v>OUVRIR LE DOCUMENT D ORIGINE</v>
      </c>
      <c r="E38" s="71" t="s">
        <v>4403</v>
      </c>
      <c r="F38" s="71" t="s">
        <v>4403</v>
      </c>
      <c r="G38" s="71" t="s">
        <v>4327</v>
      </c>
    </row>
    <row r="39" spans="1:7" ht="38.25" customHeight="1">
      <c r="A39" s="71" t="s">
        <v>4002</v>
      </c>
      <c r="B39" s="71" t="s">
        <v>4404</v>
      </c>
      <c r="C39" s="71" t="s">
        <v>2616</v>
      </c>
      <c r="D39" s="89" t="str">
        <f t="shared" si="1"/>
        <v>OUVRIR LE DOCUMENT D ORIGINE</v>
      </c>
      <c r="E39" s="71" t="s">
        <v>4405</v>
      </c>
      <c r="F39" s="71" t="s">
        <v>4405</v>
      </c>
      <c r="G39" s="71" t="s">
        <v>4327</v>
      </c>
    </row>
    <row r="40" spans="1:7" ht="38.25" customHeight="1">
      <c r="A40" s="71" t="s">
        <v>4002</v>
      </c>
      <c r="B40" s="71" t="s">
        <v>4406</v>
      </c>
      <c r="C40" s="71" t="s">
        <v>2616</v>
      </c>
      <c r="D40" s="89" t="str">
        <f t="shared" si="1"/>
        <v>OUVRIR LE DOCUMENT D ORIGINE</v>
      </c>
      <c r="E40" s="71" t="s">
        <v>4405</v>
      </c>
      <c r="F40" s="71" t="s">
        <v>4405</v>
      </c>
      <c r="G40" s="71" t="s">
        <v>4327</v>
      </c>
    </row>
    <row r="41" spans="1:7" ht="38.25" customHeight="1">
      <c r="A41" s="71" t="s">
        <v>4002</v>
      </c>
      <c r="B41" s="71" t="s">
        <v>4407</v>
      </c>
      <c r="C41" s="71" t="s">
        <v>2645</v>
      </c>
      <c r="D41" s="89" t="str">
        <f t="shared" si="1"/>
        <v>https://bonduelleprd-my.sharepoint.com/shared?listurl=https%3A%2F%2Fbonduelleprd%2Esharepoint%2Ecom%2Fsites%2Fgdrive%2Dstbtechnique%2FShared%20Documents&amp;viewid=9c1b12ab%2D4202%2D4f2b%2Dbf67%2Df2991bb21294&amp;id=%2Fsites%2Fgdrive%2Dstbtechnique%2FShared%20Documents%2F09%5FBudget%2FBUDGET%2FDEVIS%20CELLEULE%20REF%2F2212%5F001%2Epdf&amp;parent=%2Fsites%2Fgdrive%2Dstbtechnique%2FShared%20Documents%2F09%5FBudget%2FBUDGET%2FDEVIS%20CELLEULE%20REF</v>
      </c>
      <c r="E41" s="71" t="s">
        <v>4408</v>
      </c>
      <c r="F41" s="71"/>
      <c r="G41" s="71" t="s">
        <v>4409</v>
      </c>
    </row>
    <row r="42" spans="1:7" ht="38.25" customHeight="1">
      <c r="A42" s="71" t="s">
        <v>4002</v>
      </c>
      <c r="B42" s="71" t="s">
        <v>4410</v>
      </c>
      <c r="C42" s="71" t="s">
        <v>823</v>
      </c>
      <c r="D42" s="89" t="str">
        <f t="shared" si="1"/>
        <v>OUVRIR LE DOCUMENT D ORIGINE</v>
      </c>
      <c r="E42" s="71" t="s">
        <v>4411</v>
      </c>
      <c r="F42" s="71" t="s">
        <v>4411</v>
      </c>
      <c r="G42" s="71" t="s">
        <v>4327</v>
      </c>
    </row>
    <row r="43" spans="1:7" ht="38.25" customHeight="1">
      <c r="A43" s="71" t="s">
        <v>4002</v>
      </c>
      <c r="B43" s="71" t="s">
        <v>4412</v>
      </c>
      <c r="C43" s="71" t="s">
        <v>2674</v>
      </c>
      <c r="D43" s="89" t="str">
        <f t="shared" si="1"/>
        <v>OUVRIR LE DOCUMENT D ORIGINE</v>
      </c>
      <c r="E43" s="71" t="s">
        <v>4413</v>
      </c>
      <c r="F43" s="71" t="s">
        <v>4413</v>
      </c>
      <c r="G43" s="71" t="s">
        <v>4327</v>
      </c>
    </row>
    <row r="44" spans="1:7" ht="38.25" customHeight="1">
      <c r="A44" s="71" t="s">
        <v>4002</v>
      </c>
      <c r="B44" s="71" t="s">
        <v>4414</v>
      </c>
      <c r="C44" s="71" t="s">
        <v>2697</v>
      </c>
      <c r="D44" s="89" t="str">
        <f t="shared" si="1"/>
        <v>OUVRIR LE DOCUMENT D ORIGINE</v>
      </c>
      <c r="E44" s="71" t="s">
        <v>4415</v>
      </c>
      <c r="F44" s="71" t="s">
        <v>4415</v>
      </c>
      <c r="G44" s="71" t="s">
        <v>4327</v>
      </c>
    </row>
    <row r="45" spans="1:7" ht="38.25" customHeight="1">
      <c r="A45" s="71" t="s">
        <v>4002</v>
      </c>
      <c r="B45" s="71" t="s">
        <v>4416</v>
      </c>
      <c r="C45" s="71" t="s">
        <v>2745</v>
      </c>
      <c r="D45" s="89" t="str">
        <f t="shared" si="1"/>
        <v>OUVRIR LE DOCUMENT D ORIGINE</v>
      </c>
      <c r="E45" s="71" t="s">
        <v>4417</v>
      </c>
      <c r="F45" s="71" t="s">
        <v>4417</v>
      </c>
      <c r="G45" s="71" t="s">
        <v>4327</v>
      </c>
    </row>
    <row r="46" spans="1:7" ht="38.25" customHeight="1">
      <c r="A46" s="71" t="s">
        <v>4002</v>
      </c>
      <c r="B46" s="71" t="s">
        <v>4418</v>
      </c>
      <c r="C46" s="71" t="s">
        <v>823</v>
      </c>
      <c r="D46" s="89" t="str">
        <f t="shared" si="1"/>
        <v>OUVRIR LE DOCUMENT D ORIGINE</v>
      </c>
      <c r="E46" s="71" t="s">
        <v>4419</v>
      </c>
      <c r="F46" s="71" t="s">
        <v>4419</v>
      </c>
      <c r="G46" s="71" t="s">
        <v>4327</v>
      </c>
    </row>
    <row r="47" spans="1:7" ht="38.25" customHeight="1">
      <c r="A47" s="71" t="s">
        <v>4002</v>
      </c>
      <c r="B47" s="71" t="s">
        <v>4420</v>
      </c>
      <c r="C47" s="71" t="s">
        <v>823</v>
      </c>
      <c r="D47" s="89" t="str">
        <f t="shared" si="1"/>
        <v>OUVRIR LE DOCUMENT D ORIGINE</v>
      </c>
      <c r="E47" s="71" t="s">
        <v>4421</v>
      </c>
      <c r="F47" s="71" t="s">
        <v>4421</v>
      </c>
      <c r="G47" s="71" t="s">
        <v>4327</v>
      </c>
    </row>
    <row r="48" spans="1:7" ht="38.25" customHeight="1">
      <c r="A48" s="71" t="s">
        <v>4002</v>
      </c>
      <c r="B48" s="71" t="s">
        <v>4422</v>
      </c>
      <c r="C48" s="71" t="s">
        <v>2908</v>
      </c>
      <c r="D48" s="89" t="str">
        <f t="shared" si="1"/>
        <v>OUVRIR LE DOCUMENT D ORIGINE</v>
      </c>
      <c r="E48" s="71" t="s">
        <v>2908</v>
      </c>
      <c r="F48" s="71" t="s">
        <v>2908</v>
      </c>
      <c r="G48" s="71" t="s">
        <v>4327</v>
      </c>
    </row>
    <row r="49" spans="1:7" ht="38.25" customHeight="1">
      <c r="A49" s="71" t="s">
        <v>4013</v>
      </c>
      <c r="B49" s="71" t="s">
        <v>4423</v>
      </c>
      <c r="C49" s="71" t="s">
        <v>3112</v>
      </c>
      <c r="D49" s="89" t="str">
        <f t="shared" si="1"/>
        <v>OUVRIR LE DOCUMENT D ORIGINE</v>
      </c>
      <c r="E49" s="71" t="s">
        <v>4401</v>
      </c>
      <c r="F49" s="71" t="s">
        <v>4401</v>
      </c>
      <c r="G49" s="71" t="s">
        <v>4327</v>
      </c>
    </row>
    <row r="50" spans="1:7" ht="38.25" customHeight="1">
      <c r="A50" s="71" t="s">
        <v>4013</v>
      </c>
      <c r="B50" s="71" t="s">
        <v>4424</v>
      </c>
      <c r="C50" s="71" t="s">
        <v>823</v>
      </c>
      <c r="D50" s="89" t="str">
        <f t="shared" si="1"/>
        <v>OUVRIR LE DOCUMENT D ORIGINE</v>
      </c>
      <c r="E50" s="71" t="s">
        <v>4345</v>
      </c>
      <c r="F50" s="71" t="s">
        <v>4345</v>
      </c>
      <c r="G50" s="71" t="s">
        <v>4327</v>
      </c>
    </row>
    <row r="51" spans="1:7" ht="38.25" customHeight="1">
      <c r="A51" s="71" t="s">
        <v>4013</v>
      </c>
      <c r="B51" s="71" t="s">
        <v>4425</v>
      </c>
      <c r="C51" s="71" t="s">
        <v>3221</v>
      </c>
      <c r="D51" s="89" t="str">
        <f t="shared" si="1"/>
        <v>OUVRIR LE DOCUMENT D ORIGINE</v>
      </c>
      <c r="E51" s="71" t="s">
        <v>3221</v>
      </c>
      <c r="F51" s="71" t="s">
        <v>3221</v>
      </c>
      <c r="G51" s="71" t="s">
        <v>4327</v>
      </c>
    </row>
    <row r="52" spans="1:7" ht="38.25" customHeight="1">
      <c r="A52" s="71" t="s">
        <v>4013</v>
      </c>
      <c r="B52" s="71" t="s">
        <v>4426</v>
      </c>
      <c r="C52" s="71" t="s">
        <v>2674</v>
      </c>
      <c r="D52" s="89" t="str">
        <f t="shared" si="1"/>
        <v>OUVRIR LE DOCUMENT D ORIGINE</v>
      </c>
      <c r="E52" s="71" t="s">
        <v>4427</v>
      </c>
      <c r="F52" s="71" t="s">
        <v>4427</v>
      </c>
      <c r="G52" s="71" t="s">
        <v>4327</v>
      </c>
    </row>
  </sheetData>
  <mergeCells count="1">
    <mergeCell ref="A1:G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13FF-D4FD-4F90-9055-8D7BA63CBB75}">
  <dimension ref="A1:AC123"/>
  <sheetViews>
    <sheetView workbookViewId="0">
      <pane ySplit="2" topLeftCell="A3" activePane="bottomLeft" state="frozen"/>
      <selection pane="bottomLeft"/>
    </sheetView>
  </sheetViews>
  <sheetFormatPr defaultRowHeight="15"/>
  <cols>
    <col min="1" max="1" width="33.7109375" customWidth="1"/>
    <col min="2" max="2" width="46.7109375" customWidth="1"/>
    <col min="3" max="3" width="52.7109375" customWidth="1"/>
    <col min="4" max="4" width="18.7109375" customWidth="1"/>
    <col min="5" max="12" width="68.7109375" customWidth="1"/>
    <col min="13" max="13" width="110.7109375" customWidth="1"/>
    <col min="14" max="29" width="68.7109375" customWidth="1"/>
  </cols>
  <sheetData>
    <row r="1" spans="1:29" ht="30" customHeight="1">
      <c r="A1" s="94" t="s">
        <v>4428</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row>
    <row r="2" spans="1:29" ht="42" customHeight="1">
      <c r="A2" s="63" t="s">
        <v>3987</v>
      </c>
      <c r="B2" s="63" t="s">
        <v>4429</v>
      </c>
      <c r="C2" s="63" t="s">
        <v>4430</v>
      </c>
      <c r="D2" s="63" t="s">
        <v>4431</v>
      </c>
      <c r="E2" s="63" t="s">
        <v>4432</v>
      </c>
      <c r="F2" s="63" t="s">
        <v>4433</v>
      </c>
      <c r="G2" s="63" t="s">
        <v>4434</v>
      </c>
      <c r="H2" s="63" t="s">
        <v>4435</v>
      </c>
      <c r="I2" s="63" t="s">
        <v>4436</v>
      </c>
      <c r="J2" s="63" t="s">
        <v>4437</v>
      </c>
      <c r="K2" s="63" t="s">
        <v>4438</v>
      </c>
      <c r="L2" s="63" t="s">
        <v>4439</v>
      </c>
      <c r="M2" s="63" t="s">
        <v>4440</v>
      </c>
      <c r="N2" s="63" t="s">
        <v>4441</v>
      </c>
      <c r="O2" s="63" t="s">
        <v>4442</v>
      </c>
      <c r="P2" s="63" t="s">
        <v>4443</v>
      </c>
      <c r="Q2" s="63" t="s">
        <v>4444</v>
      </c>
      <c r="R2" s="63" t="s">
        <v>4445</v>
      </c>
      <c r="S2" s="63" t="s">
        <v>4446</v>
      </c>
      <c r="T2" s="63" t="s">
        <v>4447</v>
      </c>
      <c r="U2" s="63" t="s">
        <v>4448</v>
      </c>
      <c r="V2" s="63" t="s">
        <v>4449</v>
      </c>
      <c r="W2" s="63" t="s">
        <v>4450</v>
      </c>
      <c r="X2" s="63" t="s">
        <v>4451</v>
      </c>
      <c r="Y2" s="63" t="s">
        <v>4452</v>
      </c>
      <c r="Z2" s="63" t="s">
        <v>4453</v>
      </c>
      <c r="AA2" s="63" t="s">
        <v>4454</v>
      </c>
      <c r="AB2" s="63" t="s">
        <v>4455</v>
      </c>
      <c r="AC2" s="63" t="s">
        <v>4456</v>
      </c>
    </row>
    <row r="3" spans="1:29" ht="60" customHeight="1">
      <c r="A3" s="71" t="s">
        <v>202</v>
      </c>
      <c r="B3" s="71" t="s">
        <v>4457</v>
      </c>
      <c r="C3" s="71" t="s">
        <v>4458</v>
      </c>
      <c r="D3" s="77">
        <v>46302</v>
      </c>
      <c r="E3" s="89" t="str">
        <f t="shared" ref="E3:E34" si="0">IF(N3="","",HYPERLINK(N3,V3))</f>
        <v>REO AG — Aimant vibrant REOVIB WI421 — famille</v>
      </c>
      <c r="F3" s="89" t="str">
        <f t="shared" ref="F3:F34" si="1">IF(O3="","",HYPERLINK(O3,W3))</f>
        <v>REOVARIAC — Bienvenue sur le site de REOVARIAC</v>
      </c>
      <c r="G3" s="89" t="str">
        <f t="shared" ref="G3:G34" si="2">IF(P3="","",HYPERLINK(P3,X3))</f>
        <v/>
      </c>
      <c r="H3" s="89" t="str">
        <f t="shared" ref="H3:H34" si="3">IF(Q3="","",HYPERLINK(Q3,Y3))</f>
        <v/>
      </c>
      <c r="I3" s="89" t="str">
        <f t="shared" ref="I3:I34" si="4">IF(R3="","",HYPERLINK(R3,Z3))</f>
        <v/>
      </c>
      <c r="J3" s="89" t="str">
        <f t="shared" ref="J3:J34" si="5">IF(S3="","",HYPERLINK(S3,AA3))</f>
        <v/>
      </c>
      <c r="K3" s="89" t="str">
        <f t="shared" ref="K3:K34" si="6">IF(T3="","",HYPERLINK(T3,AB3))</f>
        <v/>
      </c>
      <c r="L3" s="89" t="str">
        <f t="shared" ref="L3:L34" si="7">IF(U3="","",HYPERLINK(U3,AC3))</f>
        <v/>
      </c>
      <c r="M3" s="71" t="s">
        <v>219</v>
      </c>
      <c r="N3" s="88" t="s">
        <v>4459</v>
      </c>
      <c r="O3" s="88" t="s">
        <v>4460</v>
      </c>
      <c r="P3" s="88"/>
      <c r="Q3" s="88"/>
      <c r="R3" s="88"/>
      <c r="S3" s="88"/>
      <c r="T3" s="88"/>
      <c r="U3" s="88"/>
      <c r="V3" s="88" t="s">
        <v>4461</v>
      </c>
      <c r="W3" s="88" t="s">
        <v>4462</v>
      </c>
      <c r="X3" s="88"/>
      <c r="Y3" s="88"/>
      <c r="Z3" s="88"/>
      <c r="AA3" s="88"/>
      <c r="AB3" s="88"/>
      <c r="AC3" s="88"/>
    </row>
    <row r="4" spans="1:29" ht="60" customHeight="1">
      <c r="A4" s="71" t="s">
        <v>735</v>
      </c>
      <c r="B4" s="71" t="s">
        <v>4463</v>
      </c>
      <c r="C4" s="71" t="s">
        <v>4458</v>
      </c>
      <c r="D4" s="77">
        <v>46302</v>
      </c>
      <c r="E4" s="89" t="str">
        <f t="shared" si="0"/>
        <v>SEW-EURODRIVE — Type Codes, Volume 1 Drive Technology, 31976336/EN</v>
      </c>
      <c r="F4" s="89" t="str">
        <f t="shared" si="1"/>
        <v>SEW-EURODRIVE — Gearmotor Nomenclature, 2024</v>
      </c>
      <c r="G4" s="89" t="str">
        <f t="shared" si="2"/>
        <v>SEW USOCOME — Mentions légales</v>
      </c>
      <c r="H4" s="89" t="str">
        <f t="shared" si="3"/>
        <v>SEW-EURODRIVE — Helical gearmotors R..DR.. — famille</v>
      </c>
      <c r="I4" s="89" t="str">
        <f t="shared" si="4"/>
        <v/>
      </c>
      <c r="J4" s="89" t="str">
        <f t="shared" si="5"/>
        <v/>
      </c>
      <c r="K4" s="89" t="str">
        <f t="shared" si="6"/>
        <v/>
      </c>
      <c r="L4" s="89" t="str">
        <f t="shared" si="7"/>
        <v/>
      </c>
      <c r="M4" s="71" t="s">
        <v>745</v>
      </c>
      <c r="N4" s="88" t="s">
        <v>4464</v>
      </c>
      <c r="O4" s="88" t="s">
        <v>4465</v>
      </c>
      <c r="P4" s="88" t="s">
        <v>4466</v>
      </c>
      <c r="Q4" s="88" t="s">
        <v>4467</v>
      </c>
      <c r="R4" s="88"/>
      <c r="S4" s="88"/>
      <c r="T4" s="88"/>
      <c r="U4" s="88"/>
      <c r="V4" s="88" t="s">
        <v>4468</v>
      </c>
      <c r="W4" s="88" t="s">
        <v>4469</v>
      </c>
      <c r="X4" s="88" t="s">
        <v>4470</v>
      </c>
      <c r="Y4" s="88" t="s">
        <v>4471</v>
      </c>
      <c r="Z4" s="88"/>
      <c r="AA4" s="88"/>
      <c r="AB4" s="88"/>
      <c r="AC4" s="88"/>
    </row>
    <row r="5" spans="1:29" ht="60" customHeight="1">
      <c r="A5" s="71" t="s">
        <v>748</v>
      </c>
      <c r="B5" s="71" t="s">
        <v>4472</v>
      </c>
      <c r="C5" s="71" t="s">
        <v>4458</v>
      </c>
      <c r="D5" s="77">
        <v>46302</v>
      </c>
      <c r="E5" s="89" t="str">
        <f t="shared" si="0"/>
        <v>SEW-EURODRIVE — Type Codes, Volume 1 Drive Technology, 31976336/EN</v>
      </c>
      <c r="F5" s="89" t="str">
        <f t="shared" si="1"/>
        <v>SEW-EURODRIVE — Gearmotor Nomenclature, 2024</v>
      </c>
      <c r="G5" s="89" t="str">
        <f t="shared" si="2"/>
        <v>SEW USOCOME — Mentions légales</v>
      </c>
      <c r="H5" s="89" t="str">
        <f t="shared" si="3"/>
        <v>Industrietec Automation — SEW 1,5 KW 23 min SA77/TDRN90L4 Getriebemotor</v>
      </c>
      <c r="I5" s="89" t="str">
        <f t="shared" si="4"/>
        <v/>
      </c>
      <c r="J5" s="89" t="str">
        <f t="shared" si="5"/>
        <v/>
      </c>
      <c r="K5" s="89" t="str">
        <f t="shared" si="6"/>
        <v/>
      </c>
      <c r="L5" s="89" t="str">
        <f t="shared" si="7"/>
        <v/>
      </c>
      <c r="M5" s="71" t="s">
        <v>753</v>
      </c>
      <c r="N5" s="88" t="s">
        <v>4464</v>
      </c>
      <c r="O5" s="88" t="s">
        <v>4465</v>
      </c>
      <c r="P5" s="88" t="s">
        <v>4466</v>
      </c>
      <c r="Q5" s="88" t="s">
        <v>4473</v>
      </c>
      <c r="R5" s="88"/>
      <c r="S5" s="88"/>
      <c r="T5" s="88"/>
      <c r="U5" s="88"/>
      <c r="V5" s="88" t="s">
        <v>4468</v>
      </c>
      <c r="W5" s="88" t="s">
        <v>4469</v>
      </c>
      <c r="X5" s="88" t="s">
        <v>4470</v>
      </c>
      <c r="Y5" s="88" t="s">
        <v>4474</v>
      </c>
      <c r="Z5" s="88"/>
      <c r="AA5" s="88"/>
      <c r="AB5" s="88"/>
      <c r="AC5" s="88"/>
    </row>
    <row r="6" spans="1:29" ht="60" customHeight="1">
      <c r="A6" s="71" t="s">
        <v>754</v>
      </c>
      <c r="B6" s="71" t="s">
        <v>4475</v>
      </c>
      <c r="C6" s="71" t="s">
        <v>4458</v>
      </c>
      <c r="D6" s="77">
        <v>46302</v>
      </c>
      <c r="E6" s="89" t="str">
        <f t="shared" si="0"/>
        <v>SEW-EURODRIVE — Type Codes, Volume 1 Drive Technology, 31976336/EN</v>
      </c>
      <c r="F6" s="89" t="str">
        <f t="shared" si="1"/>
        <v>SEW-EURODRIVE — Gearmotor Nomenclature, 2024</v>
      </c>
      <c r="G6" s="89" t="str">
        <f t="shared" si="2"/>
        <v>SEW USOCOME — Mentions légales</v>
      </c>
      <c r="H6" s="89" t="str">
        <f t="shared" si="3"/>
        <v>SEW-EURODRIVE, hébergement MRO Supply — Product information K37 DRN90L4, 424508235/100</v>
      </c>
      <c r="I6" s="89" t="str">
        <f t="shared" si="4"/>
        <v>SEW-EURODRIVE — K series helical-bevel gear units — famille</v>
      </c>
      <c r="J6" s="89" t="str">
        <f t="shared" si="5"/>
        <v/>
      </c>
      <c r="K6" s="89" t="str">
        <f t="shared" si="6"/>
        <v/>
      </c>
      <c r="L6" s="89" t="str">
        <f t="shared" si="7"/>
        <v/>
      </c>
      <c r="M6" s="71" t="s">
        <v>760</v>
      </c>
      <c r="N6" s="88" t="s">
        <v>4464</v>
      </c>
      <c r="O6" s="88" t="s">
        <v>4465</v>
      </c>
      <c r="P6" s="88" t="s">
        <v>4466</v>
      </c>
      <c r="Q6" s="88" t="s">
        <v>4476</v>
      </c>
      <c r="R6" s="88" t="s">
        <v>4477</v>
      </c>
      <c r="S6" s="88"/>
      <c r="T6" s="88"/>
      <c r="U6" s="88"/>
      <c r="V6" s="88" t="s">
        <v>4468</v>
      </c>
      <c r="W6" s="88" t="s">
        <v>4469</v>
      </c>
      <c r="X6" s="88" t="s">
        <v>4470</v>
      </c>
      <c r="Y6" s="88" t="s">
        <v>4478</v>
      </c>
      <c r="Z6" s="88" t="s">
        <v>4479</v>
      </c>
      <c r="AA6" s="88"/>
      <c r="AB6" s="88"/>
      <c r="AC6" s="88"/>
    </row>
    <row r="7" spans="1:29" ht="60" customHeight="1">
      <c r="A7" s="71" t="s">
        <v>768</v>
      </c>
      <c r="B7" s="71" t="s">
        <v>4480</v>
      </c>
      <c r="C7" s="71" t="s">
        <v>4458</v>
      </c>
      <c r="D7" s="77">
        <v>46302</v>
      </c>
      <c r="E7" s="89" t="str">
        <f t="shared" si="0"/>
        <v>Lenntech — KSB Etanorm 100-080-160 Centrifugal Pump</v>
      </c>
      <c r="F7" s="89" t="str">
        <f t="shared" si="1"/>
        <v>KSB — Etanorm — famille</v>
      </c>
      <c r="G7" s="89" t="str">
        <f t="shared" si="2"/>
        <v>Kompass — Sydex Flow - Equipamentos Electromecânicos, Lda</v>
      </c>
      <c r="H7" s="89" t="str">
        <f t="shared" si="3"/>
        <v/>
      </c>
      <c r="I7" s="89" t="str">
        <f t="shared" si="4"/>
        <v/>
      </c>
      <c r="J7" s="89" t="str">
        <f t="shared" si="5"/>
        <v/>
      </c>
      <c r="K7" s="89" t="str">
        <f t="shared" si="6"/>
        <v/>
      </c>
      <c r="L7" s="89" t="str">
        <f t="shared" si="7"/>
        <v/>
      </c>
      <c r="M7" s="71" t="s">
        <v>778</v>
      </c>
      <c r="N7" s="88" t="s">
        <v>4481</v>
      </c>
      <c r="O7" s="88" t="s">
        <v>4482</v>
      </c>
      <c r="P7" s="88" t="s">
        <v>4483</v>
      </c>
      <c r="Q7" s="88"/>
      <c r="R7" s="88"/>
      <c r="S7" s="88"/>
      <c r="T7" s="88"/>
      <c r="U7" s="88"/>
      <c r="V7" s="88" t="s">
        <v>4484</v>
      </c>
      <c r="W7" s="88" t="s">
        <v>4485</v>
      </c>
      <c r="X7" s="88" t="s">
        <v>4486</v>
      </c>
      <c r="Y7" s="88"/>
      <c r="Z7" s="88"/>
      <c r="AA7" s="88"/>
      <c r="AB7" s="88"/>
      <c r="AC7" s="88"/>
    </row>
    <row r="8" spans="1:29" ht="60" customHeight="1">
      <c r="A8" s="71" t="s">
        <v>779</v>
      </c>
      <c r="B8" s="71" t="s">
        <v>4487</v>
      </c>
      <c r="C8" s="71" t="s">
        <v>4488</v>
      </c>
      <c r="D8" s="77">
        <v>46302</v>
      </c>
      <c r="E8" s="89" t="str">
        <f t="shared" si="0"/>
        <v>Racius — Lenhasol Aquecimento Central, Lda</v>
      </c>
      <c r="F8" s="89" t="str">
        <f t="shared" si="1"/>
        <v/>
      </c>
      <c r="G8" s="89" t="str">
        <f t="shared" si="2"/>
        <v/>
      </c>
      <c r="H8" s="89" t="str">
        <f t="shared" si="3"/>
        <v/>
      </c>
      <c r="I8" s="89" t="str">
        <f t="shared" si="4"/>
        <v/>
      </c>
      <c r="J8" s="89" t="str">
        <f t="shared" si="5"/>
        <v/>
      </c>
      <c r="K8" s="89" t="str">
        <f t="shared" si="6"/>
        <v/>
      </c>
      <c r="L8" s="89" t="str">
        <f t="shared" si="7"/>
        <v/>
      </c>
      <c r="M8" s="71" t="s">
        <v>787</v>
      </c>
      <c r="N8" s="88" t="s">
        <v>4489</v>
      </c>
      <c r="O8" s="88"/>
      <c r="P8" s="88"/>
      <c r="Q8" s="88"/>
      <c r="R8" s="88"/>
      <c r="S8" s="88"/>
      <c r="T8" s="88"/>
      <c r="U8" s="88"/>
      <c r="V8" s="88" t="s">
        <v>4490</v>
      </c>
      <c r="W8" s="88"/>
      <c r="X8" s="88"/>
      <c r="Y8" s="88"/>
      <c r="Z8" s="88"/>
      <c r="AA8" s="88"/>
      <c r="AB8" s="88"/>
      <c r="AC8" s="88"/>
    </row>
    <row r="9" spans="1:29" ht="60" customHeight="1">
      <c r="A9" s="71" t="s">
        <v>817</v>
      </c>
      <c r="B9" s="71" t="s">
        <v>4491</v>
      </c>
      <c r="C9" s="71" t="s">
        <v>4492</v>
      </c>
      <c r="D9" s="77">
        <v>46302</v>
      </c>
      <c r="E9" s="89" t="str">
        <f t="shared" si="0"/>
        <v>Manutan — Mentions légales Manutan</v>
      </c>
      <c r="F9" s="89" t="str">
        <f t="shared" si="1"/>
        <v>Manutan — Sangle d’arrimage à crochets et tendeur à cliquet - TMU 2500 kg</v>
      </c>
      <c r="G9" s="89" t="str">
        <f t="shared" si="2"/>
        <v/>
      </c>
      <c r="H9" s="89" t="str">
        <f t="shared" si="3"/>
        <v/>
      </c>
      <c r="I9" s="89" t="str">
        <f t="shared" si="4"/>
        <v/>
      </c>
      <c r="J9" s="89" t="str">
        <f t="shared" si="5"/>
        <v/>
      </c>
      <c r="K9" s="89" t="str">
        <f t="shared" si="6"/>
        <v/>
      </c>
      <c r="L9" s="89" t="str">
        <f t="shared" si="7"/>
        <v/>
      </c>
      <c r="M9" s="71" t="s">
        <v>832</v>
      </c>
      <c r="N9" s="88" t="s">
        <v>4493</v>
      </c>
      <c r="O9" s="88" t="s">
        <v>4494</v>
      </c>
      <c r="P9" s="88"/>
      <c r="Q9" s="88"/>
      <c r="R9" s="88"/>
      <c r="S9" s="88"/>
      <c r="T9" s="88"/>
      <c r="U9" s="88"/>
      <c r="V9" s="88" t="s">
        <v>4495</v>
      </c>
      <c r="W9" s="88" t="s">
        <v>4496</v>
      </c>
      <c r="X9" s="88"/>
      <c r="Y9" s="88"/>
      <c r="Z9" s="88"/>
      <c r="AA9" s="88"/>
      <c r="AB9" s="88"/>
      <c r="AC9" s="88"/>
    </row>
    <row r="10" spans="1:29" ht="60" customHeight="1">
      <c r="A10" s="71" t="s">
        <v>1062</v>
      </c>
      <c r="B10" s="71" t="s">
        <v>4497</v>
      </c>
      <c r="C10" s="71" t="s">
        <v>4488</v>
      </c>
      <c r="D10" s="77">
        <v>46302</v>
      </c>
      <c r="E10" s="89" t="str">
        <f t="shared" si="0"/>
        <v>ZENARI ENGINEERING S.N.C. — Zenari Engineering : identité légale</v>
      </c>
      <c r="F10" s="89" t="str">
        <f t="shared" si="1"/>
        <v>ZENARI ENGINEERING S.N.C. — Machines de transformation de fruits et légumes</v>
      </c>
      <c r="G10" s="89" t="str">
        <f t="shared" si="2"/>
        <v/>
      </c>
      <c r="H10" s="89" t="str">
        <f t="shared" si="3"/>
        <v/>
      </c>
      <c r="I10" s="89" t="str">
        <f t="shared" si="4"/>
        <v/>
      </c>
      <c r="J10" s="89" t="str">
        <f t="shared" si="5"/>
        <v/>
      </c>
      <c r="K10" s="89" t="str">
        <f t="shared" si="6"/>
        <v/>
      </c>
      <c r="L10" s="89" t="str">
        <f t="shared" si="7"/>
        <v/>
      </c>
      <c r="M10" s="71" t="s">
        <v>1076</v>
      </c>
      <c r="N10" s="88" t="s">
        <v>4498</v>
      </c>
      <c r="O10" s="88" t="s">
        <v>4499</v>
      </c>
      <c r="P10" s="88"/>
      <c r="Q10" s="88"/>
      <c r="R10" s="88"/>
      <c r="S10" s="88"/>
      <c r="T10" s="88"/>
      <c r="U10" s="88"/>
      <c r="V10" s="88" t="s">
        <v>4500</v>
      </c>
      <c r="W10" s="88" t="s">
        <v>4501</v>
      </c>
      <c r="X10" s="88"/>
      <c r="Y10" s="88"/>
      <c r="Z10" s="88"/>
      <c r="AA10" s="88"/>
      <c r="AB10" s="88"/>
      <c r="AC10" s="88"/>
    </row>
    <row r="11" spans="1:29" ht="60" customHeight="1">
      <c r="A11" s="71" t="s">
        <v>1115</v>
      </c>
      <c r="B11" s="71" t="s">
        <v>4502</v>
      </c>
      <c r="C11" s="71" t="s">
        <v>4458</v>
      </c>
      <c r="D11" s="77">
        <v>46302</v>
      </c>
      <c r="E11" s="89" t="str">
        <f t="shared" si="0"/>
        <v>Ratsit — John Bean Technologies AB — personne morale suédoise active</v>
      </c>
      <c r="F11" s="89" t="str">
        <f t="shared" si="1"/>
        <v>Hitta — John Bean Technologies AB — société mère JBT Corp</v>
      </c>
      <c r="G11" s="89" t="str">
        <f t="shared" si="2"/>
        <v>Parts Town — JBT Replacement Parts — catalogue général, sans preuve de ce code</v>
      </c>
      <c r="H11" s="89" t="str">
        <f t="shared" si="3"/>
        <v>JBT Marel — Spare parts — offre générale, sans catalogue de codes</v>
      </c>
      <c r="I11" s="89" t="str">
        <f t="shared" si="4"/>
        <v>JBT Marel — Lubricants — famille Formula</v>
      </c>
      <c r="J11" s="89" t="str">
        <f t="shared" si="5"/>
        <v>NSF International — Certificate of Conformity — FORMULA 450 GREASE™</v>
      </c>
      <c r="K11" s="89" t="str">
        <f t="shared" si="6"/>
        <v>NSF International — Nonfood Compounds Listing — John Bean Technologies AB</v>
      </c>
      <c r="L11" s="89" t="str">
        <f t="shared" si="7"/>
        <v/>
      </c>
      <c r="M11" s="71" t="s">
        <v>1122</v>
      </c>
      <c r="N11" s="88" t="s">
        <v>4503</v>
      </c>
      <c r="O11" s="88" t="s">
        <v>4504</v>
      </c>
      <c r="P11" s="88" t="s">
        <v>4505</v>
      </c>
      <c r="Q11" s="88" t="s">
        <v>4506</v>
      </c>
      <c r="R11" s="88" t="s">
        <v>4507</v>
      </c>
      <c r="S11" s="88" t="s">
        <v>4508</v>
      </c>
      <c r="T11" s="88" t="s">
        <v>4509</v>
      </c>
      <c r="U11" s="88"/>
      <c r="V11" s="88" t="s">
        <v>4510</v>
      </c>
      <c r="W11" s="88" t="s">
        <v>4511</v>
      </c>
      <c r="X11" s="88" t="s">
        <v>4512</v>
      </c>
      <c r="Y11" s="88" t="s">
        <v>4513</v>
      </c>
      <c r="Z11" s="88" t="s">
        <v>4514</v>
      </c>
      <c r="AA11" s="88" t="s">
        <v>4515</v>
      </c>
      <c r="AB11" s="88" t="s">
        <v>4516</v>
      </c>
      <c r="AC11" s="88"/>
    </row>
    <row r="12" spans="1:29" ht="60" customHeight="1">
      <c r="A12" s="71" t="s">
        <v>1440</v>
      </c>
      <c r="B12" s="71" t="s">
        <v>4517</v>
      </c>
      <c r="C12" s="71" t="s">
        <v>4488</v>
      </c>
      <c r="D12" s="77">
        <v>46302</v>
      </c>
      <c r="E12" s="89" t="str">
        <f t="shared" si="0"/>
        <v>Ratsit — John Bean Technologies AB — personne morale suédoise active</v>
      </c>
      <c r="F12" s="89" t="str">
        <f t="shared" si="1"/>
        <v>Hitta — John Bean Technologies AB — société mère JBT Corp</v>
      </c>
      <c r="G12" s="89" t="str">
        <f t="shared" si="2"/>
        <v>Parts Town — JBT Replacement Parts — catalogue général, sans preuve de ce code</v>
      </c>
      <c r="H12" s="89" t="str">
        <f t="shared" si="3"/>
        <v>JBT Marel — Spare parts — offre générale, sans catalogue de codes</v>
      </c>
      <c r="I12" s="89" t="str">
        <f t="shared" si="4"/>
        <v/>
      </c>
      <c r="J12" s="89" t="str">
        <f t="shared" si="5"/>
        <v/>
      </c>
      <c r="K12" s="89" t="str">
        <f t="shared" si="6"/>
        <v/>
      </c>
      <c r="L12" s="89" t="str">
        <f t="shared" si="7"/>
        <v/>
      </c>
      <c r="M12" s="71" t="s">
        <v>1443</v>
      </c>
      <c r="N12" s="88" t="s">
        <v>4503</v>
      </c>
      <c r="O12" s="88" t="s">
        <v>4504</v>
      </c>
      <c r="P12" s="88" t="s">
        <v>4505</v>
      </c>
      <c r="Q12" s="88" t="s">
        <v>4506</v>
      </c>
      <c r="R12" s="88"/>
      <c r="S12" s="88"/>
      <c r="T12" s="88"/>
      <c r="U12" s="88"/>
      <c r="V12" s="88" t="s">
        <v>4510</v>
      </c>
      <c r="W12" s="88" t="s">
        <v>4511</v>
      </c>
      <c r="X12" s="88" t="s">
        <v>4512</v>
      </c>
      <c r="Y12" s="88" t="s">
        <v>4513</v>
      </c>
      <c r="Z12" s="88"/>
      <c r="AA12" s="88"/>
      <c r="AB12" s="88"/>
      <c r="AC12" s="88"/>
    </row>
    <row r="13" spans="1:29" ht="60" customHeight="1">
      <c r="A13" s="71" t="s">
        <v>1444</v>
      </c>
      <c r="B13" s="71" t="s">
        <v>4518</v>
      </c>
      <c r="C13" s="71" t="s">
        <v>4488</v>
      </c>
      <c r="D13" s="77">
        <v>46302</v>
      </c>
      <c r="E13" s="89" t="str">
        <f t="shared" si="0"/>
        <v>Ratsit — John Bean Technologies AB — personne morale suédoise active</v>
      </c>
      <c r="F13" s="89" t="str">
        <f t="shared" si="1"/>
        <v>Hitta — John Bean Technologies AB — société mère JBT Corp</v>
      </c>
      <c r="G13" s="89" t="str">
        <f t="shared" si="2"/>
        <v>Parts Town — JBT Replacement Parts — catalogue général, sans preuve de ce code</v>
      </c>
      <c r="H13" s="89" t="str">
        <f t="shared" si="3"/>
        <v>JBT Marel — Spare parts — offre générale, sans catalogue de codes</v>
      </c>
      <c r="I13" s="89" t="str">
        <f t="shared" si="4"/>
        <v/>
      </c>
      <c r="J13" s="89" t="str">
        <f t="shared" si="5"/>
        <v/>
      </c>
      <c r="K13" s="89" t="str">
        <f t="shared" si="6"/>
        <v/>
      </c>
      <c r="L13" s="89" t="str">
        <f t="shared" si="7"/>
        <v/>
      </c>
      <c r="M13" s="71" t="s">
        <v>1447</v>
      </c>
      <c r="N13" s="88" t="s">
        <v>4503</v>
      </c>
      <c r="O13" s="88" t="s">
        <v>4504</v>
      </c>
      <c r="P13" s="88" t="s">
        <v>4505</v>
      </c>
      <c r="Q13" s="88" t="s">
        <v>4506</v>
      </c>
      <c r="R13" s="88"/>
      <c r="S13" s="88"/>
      <c r="T13" s="88"/>
      <c r="U13" s="88"/>
      <c r="V13" s="88" t="s">
        <v>4510</v>
      </c>
      <c r="W13" s="88" t="s">
        <v>4511</v>
      </c>
      <c r="X13" s="88" t="s">
        <v>4512</v>
      </c>
      <c r="Y13" s="88" t="s">
        <v>4513</v>
      </c>
      <c r="Z13" s="88"/>
      <c r="AA13" s="88"/>
      <c r="AB13" s="88"/>
      <c r="AC13" s="88"/>
    </row>
    <row r="14" spans="1:29" ht="60" customHeight="1">
      <c r="A14" s="71" t="s">
        <v>1448</v>
      </c>
      <c r="B14" s="71" t="s">
        <v>4519</v>
      </c>
      <c r="C14" s="71" t="s">
        <v>4488</v>
      </c>
      <c r="D14" s="77">
        <v>46302</v>
      </c>
      <c r="E14" s="89" t="str">
        <f t="shared" si="0"/>
        <v>Ratsit — John Bean Technologies AB — personne morale suédoise active</v>
      </c>
      <c r="F14" s="89" t="str">
        <f t="shared" si="1"/>
        <v>Hitta — John Bean Technologies AB — société mère JBT Corp</v>
      </c>
      <c r="G14" s="89" t="str">
        <f t="shared" si="2"/>
        <v>Parts Town — JBT Replacement Parts — catalogue général, sans preuve de ce code</v>
      </c>
      <c r="H14" s="89" t="str">
        <f t="shared" si="3"/>
        <v>JBT Marel — Spare parts — offre générale, sans catalogue de codes</v>
      </c>
      <c r="I14" s="89" t="str">
        <f t="shared" si="4"/>
        <v/>
      </c>
      <c r="J14" s="89" t="str">
        <f t="shared" si="5"/>
        <v/>
      </c>
      <c r="K14" s="89" t="str">
        <f t="shared" si="6"/>
        <v/>
      </c>
      <c r="L14" s="89" t="str">
        <f t="shared" si="7"/>
        <v/>
      </c>
      <c r="M14" s="71" t="s">
        <v>1451</v>
      </c>
      <c r="N14" s="88" t="s">
        <v>4503</v>
      </c>
      <c r="O14" s="88" t="s">
        <v>4504</v>
      </c>
      <c r="P14" s="88" t="s">
        <v>4505</v>
      </c>
      <c r="Q14" s="88" t="s">
        <v>4506</v>
      </c>
      <c r="R14" s="88"/>
      <c r="S14" s="88"/>
      <c r="T14" s="88"/>
      <c r="U14" s="88"/>
      <c r="V14" s="88" t="s">
        <v>4510</v>
      </c>
      <c r="W14" s="88" t="s">
        <v>4511</v>
      </c>
      <c r="X14" s="88" t="s">
        <v>4512</v>
      </c>
      <c r="Y14" s="88" t="s">
        <v>4513</v>
      </c>
      <c r="Z14" s="88"/>
      <c r="AA14" s="88"/>
      <c r="AB14" s="88"/>
      <c r="AC14" s="88"/>
    </row>
    <row r="15" spans="1:29" ht="60" customHeight="1">
      <c r="A15" s="71" t="s">
        <v>1452</v>
      </c>
      <c r="B15" s="71" t="s">
        <v>4520</v>
      </c>
      <c r="C15" s="71" t="s">
        <v>4488</v>
      </c>
      <c r="D15" s="77">
        <v>46302</v>
      </c>
      <c r="E15" s="89" t="str">
        <f t="shared" si="0"/>
        <v>Ratsit — John Bean Technologies AB — personne morale suédoise active</v>
      </c>
      <c r="F15" s="89" t="str">
        <f t="shared" si="1"/>
        <v>Hitta — John Bean Technologies AB — société mère JBT Corp</v>
      </c>
      <c r="G15" s="89" t="str">
        <f t="shared" si="2"/>
        <v>Parts Town — JBT Replacement Parts — catalogue général, sans preuve de ce code</v>
      </c>
      <c r="H15" s="89" t="str">
        <f t="shared" si="3"/>
        <v>JBT Marel — Spare parts — offre générale, sans catalogue de codes</v>
      </c>
      <c r="I15" s="89" t="str">
        <f t="shared" si="4"/>
        <v/>
      </c>
      <c r="J15" s="89" t="str">
        <f t="shared" si="5"/>
        <v/>
      </c>
      <c r="K15" s="89" t="str">
        <f t="shared" si="6"/>
        <v/>
      </c>
      <c r="L15" s="89" t="str">
        <f t="shared" si="7"/>
        <v/>
      </c>
      <c r="M15" s="71" t="s">
        <v>1455</v>
      </c>
      <c r="N15" s="88" t="s">
        <v>4503</v>
      </c>
      <c r="O15" s="88" t="s">
        <v>4504</v>
      </c>
      <c r="P15" s="88" t="s">
        <v>4505</v>
      </c>
      <c r="Q15" s="88" t="s">
        <v>4506</v>
      </c>
      <c r="R15" s="88"/>
      <c r="S15" s="88"/>
      <c r="T15" s="88"/>
      <c r="U15" s="88"/>
      <c r="V15" s="88" t="s">
        <v>4510</v>
      </c>
      <c r="W15" s="88" t="s">
        <v>4511</v>
      </c>
      <c r="X15" s="88" t="s">
        <v>4512</v>
      </c>
      <c r="Y15" s="88" t="s">
        <v>4513</v>
      </c>
      <c r="Z15" s="88"/>
      <c r="AA15" s="88"/>
      <c r="AB15" s="88"/>
      <c r="AC15" s="88"/>
    </row>
    <row r="16" spans="1:29" ht="60" customHeight="1">
      <c r="A16" s="71" t="s">
        <v>1456</v>
      </c>
      <c r="B16" s="71" t="s">
        <v>4521</v>
      </c>
      <c r="C16" s="71" t="s">
        <v>4488</v>
      </c>
      <c r="D16" s="77">
        <v>46302</v>
      </c>
      <c r="E16" s="89" t="str">
        <f t="shared" si="0"/>
        <v>Ratsit — John Bean Technologies AB — personne morale suédoise active</v>
      </c>
      <c r="F16" s="89" t="str">
        <f t="shared" si="1"/>
        <v>Hitta — John Bean Technologies AB — société mère JBT Corp</v>
      </c>
      <c r="G16" s="89" t="str">
        <f t="shared" si="2"/>
        <v>Parts Town — JBT Replacement Parts — catalogue général, sans preuve de ce code</v>
      </c>
      <c r="H16" s="89" t="str">
        <f t="shared" si="3"/>
        <v>JBT Marel — Spare parts — offre générale, sans catalogue de codes</v>
      </c>
      <c r="I16" s="89" t="str">
        <f t="shared" si="4"/>
        <v/>
      </c>
      <c r="J16" s="89" t="str">
        <f t="shared" si="5"/>
        <v/>
      </c>
      <c r="K16" s="89" t="str">
        <f t="shared" si="6"/>
        <v/>
      </c>
      <c r="L16" s="89" t="str">
        <f t="shared" si="7"/>
        <v/>
      </c>
      <c r="M16" s="71" t="s">
        <v>1459</v>
      </c>
      <c r="N16" s="88" t="s">
        <v>4503</v>
      </c>
      <c r="O16" s="88" t="s">
        <v>4504</v>
      </c>
      <c r="P16" s="88" t="s">
        <v>4505</v>
      </c>
      <c r="Q16" s="88" t="s">
        <v>4506</v>
      </c>
      <c r="R16" s="88"/>
      <c r="S16" s="88"/>
      <c r="T16" s="88"/>
      <c r="U16" s="88"/>
      <c r="V16" s="88" t="s">
        <v>4510</v>
      </c>
      <c r="W16" s="88" t="s">
        <v>4511</v>
      </c>
      <c r="X16" s="88" t="s">
        <v>4512</v>
      </c>
      <c r="Y16" s="88" t="s">
        <v>4513</v>
      </c>
      <c r="Z16" s="88"/>
      <c r="AA16" s="88"/>
      <c r="AB16" s="88"/>
      <c r="AC16" s="88"/>
    </row>
    <row r="17" spans="1:29" ht="60" customHeight="1">
      <c r="A17" s="71" t="s">
        <v>1460</v>
      </c>
      <c r="B17" s="71" t="s">
        <v>4522</v>
      </c>
      <c r="C17" s="71" t="s">
        <v>4488</v>
      </c>
      <c r="D17" s="77">
        <v>46302</v>
      </c>
      <c r="E17" s="89" t="str">
        <f t="shared" si="0"/>
        <v>Ratsit — John Bean Technologies AB — personne morale suédoise active</v>
      </c>
      <c r="F17" s="89" t="str">
        <f t="shared" si="1"/>
        <v>Hitta — John Bean Technologies AB — société mère JBT Corp</v>
      </c>
      <c r="G17" s="89" t="str">
        <f t="shared" si="2"/>
        <v>Parts Town — JBT Replacement Parts — catalogue général, sans preuve de ce code</v>
      </c>
      <c r="H17" s="89" t="str">
        <f t="shared" si="3"/>
        <v>JBT Marel — Spare parts — offre générale, sans catalogue de codes</v>
      </c>
      <c r="I17" s="89" t="str">
        <f t="shared" si="4"/>
        <v/>
      </c>
      <c r="J17" s="89" t="str">
        <f t="shared" si="5"/>
        <v/>
      </c>
      <c r="K17" s="89" t="str">
        <f t="shared" si="6"/>
        <v/>
      </c>
      <c r="L17" s="89" t="str">
        <f t="shared" si="7"/>
        <v/>
      </c>
      <c r="M17" s="71" t="s">
        <v>1463</v>
      </c>
      <c r="N17" s="88" t="s">
        <v>4503</v>
      </c>
      <c r="O17" s="88" t="s">
        <v>4504</v>
      </c>
      <c r="P17" s="88" t="s">
        <v>4505</v>
      </c>
      <c r="Q17" s="88" t="s">
        <v>4506</v>
      </c>
      <c r="R17" s="88"/>
      <c r="S17" s="88"/>
      <c r="T17" s="88"/>
      <c r="U17" s="88"/>
      <c r="V17" s="88" t="s">
        <v>4510</v>
      </c>
      <c r="W17" s="88" t="s">
        <v>4511</v>
      </c>
      <c r="X17" s="88" t="s">
        <v>4512</v>
      </c>
      <c r="Y17" s="88" t="s">
        <v>4513</v>
      </c>
      <c r="Z17" s="88"/>
      <c r="AA17" s="88"/>
      <c r="AB17" s="88"/>
      <c r="AC17" s="88"/>
    </row>
    <row r="18" spans="1:29" ht="60" customHeight="1">
      <c r="A18" s="71" t="s">
        <v>1464</v>
      </c>
      <c r="B18" s="71" t="s">
        <v>4523</v>
      </c>
      <c r="C18" s="71" t="s">
        <v>4488</v>
      </c>
      <c r="D18" s="77">
        <v>46302</v>
      </c>
      <c r="E18" s="89" t="str">
        <f t="shared" si="0"/>
        <v>Ratsit — John Bean Technologies AB — personne morale suédoise active</v>
      </c>
      <c r="F18" s="89" t="str">
        <f t="shared" si="1"/>
        <v>Hitta — John Bean Technologies AB — société mère JBT Corp</v>
      </c>
      <c r="G18" s="89" t="str">
        <f t="shared" si="2"/>
        <v>Parts Town — JBT Replacement Parts — catalogue général, sans preuve de ce code</v>
      </c>
      <c r="H18" s="89" t="str">
        <f t="shared" si="3"/>
        <v>JBT Marel — Spare parts — offre générale, sans catalogue de codes</v>
      </c>
      <c r="I18" s="89" t="str">
        <f t="shared" si="4"/>
        <v/>
      </c>
      <c r="J18" s="89" t="str">
        <f t="shared" si="5"/>
        <v/>
      </c>
      <c r="K18" s="89" t="str">
        <f t="shared" si="6"/>
        <v/>
      </c>
      <c r="L18" s="89" t="str">
        <f t="shared" si="7"/>
        <v/>
      </c>
      <c r="M18" s="71" t="s">
        <v>1467</v>
      </c>
      <c r="N18" s="88" t="s">
        <v>4503</v>
      </c>
      <c r="O18" s="88" t="s">
        <v>4504</v>
      </c>
      <c r="P18" s="88" t="s">
        <v>4505</v>
      </c>
      <c r="Q18" s="88" t="s">
        <v>4506</v>
      </c>
      <c r="R18" s="88"/>
      <c r="S18" s="88"/>
      <c r="T18" s="88"/>
      <c r="U18" s="88"/>
      <c r="V18" s="88" t="s">
        <v>4510</v>
      </c>
      <c r="W18" s="88" t="s">
        <v>4511</v>
      </c>
      <c r="X18" s="88" t="s">
        <v>4512</v>
      </c>
      <c r="Y18" s="88" t="s">
        <v>4513</v>
      </c>
      <c r="Z18" s="88"/>
      <c r="AA18" s="88"/>
      <c r="AB18" s="88"/>
      <c r="AC18" s="88"/>
    </row>
    <row r="19" spans="1:29" ht="60" customHeight="1">
      <c r="A19" s="71" t="s">
        <v>1468</v>
      </c>
      <c r="B19" s="71" t="s">
        <v>4524</v>
      </c>
      <c r="C19" s="71" t="s">
        <v>4488</v>
      </c>
      <c r="D19" s="77">
        <v>46302</v>
      </c>
      <c r="E19" s="89" t="str">
        <f t="shared" si="0"/>
        <v>Ratsit — John Bean Technologies AB — personne morale suédoise active</v>
      </c>
      <c r="F19" s="89" t="str">
        <f t="shared" si="1"/>
        <v>Hitta — John Bean Technologies AB — société mère JBT Corp</v>
      </c>
      <c r="G19" s="89" t="str">
        <f t="shared" si="2"/>
        <v>Parts Town — JBT Replacement Parts — catalogue général, sans preuve de ce code</v>
      </c>
      <c r="H19" s="89" t="str">
        <f t="shared" si="3"/>
        <v>JBT Marel — Spare parts — offre générale, sans catalogue de codes</v>
      </c>
      <c r="I19" s="89" t="str">
        <f t="shared" si="4"/>
        <v/>
      </c>
      <c r="J19" s="89" t="str">
        <f t="shared" si="5"/>
        <v/>
      </c>
      <c r="K19" s="89" t="str">
        <f t="shared" si="6"/>
        <v/>
      </c>
      <c r="L19" s="89" t="str">
        <f t="shared" si="7"/>
        <v/>
      </c>
      <c r="M19" s="71" t="s">
        <v>1471</v>
      </c>
      <c r="N19" s="88" t="s">
        <v>4503</v>
      </c>
      <c r="O19" s="88" t="s">
        <v>4504</v>
      </c>
      <c r="P19" s="88" t="s">
        <v>4505</v>
      </c>
      <c r="Q19" s="88" t="s">
        <v>4506</v>
      </c>
      <c r="R19" s="88"/>
      <c r="S19" s="88"/>
      <c r="T19" s="88"/>
      <c r="U19" s="88"/>
      <c r="V19" s="88" t="s">
        <v>4510</v>
      </c>
      <c r="W19" s="88" t="s">
        <v>4511</v>
      </c>
      <c r="X19" s="88" t="s">
        <v>4512</v>
      </c>
      <c r="Y19" s="88" t="s">
        <v>4513</v>
      </c>
      <c r="Z19" s="88"/>
      <c r="AA19" s="88"/>
      <c r="AB19" s="88"/>
      <c r="AC19" s="88"/>
    </row>
    <row r="20" spans="1:29" ht="60" customHeight="1">
      <c r="A20" s="71" t="s">
        <v>1472</v>
      </c>
      <c r="B20" s="71" t="s">
        <v>4525</v>
      </c>
      <c r="C20" s="71" t="s">
        <v>4488</v>
      </c>
      <c r="D20" s="77">
        <v>46302</v>
      </c>
      <c r="E20" s="89" t="str">
        <f t="shared" si="0"/>
        <v>Ratsit — John Bean Technologies AB — personne morale suédoise active</v>
      </c>
      <c r="F20" s="89" t="str">
        <f t="shared" si="1"/>
        <v>Hitta — John Bean Technologies AB — société mère JBT Corp</v>
      </c>
      <c r="G20" s="89" t="str">
        <f t="shared" si="2"/>
        <v>Parts Town — JBT Replacement Parts — catalogue général, sans preuve de ce code</v>
      </c>
      <c r="H20" s="89" t="str">
        <f t="shared" si="3"/>
        <v>JBT Marel — Spare parts — offre générale, sans catalogue de codes</v>
      </c>
      <c r="I20" s="89" t="str">
        <f t="shared" si="4"/>
        <v/>
      </c>
      <c r="J20" s="89" t="str">
        <f t="shared" si="5"/>
        <v/>
      </c>
      <c r="K20" s="89" t="str">
        <f t="shared" si="6"/>
        <v/>
      </c>
      <c r="L20" s="89" t="str">
        <f t="shared" si="7"/>
        <v/>
      </c>
      <c r="M20" s="71" t="s">
        <v>1475</v>
      </c>
      <c r="N20" s="88" t="s">
        <v>4503</v>
      </c>
      <c r="O20" s="88" t="s">
        <v>4504</v>
      </c>
      <c r="P20" s="88" t="s">
        <v>4505</v>
      </c>
      <c r="Q20" s="88" t="s">
        <v>4506</v>
      </c>
      <c r="R20" s="88"/>
      <c r="S20" s="88"/>
      <c r="T20" s="88"/>
      <c r="U20" s="88"/>
      <c r="V20" s="88" t="s">
        <v>4510</v>
      </c>
      <c r="W20" s="88" t="s">
        <v>4511</v>
      </c>
      <c r="X20" s="88" t="s">
        <v>4512</v>
      </c>
      <c r="Y20" s="88" t="s">
        <v>4513</v>
      </c>
      <c r="Z20" s="88"/>
      <c r="AA20" s="88"/>
      <c r="AB20" s="88"/>
      <c r="AC20" s="88"/>
    </row>
    <row r="21" spans="1:29" ht="60" customHeight="1">
      <c r="A21" s="71" t="s">
        <v>1476</v>
      </c>
      <c r="B21" s="71" t="s">
        <v>4526</v>
      </c>
      <c r="C21" s="71" t="s">
        <v>4488</v>
      </c>
      <c r="D21" s="77">
        <v>46302</v>
      </c>
      <c r="E21" s="89" t="str">
        <f t="shared" si="0"/>
        <v>Ratsit — John Bean Technologies AB — personne morale suédoise active</v>
      </c>
      <c r="F21" s="89" t="str">
        <f t="shared" si="1"/>
        <v>Hitta — John Bean Technologies AB — société mère JBT Corp</v>
      </c>
      <c r="G21" s="89" t="str">
        <f t="shared" si="2"/>
        <v>Parts Town — JBT Replacement Parts — catalogue général, sans preuve de ce code</v>
      </c>
      <c r="H21" s="89" t="str">
        <f t="shared" si="3"/>
        <v>JBT Marel — Spare parts — offre générale, sans catalogue de codes</v>
      </c>
      <c r="I21" s="89" t="str">
        <f t="shared" si="4"/>
        <v/>
      </c>
      <c r="J21" s="89" t="str">
        <f t="shared" si="5"/>
        <v/>
      </c>
      <c r="K21" s="89" t="str">
        <f t="shared" si="6"/>
        <v/>
      </c>
      <c r="L21" s="89" t="str">
        <f t="shared" si="7"/>
        <v/>
      </c>
      <c r="M21" s="71" t="s">
        <v>1479</v>
      </c>
      <c r="N21" s="88" t="s">
        <v>4503</v>
      </c>
      <c r="O21" s="88" t="s">
        <v>4504</v>
      </c>
      <c r="P21" s="88" t="s">
        <v>4505</v>
      </c>
      <c r="Q21" s="88" t="s">
        <v>4506</v>
      </c>
      <c r="R21" s="88"/>
      <c r="S21" s="88"/>
      <c r="T21" s="88"/>
      <c r="U21" s="88"/>
      <c r="V21" s="88" t="s">
        <v>4510</v>
      </c>
      <c r="W21" s="88" t="s">
        <v>4511</v>
      </c>
      <c r="X21" s="88" t="s">
        <v>4512</v>
      </c>
      <c r="Y21" s="88" t="s">
        <v>4513</v>
      </c>
      <c r="Z21" s="88"/>
      <c r="AA21" s="88"/>
      <c r="AB21" s="88"/>
      <c r="AC21" s="88"/>
    </row>
    <row r="22" spans="1:29" ht="60" customHeight="1">
      <c r="A22" s="71" t="s">
        <v>1480</v>
      </c>
      <c r="B22" s="71" t="s">
        <v>4527</v>
      </c>
      <c r="C22" s="71" t="s">
        <v>4488</v>
      </c>
      <c r="D22" s="77">
        <v>46302</v>
      </c>
      <c r="E22" s="89" t="str">
        <f t="shared" si="0"/>
        <v>Ratsit — John Bean Technologies AB — personne morale suédoise active</v>
      </c>
      <c r="F22" s="89" t="str">
        <f t="shared" si="1"/>
        <v>Hitta — John Bean Technologies AB — société mère JBT Corp</v>
      </c>
      <c r="G22" s="89" t="str">
        <f t="shared" si="2"/>
        <v>Parts Town — JBT Replacement Parts — catalogue général, sans preuve de ce code</v>
      </c>
      <c r="H22" s="89" t="str">
        <f t="shared" si="3"/>
        <v>JBT Marel — Spare parts — offre générale, sans catalogue de codes</v>
      </c>
      <c r="I22" s="89" t="str">
        <f t="shared" si="4"/>
        <v>Eximpedia — John Bean Technologies AB — données commerciales, occurrence QUICK COUPLING 308835G</v>
      </c>
      <c r="J22" s="89" t="str">
        <f t="shared" si="5"/>
        <v/>
      </c>
      <c r="K22" s="89" t="str">
        <f t="shared" si="6"/>
        <v/>
      </c>
      <c r="L22" s="89" t="str">
        <f t="shared" si="7"/>
        <v/>
      </c>
      <c r="M22" s="71" t="s">
        <v>1483</v>
      </c>
      <c r="N22" s="88" t="s">
        <v>4503</v>
      </c>
      <c r="O22" s="88" t="s">
        <v>4504</v>
      </c>
      <c r="P22" s="88" t="s">
        <v>4505</v>
      </c>
      <c r="Q22" s="88" t="s">
        <v>4506</v>
      </c>
      <c r="R22" s="88" t="s">
        <v>4528</v>
      </c>
      <c r="S22" s="88"/>
      <c r="T22" s="88"/>
      <c r="U22" s="88"/>
      <c r="V22" s="88" t="s">
        <v>4510</v>
      </c>
      <c r="W22" s="88" t="s">
        <v>4511</v>
      </c>
      <c r="X22" s="88" t="s">
        <v>4512</v>
      </c>
      <c r="Y22" s="88" t="s">
        <v>4513</v>
      </c>
      <c r="Z22" s="88" t="s">
        <v>4529</v>
      </c>
      <c r="AA22" s="88"/>
      <c r="AB22" s="88"/>
      <c r="AC22" s="88"/>
    </row>
    <row r="23" spans="1:29" ht="60" customHeight="1">
      <c r="A23" s="71" t="s">
        <v>1484</v>
      </c>
      <c r="B23" s="71" t="s">
        <v>4530</v>
      </c>
      <c r="C23" s="71" t="s">
        <v>4488</v>
      </c>
      <c r="D23" s="77">
        <v>46302</v>
      </c>
      <c r="E23" s="89" t="str">
        <f t="shared" si="0"/>
        <v>Ratsit — John Bean Technologies AB — personne morale suédoise active</v>
      </c>
      <c r="F23" s="89" t="str">
        <f t="shared" si="1"/>
        <v>Hitta — John Bean Technologies AB — société mère JBT Corp</v>
      </c>
      <c r="G23" s="89" t="str">
        <f t="shared" si="2"/>
        <v>Parts Town — JBT Replacement Parts — catalogue général, sans preuve de ce code</v>
      </c>
      <c r="H23" s="89" t="str">
        <f t="shared" si="3"/>
        <v>JBT Marel — Spare parts — offre générale, sans catalogue de codes</v>
      </c>
      <c r="I23" s="89" t="str">
        <f t="shared" si="4"/>
        <v/>
      </c>
      <c r="J23" s="89" t="str">
        <f t="shared" si="5"/>
        <v/>
      </c>
      <c r="K23" s="89" t="str">
        <f t="shared" si="6"/>
        <v/>
      </c>
      <c r="L23" s="89" t="str">
        <f t="shared" si="7"/>
        <v/>
      </c>
      <c r="M23" s="71" t="s">
        <v>1487</v>
      </c>
      <c r="N23" s="88" t="s">
        <v>4503</v>
      </c>
      <c r="O23" s="88" t="s">
        <v>4504</v>
      </c>
      <c r="P23" s="88" t="s">
        <v>4505</v>
      </c>
      <c r="Q23" s="88" t="s">
        <v>4506</v>
      </c>
      <c r="R23" s="88"/>
      <c r="S23" s="88"/>
      <c r="T23" s="88"/>
      <c r="U23" s="88"/>
      <c r="V23" s="88" t="s">
        <v>4510</v>
      </c>
      <c r="W23" s="88" t="s">
        <v>4511</v>
      </c>
      <c r="X23" s="88" t="s">
        <v>4512</v>
      </c>
      <c r="Y23" s="88" t="s">
        <v>4513</v>
      </c>
      <c r="Z23" s="88"/>
      <c r="AA23" s="88"/>
      <c r="AB23" s="88"/>
      <c r="AC23" s="88"/>
    </row>
    <row r="24" spans="1:29" ht="60" customHeight="1">
      <c r="A24" s="71" t="s">
        <v>1488</v>
      </c>
      <c r="B24" s="71" t="s">
        <v>4531</v>
      </c>
      <c r="C24" s="71" t="s">
        <v>4488</v>
      </c>
      <c r="D24" s="77">
        <v>46302</v>
      </c>
      <c r="E24" s="89" t="str">
        <f t="shared" si="0"/>
        <v>Ratsit — John Bean Technologies AB — personne morale suédoise active</v>
      </c>
      <c r="F24" s="89" t="str">
        <f t="shared" si="1"/>
        <v>Hitta — John Bean Technologies AB — société mère JBT Corp</v>
      </c>
      <c r="G24" s="89" t="str">
        <f t="shared" si="2"/>
        <v>Parts Town — JBT Replacement Parts — catalogue général, sans preuve de ce code</v>
      </c>
      <c r="H24" s="89" t="str">
        <f t="shared" si="3"/>
        <v>JBT Marel — Spare parts — offre générale, sans catalogue de codes</v>
      </c>
      <c r="I24" s="89" t="str">
        <f t="shared" si="4"/>
        <v/>
      </c>
      <c r="J24" s="89" t="str">
        <f t="shared" si="5"/>
        <v/>
      </c>
      <c r="K24" s="89" t="str">
        <f t="shared" si="6"/>
        <v/>
      </c>
      <c r="L24" s="89" t="str">
        <f t="shared" si="7"/>
        <v/>
      </c>
      <c r="M24" s="71" t="s">
        <v>1491</v>
      </c>
      <c r="N24" s="88" t="s">
        <v>4503</v>
      </c>
      <c r="O24" s="88" t="s">
        <v>4504</v>
      </c>
      <c r="P24" s="88" t="s">
        <v>4505</v>
      </c>
      <c r="Q24" s="88" t="s">
        <v>4506</v>
      </c>
      <c r="R24" s="88"/>
      <c r="S24" s="88"/>
      <c r="T24" s="88"/>
      <c r="U24" s="88"/>
      <c r="V24" s="88" t="s">
        <v>4510</v>
      </c>
      <c r="W24" s="88" t="s">
        <v>4511</v>
      </c>
      <c r="X24" s="88" t="s">
        <v>4512</v>
      </c>
      <c r="Y24" s="88" t="s">
        <v>4513</v>
      </c>
      <c r="Z24" s="88"/>
      <c r="AA24" s="88"/>
      <c r="AB24" s="88"/>
      <c r="AC24" s="88"/>
    </row>
    <row r="25" spans="1:29" ht="60" customHeight="1">
      <c r="A25" s="71" t="s">
        <v>1492</v>
      </c>
      <c r="B25" s="71" t="s">
        <v>4532</v>
      </c>
      <c r="C25" s="71" t="s">
        <v>4488</v>
      </c>
      <c r="D25" s="77">
        <v>46302</v>
      </c>
      <c r="E25" s="89" t="str">
        <f t="shared" si="0"/>
        <v>Ratsit — John Bean Technologies AB — personne morale suédoise active</v>
      </c>
      <c r="F25" s="89" t="str">
        <f t="shared" si="1"/>
        <v>Hitta — John Bean Technologies AB — société mère JBT Corp</v>
      </c>
      <c r="G25" s="89" t="str">
        <f t="shared" si="2"/>
        <v>Parts Town — JBT Replacement Parts — catalogue général, sans preuve de ce code</v>
      </c>
      <c r="H25" s="89" t="str">
        <f t="shared" si="3"/>
        <v>JBT Marel — Spare parts — offre générale, sans catalogue de codes</v>
      </c>
      <c r="I25" s="89" t="str">
        <f t="shared" si="4"/>
        <v/>
      </c>
      <c r="J25" s="89" t="str">
        <f t="shared" si="5"/>
        <v/>
      </c>
      <c r="K25" s="89" t="str">
        <f t="shared" si="6"/>
        <v/>
      </c>
      <c r="L25" s="89" t="str">
        <f t="shared" si="7"/>
        <v/>
      </c>
      <c r="M25" s="71" t="s">
        <v>1495</v>
      </c>
      <c r="N25" s="88" t="s">
        <v>4503</v>
      </c>
      <c r="O25" s="88" t="s">
        <v>4504</v>
      </c>
      <c r="P25" s="88" t="s">
        <v>4505</v>
      </c>
      <c r="Q25" s="88" t="s">
        <v>4506</v>
      </c>
      <c r="R25" s="88"/>
      <c r="S25" s="88"/>
      <c r="T25" s="88"/>
      <c r="U25" s="88"/>
      <c r="V25" s="88" t="s">
        <v>4510</v>
      </c>
      <c r="W25" s="88" t="s">
        <v>4511</v>
      </c>
      <c r="X25" s="88" t="s">
        <v>4512</v>
      </c>
      <c r="Y25" s="88" t="s">
        <v>4513</v>
      </c>
      <c r="Z25" s="88"/>
      <c r="AA25" s="88"/>
      <c r="AB25" s="88"/>
      <c r="AC25" s="88"/>
    </row>
    <row r="26" spans="1:29" ht="60" customHeight="1">
      <c r="A26" s="71" t="s">
        <v>1496</v>
      </c>
      <c r="B26" s="71" t="s">
        <v>4533</v>
      </c>
      <c r="C26" s="71" t="s">
        <v>4488</v>
      </c>
      <c r="D26" s="77">
        <v>46302</v>
      </c>
      <c r="E26" s="89" t="str">
        <f t="shared" si="0"/>
        <v>Ratsit — John Bean Technologies AB — personne morale suédoise active</v>
      </c>
      <c r="F26" s="89" t="str">
        <f t="shared" si="1"/>
        <v>Hitta — John Bean Technologies AB — société mère JBT Corp</v>
      </c>
      <c r="G26" s="89" t="str">
        <f t="shared" si="2"/>
        <v>Parts Town — JBT Replacement Parts — catalogue général, sans preuve de ce code</v>
      </c>
      <c r="H26" s="89" t="str">
        <f t="shared" si="3"/>
        <v>JBT Marel — Spare parts — offre générale, sans catalogue de codes</v>
      </c>
      <c r="I26" s="89" t="str">
        <f t="shared" si="4"/>
        <v/>
      </c>
      <c r="J26" s="89" t="str">
        <f t="shared" si="5"/>
        <v/>
      </c>
      <c r="K26" s="89" t="str">
        <f t="shared" si="6"/>
        <v/>
      </c>
      <c r="L26" s="89" t="str">
        <f t="shared" si="7"/>
        <v/>
      </c>
      <c r="M26" s="71" t="s">
        <v>1499</v>
      </c>
      <c r="N26" s="88" t="s">
        <v>4503</v>
      </c>
      <c r="O26" s="88" t="s">
        <v>4504</v>
      </c>
      <c r="P26" s="88" t="s">
        <v>4505</v>
      </c>
      <c r="Q26" s="88" t="s">
        <v>4506</v>
      </c>
      <c r="R26" s="88"/>
      <c r="S26" s="88"/>
      <c r="T26" s="88"/>
      <c r="U26" s="88"/>
      <c r="V26" s="88" t="s">
        <v>4510</v>
      </c>
      <c r="W26" s="88" t="s">
        <v>4511</v>
      </c>
      <c r="X26" s="88" t="s">
        <v>4512</v>
      </c>
      <c r="Y26" s="88" t="s">
        <v>4513</v>
      </c>
      <c r="Z26" s="88"/>
      <c r="AA26" s="88"/>
      <c r="AB26" s="88"/>
      <c r="AC26" s="88"/>
    </row>
    <row r="27" spans="1:29" ht="60" customHeight="1">
      <c r="A27" s="71" t="s">
        <v>1500</v>
      </c>
      <c r="B27" s="71" t="s">
        <v>4534</v>
      </c>
      <c r="C27" s="71" t="s">
        <v>4458</v>
      </c>
      <c r="D27" s="77">
        <v>46302</v>
      </c>
      <c r="E27" s="89" t="str">
        <f t="shared" si="0"/>
        <v>Ratsit — John Bean Technologies AB — personne morale suédoise active</v>
      </c>
      <c r="F27" s="89" t="str">
        <f t="shared" si="1"/>
        <v>Hitta — John Bean Technologies AB — société mère JBT Corp</v>
      </c>
      <c r="G27" s="89" t="str">
        <f t="shared" si="2"/>
        <v>Parts Town — JBT Replacement Parts — catalogue général, sans preuve de ce code</v>
      </c>
      <c r="H27" s="89" t="str">
        <f t="shared" si="3"/>
        <v>JBT Marel — Spare parts — offre générale, sans catalogue de codes</v>
      </c>
      <c r="I27" s="89" t="str">
        <f t="shared" si="4"/>
        <v>NORD DRIVESYSTEMS — 71 LP/4 — variante HMT, n° 32410083, portée série uniquement</v>
      </c>
      <c r="J27" s="89" t="str">
        <f t="shared" si="5"/>
        <v>Imtek Engineering — Nord 71LP/4 Motor — type de base</v>
      </c>
      <c r="K27" s="89" t="str">
        <f t="shared" si="6"/>
        <v/>
      </c>
      <c r="L27" s="89" t="str">
        <f t="shared" si="7"/>
        <v/>
      </c>
      <c r="M27" s="71" t="s">
        <v>1505</v>
      </c>
      <c r="N27" s="88" t="s">
        <v>4503</v>
      </c>
      <c r="O27" s="88" t="s">
        <v>4504</v>
      </c>
      <c r="P27" s="88" t="s">
        <v>4505</v>
      </c>
      <c r="Q27" s="88" t="s">
        <v>4506</v>
      </c>
      <c r="R27" s="88" t="s">
        <v>4535</v>
      </c>
      <c r="S27" s="88" t="s">
        <v>4536</v>
      </c>
      <c r="T27" s="88"/>
      <c r="U27" s="88"/>
      <c r="V27" s="88" t="s">
        <v>4510</v>
      </c>
      <c r="W27" s="88" t="s">
        <v>4511</v>
      </c>
      <c r="X27" s="88" t="s">
        <v>4512</v>
      </c>
      <c r="Y27" s="88" t="s">
        <v>4513</v>
      </c>
      <c r="Z27" s="88" t="s">
        <v>4537</v>
      </c>
      <c r="AA27" s="88" t="s">
        <v>4538</v>
      </c>
      <c r="AB27" s="88"/>
      <c r="AC27" s="88"/>
    </row>
    <row r="28" spans="1:29" ht="60" customHeight="1">
      <c r="A28" s="71" t="s">
        <v>1506</v>
      </c>
      <c r="B28" s="71" t="s">
        <v>4539</v>
      </c>
      <c r="C28" s="71" t="s">
        <v>4458</v>
      </c>
      <c r="D28" s="77">
        <v>46302</v>
      </c>
      <c r="E28" s="89" t="str">
        <f t="shared" si="0"/>
        <v>Ratsit — John Bean Technologies AB — personne morale suédoise active</v>
      </c>
      <c r="F28" s="89" t="str">
        <f t="shared" si="1"/>
        <v>Hitta — John Bean Technologies AB — société mère JBT Corp</v>
      </c>
      <c r="G28" s="89" t="str">
        <f t="shared" si="2"/>
        <v>Parts Town — JBT Replacement Parts — catalogue général, sans preuve de ce code</v>
      </c>
      <c r="H28" s="89" t="str">
        <f t="shared" si="3"/>
        <v>JBT Marel — Spare parts — offre générale, sans catalogue de codes</v>
      </c>
      <c r="I28" s="89" t="str">
        <f t="shared" si="4"/>
        <v>NORD DRIVESYSTEMS — NORD's Small Parallel Shaft Gear Units — série 0282.1</v>
      </c>
      <c r="J28" s="89" t="str">
        <f t="shared" si="5"/>
        <v>Chem17 / 赛威传动技术（嘉兴）有限公司 — Pignon pour SK0282.1AXF — annonce de composant, non fiche du réducteur</v>
      </c>
      <c r="K28" s="89" t="str">
        <f t="shared" si="6"/>
        <v/>
      </c>
      <c r="L28" s="89" t="str">
        <f t="shared" si="7"/>
        <v/>
      </c>
      <c r="M28" s="71" t="s">
        <v>1510</v>
      </c>
      <c r="N28" s="88" t="s">
        <v>4503</v>
      </c>
      <c r="O28" s="88" t="s">
        <v>4504</v>
      </c>
      <c r="P28" s="88" t="s">
        <v>4505</v>
      </c>
      <c r="Q28" s="88" t="s">
        <v>4506</v>
      </c>
      <c r="R28" s="88" t="s">
        <v>4540</v>
      </c>
      <c r="S28" s="88" t="s">
        <v>4541</v>
      </c>
      <c r="T28" s="88"/>
      <c r="U28" s="88"/>
      <c r="V28" s="88" t="s">
        <v>4510</v>
      </c>
      <c r="W28" s="88" t="s">
        <v>4511</v>
      </c>
      <c r="X28" s="88" t="s">
        <v>4512</v>
      </c>
      <c r="Y28" s="88" t="s">
        <v>4513</v>
      </c>
      <c r="Z28" s="88" t="s">
        <v>4542</v>
      </c>
      <c r="AA28" s="88" t="s">
        <v>4543</v>
      </c>
      <c r="AB28" s="88"/>
      <c r="AC28" s="88"/>
    </row>
    <row r="29" spans="1:29" ht="60" customHeight="1">
      <c r="A29" s="71" t="s">
        <v>1511</v>
      </c>
      <c r="B29" s="71" t="s">
        <v>4544</v>
      </c>
      <c r="C29" s="71" t="s">
        <v>4458</v>
      </c>
      <c r="D29" s="77">
        <v>46302</v>
      </c>
      <c r="E29" s="89" t="str">
        <f t="shared" si="0"/>
        <v>Ratsit — John Bean Technologies AB — personne morale suédoise active</v>
      </c>
      <c r="F29" s="89" t="str">
        <f t="shared" si="1"/>
        <v>Hitta — John Bean Technologies AB — société mère JBT Corp</v>
      </c>
      <c r="G29" s="89" t="str">
        <f t="shared" si="2"/>
        <v>Parts Town — JBT Replacement Parts — catalogue général, sans preuve de ce code</v>
      </c>
      <c r="H29" s="89" t="str">
        <f t="shared" si="3"/>
        <v>JBT Marel — Spare parts — offre générale, sans catalogue de codes</v>
      </c>
      <c r="I29" s="89" t="str">
        <f t="shared" si="4"/>
        <v>NORD DRIVESYSTEMS — 71 LP/4 — variante HMT, n° 32410083, portée série uniquement</v>
      </c>
      <c r="J29" s="89" t="str">
        <f t="shared" si="5"/>
        <v>Imtek Engineering — Nord 71LP/4 Motor — type de base</v>
      </c>
      <c r="K29" s="89" t="str">
        <f t="shared" si="6"/>
        <v>NORD DRIVESYSTEMS — NORD's Small Parallel Shaft Gear Units — série 0282.1</v>
      </c>
      <c r="L29" s="89" t="str">
        <f t="shared" si="7"/>
        <v>Chem17 / 赛威传动技术（嘉兴）有限公司 — Pignon pour SK0282.1AXF — annonce de composant, non fiche du réducteur</v>
      </c>
      <c r="M29" s="71" t="s">
        <v>1516</v>
      </c>
      <c r="N29" s="88" t="s">
        <v>4503</v>
      </c>
      <c r="O29" s="88" t="s">
        <v>4504</v>
      </c>
      <c r="P29" s="88" t="s">
        <v>4505</v>
      </c>
      <c r="Q29" s="88" t="s">
        <v>4506</v>
      </c>
      <c r="R29" s="88" t="s">
        <v>4535</v>
      </c>
      <c r="S29" s="88" t="s">
        <v>4536</v>
      </c>
      <c r="T29" s="88" t="s">
        <v>4540</v>
      </c>
      <c r="U29" s="88" t="s">
        <v>4541</v>
      </c>
      <c r="V29" s="88" t="s">
        <v>4510</v>
      </c>
      <c r="W29" s="88" t="s">
        <v>4511</v>
      </c>
      <c r="X29" s="88" t="s">
        <v>4512</v>
      </c>
      <c r="Y29" s="88" t="s">
        <v>4513</v>
      </c>
      <c r="Z29" s="88" t="s">
        <v>4537</v>
      </c>
      <c r="AA29" s="88" t="s">
        <v>4538</v>
      </c>
      <c r="AB29" s="88" t="s">
        <v>4542</v>
      </c>
      <c r="AC29" s="88" t="s">
        <v>4543</v>
      </c>
    </row>
    <row r="30" spans="1:29" ht="60" customHeight="1">
      <c r="A30" s="71" t="s">
        <v>1517</v>
      </c>
      <c r="B30" s="71" t="s">
        <v>4545</v>
      </c>
      <c r="C30" s="71" t="s">
        <v>4492</v>
      </c>
      <c r="D30" s="77">
        <v>46302</v>
      </c>
      <c r="E30" s="89" t="str">
        <f t="shared" si="0"/>
        <v>Ratsit — John Bean Technologies AB — personne morale suédoise active</v>
      </c>
      <c r="F30" s="89" t="str">
        <f t="shared" si="1"/>
        <v>Hitta — John Bean Technologies AB — société mère JBT Corp</v>
      </c>
      <c r="G30" s="89" t="str">
        <f t="shared" si="2"/>
        <v>Parts Town — JBT Replacement Parts — catalogue général, sans preuve de ce code</v>
      </c>
      <c r="H30" s="89" t="str">
        <f t="shared" si="3"/>
        <v>JBT Marel — Spare parts — offre générale, sans catalogue de codes</v>
      </c>
      <c r="I30" s="89" t="str">
        <f t="shared" si="4"/>
        <v>Heritage Equipment — Conveyor chain guide wear strip, 109394 FMC FoodTech</v>
      </c>
      <c r="J30" s="89" t="str">
        <f t="shared" si="5"/>
        <v/>
      </c>
      <c r="K30" s="89" t="str">
        <f t="shared" si="6"/>
        <v/>
      </c>
      <c r="L30" s="89" t="str">
        <f t="shared" si="7"/>
        <v/>
      </c>
      <c r="M30" s="71" t="s">
        <v>1523</v>
      </c>
      <c r="N30" s="88" t="s">
        <v>4503</v>
      </c>
      <c r="O30" s="88" t="s">
        <v>4504</v>
      </c>
      <c r="P30" s="88" t="s">
        <v>4505</v>
      </c>
      <c r="Q30" s="88" t="s">
        <v>4506</v>
      </c>
      <c r="R30" s="88" t="s">
        <v>4546</v>
      </c>
      <c r="S30" s="88"/>
      <c r="T30" s="88"/>
      <c r="U30" s="88"/>
      <c r="V30" s="88" t="s">
        <v>4510</v>
      </c>
      <c r="W30" s="88" t="s">
        <v>4511</v>
      </c>
      <c r="X30" s="88" t="s">
        <v>4512</v>
      </c>
      <c r="Y30" s="88" t="s">
        <v>4513</v>
      </c>
      <c r="Z30" s="88" t="s">
        <v>4547</v>
      </c>
      <c r="AA30" s="88"/>
      <c r="AB30" s="88"/>
      <c r="AC30" s="88"/>
    </row>
    <row r="31" spans="1:29" ht="60" customHeight="1">
      <c r="A31" s="71" t="s">
        <v>1524</v>
      </c>
      <c r="B31" s="71" t="s">
        <v>4548</v>
      </c>
      <c r="C31" s="71" t="s">
        <v>4488</v>
      </c>
      <c r="D31" s="77">
        <v>46302</v>
      </c>
      <c r="E31" s="89" t="str">
        <f t="shared" si="0"/>
        <v>Ratsit — John Bean Technologies AB — personne morale suédoise active</v>
      </c>
      <c r="F31" s="89" t="str">
        <f t="shared" si="1"/>
        <v>Hitta — John Bean Technologies AB — société mère JBT Corp</v>
      </c>
      <c r="G31" s="89" t="str">
        <f t="shared" si="2"/>
        <v>Parts Town — JBT Replacement Parts — catalogue général, sans preuve de ce code</v>
      </c>
      <c r="H31" s="89" t="str">
        <f t="shared" si="3"/>
        <v>JBT Marel — Spare parts — offre générale, sans catalogue de codes</v>
      </c>
      <c r="I31" s="89" t="str">
        <f t="shared" si="4"/>
        <v/>
      </c>
      <c r="J31" s="89" t="str">
        <f t="shared" si="5"/>
        <v/>
      </c>
      <c r="K31" s="89" t="str">
        <f t="shared" si="6"/>
        <v/>
      </c>
      <c r="L31" s="89" t="str">
        <f t="shared" si="7"/>
        <v/>
      </c>
      <c r="M31" s="71" t="s">
        <v>1527</v>
      </c>
      <c r="N31" s="88" t="s">
        <v>4503</v>
      </c>
      <c r="O31" s="88" t="s">
        <v>4504</v>
      </c>
      <c r="P31" s="88" t="s">
        <v>4505</v>
      </c>
      <c r="Q31" s="88" t="s">
        <v>4506</v>
      </c>
      <c r="R31" s="88"/>
      <c r="S31" s="88"/>
      <c r="T31" s="88"/>
      <c r="U31" s="88"/>
      <c r="V31" s="88" t="s">
        <v>4510</v>
      </c>
      <c r="W31" s="88" t="s">
        <v>4511</v>
      </c>
      <c r="X31" s="88" t="s">
        <v>4512</v>
      </c>
      <c r="Y31" s="88" t="s">
        <v>4513</v>
      </c>
      <c r="Z31" s="88"/>
      <c r="AA31" s="88"/>
      <c r="AB31" s="88"/>
      <c r="AC31" s="88"/>
    </row>
    <row r="32" spans="1:29" ht="60" customHeight="1">
      <c r="A32" s="71" t="s">
        <v>1528</v>
      </c>
      <c r="B32" s="71" t="s">
        <v>4549</v>
      </c>
      <c r="C32" s="71" t="s">
        <v>4488</v>
      </c>
      <c r="D32" s="77">
        <v>46302</v>
      </c>
      <c r="E32" s="89" t="str">
        <f t="shared" si="0"/>
        <v>Ratsit — John Bean Technologies AB — personne morale suédoise active</v>
      </c>
      <c r="F32" s="89" t="str">
        <f t="shared" si="1"/>
        <v>Hitta — John Bean Technologies AB — société mère JBT Corp</v>
      </c>
      <c r="G32" s="89" t="str">
        <f t="shared" si="2"/>
        <v>Parts Town — JBT Replacement Parts — catalogue général, sans preuve de ce code</v>
      </c>
      <c r="H32" s="89" t="str">
        <f t="shared" si="3"/>
        <v>JBT Marel — Spare parts — offre générale, sans catalogue de codes</v>
      </c>
      <c r="I32" s="89" t="str">
        <f t="shared" si="4"/>
        <v/>
      </c>
      <c r="J32" s="89" t="str">
        <f t="shared" si="5"/>
        <v/>
      </c>
      <c r="K32" s="89" t="str">
        <f t="shared" si="6"/>
        <v/>
      </c>
      <c r="L32" s="89" t="str">
        <f t="shared" si="7"/>
        <v/>
      </c>
      <c r="M32" s="71" t="s">
        <v>1531</v>
      </c>
      <c r="N32" s="88" t="s">
        <v>4503</v>
      </c>
      <c r="O32" s="88" t="s">
        <v>4504</v>
      </c>
      <c r="P32" s="88" t="s">
        <v>4505</v>
      </c>
      <c r="Q32" s="88" t="s">
        <v>4506</v>
      </c>
      <c r="R32" s="88"/>
      <c r="S32" s="88"/>
      <c r="T32" s="88"/>
      <c r="U32" s="88"/>
      <c r="V32" s="88" t="s">
        <v>4510</v>
      </c>
      <c r="W32" s="88" t="s">
        <v>4511</v>
      </c>
      <c r="X32" s="88" t="s">
        <v>4512</v>
      </c>
      <c r="Y32" s="88" t="s">
        <v>4513</v>
      </c>
      <c r="Z32" s="88"/>
      <c r="AA32" s="88"/>
      <c r="AB32" s="88"/>
      <c r="AC32" s="88"/>
    </row>
    <row r="33" spans="1:29" ht="60" customHeight="1">
      <c r="A33" s="71" t="s">
        <v>1327</v>
      </c>
      <c r="B33" s="71" t="s">
        <v>4550</v>
      </c>
      <c r="C33" s="71" t="s">
        <v>4488</v>
      </c>
      <c r="D33" s="77">
        <v>46302</v>
      </c>
      <c r="E33" s="89" t="str">
        <f t="shared" si="0"/>
        <v>Ratsit — John Bean Technologies AB — personne morale suédoise active</v>
      </c>
      <c r="F33" s="89" t="str">
        <f t="shared" si="1"/>
        <v>Hitta — John Bean Technologies AB — société mère JBT Corp</v>
      </c>
      <c r="G33" s="89" t="str">
        <f t="shared" si="2"/>
        <v>Parts Town — JBT Replacement Parts — catalogue général, sans preuve de ce code</v>
      </c>
      <c r="H33" s="89" t="str">
        <f t="shared" si="3"/>
        <v>JBT Marel — Spare parts — offre générale, sans catalogue de codes</v>
      </c>
      <c r="I33" s="89" t="str">
        <f t="shared" si="4"/>
        <v/>
      </c>
      <c r="J33" s="89" t="str">
        <f t="shared" si="5"/>
        <v/>
      </c>
      <c r="K33" s="89" t="str">
        <f t="shared" si="6"/>
        <v/>
      </c>
      <c r="L33" s="89" t="str">
        <f t="shared" si="7"/>
        <v/>
      </c>
      <c r="M33" s="71" t="s">
        <v>1534</v>
      </c>
      <c r="N33" s="88" t="s">
        <v>4503</v>
      </c>
      <c r="O33" s="88" t="s">
        <v>4504</v>
      </c>
      <c r="P33" s="88" t="s">
        <v>4505</v>
      </c>
      <c r="Q33" s="88" t="s">
        <v>4506</v>
      </c>
      <c r="R33" s="88"/>
      <c r="S33" s="88"/>
      <c r="T33" s="88"/>
      <c r="U33" s="88"/>
      <c r="V33" s="88" t="s">
        <v>4510</v>
      </c>
      <c r="W33" s="88" t="s">
        <v>4511</v>
      </c>
      <c r="X33" s="88" t="s">
        <v>4512</v>
      </c>
      <c r="Y33" s="88" t="s">
        <v>4513</v>
      </c>
      <c r="Z33" s="88"/>
      <c r="AA33" s="88"/>
      <c r="AB33" s="88"/>
      <c r="AC33" s="88"/>
    </row>
    <row r="34" spans="1:29" ht="60" customHeight="1">
      <c r="A34" s="71" t="s">
        <v>1535</v>
      </c>
      <c r="B34" s="71" t="s">
        <v>4551</v>
      </c>
      <c r="C34" s="71" t="s">
        <v>4488</v>
      </c>
      <c r="D34" s="77">
        <v>46302</v>
      </c>
      <c r="E34" s="89" t="str">
        <f t="shared" si="0"/>
        <v>Allabolag (sources Bolagsverket/SCB/Skatteverket) — John Bean Technologies AB — informations légales 556084-8284</v>
      </c>
      <c r="F34" s="89" t="str">
        <f t="shared" si="1"/>
        <v>Ratsit — John Bean Technologies AB — identité juridique</v>
      </c>
      <c r="G34" s="89" t="str">
        <f t="shared" si="2"/>
        <v>JBT Marel — Stein TwinDrum 600 — identité fournisseur uniquement</v>
      </c>
      <c r="H34" s="89" t="str">
        <f t="shared" si="3"/>
        <v/>
      </c>
      <c r="I34" s="89" t="str">
        <f t="shared" si="4"/>
        <v/>
      </c>
      <c r="J34" s="89" t="str">
        <f t="shared" si="5"/>
        <v/>
      </c>
      <c r="K34" s="89" t="str">
        <f t="shared" si="6"/>
        <v/>
      </c>
      <c r="L34" s="89" t="str">
        <f t="shared" si="7"/>
        <v/>
      </c>
      <c r="M34" s="71" t="s">
        <v>1538</v>
      </c>
      <c r="N34" s="88" t="s">
        <v>4552</v>
      </c>
      <c r="O34" s="88" t="s">
        <v>4503</v>
      </c>
      <c r="P34" s="88" t="s">
        <v>4553</v>
      </c>
      <c r="Q34" s="88"/>
      <c r="R34" s="88"/>
      <c r="S34" s="88"/>
      <c r="T34" s="88"/>
      <c r="U34" s="88"/>
      <c r="V34" s="88" t="s">
        <v>4554</v>
      </c>
      <c r="W34" s="88" t="s">
        <v>4555</v>
      </c>
      <c r="X34" s="88" t="s">
        <v>4556</v>
      </c>
      <c r="Y34" s="88"/>
      <c r="Z34" s="88"/>
      <c r="AA34" s="88"/>
      <c r="AB34" s="88"/>
      <c r="AC34" s="88"/>
    </row>
    <row r="35" spans="1:29" ht="60" customHeight="1">
      <c r="A35" s="71" t="s">
        <v>1539</v>
      </c>
      <c r="B35" s="71" t="s">
        <v>4557</v>
      </c>
      <c r="C35" s="71" t="s">
        <v>4488</v>
      </c>
      <c r="D35" s="77">
        <v>46302</v>
      </c>
      <c r="E35" s="89" t="str">
        <f t="shared" ref="E35:E66" si="8">IF(N35="","",HYPERLINK(N35,V35))</f>
        <v>Allabolag (sources Bolagsverket/SCB/Skatteverket) — John Bean Technologies AB — informations légales 556084-8284</v>
      </c>
      <c r="F35" s="89" t="str">
        <f t="shared" ref="F35:F66" si="9">IF(O35="","",HYPERLINK(O35,W35))</f>
        <v>Ratsit — John Bean Technologies AB — identité juridique</v>
      </c>
      <c r="G35" s="89" t="str">
        <f t="shared" ref="G35:G66" si="10">IF(P35="","",HYPERLINK(P35,X35))</f>
        <v>JBT Marel — Stein TwinDrum 600 — identité fournisseur uniquement</v>
      </c>
      <c r="H35" s="89" t="str">
        <f t="shared" ref="H35:H66" si="11">IF(Q35="","",HYPERLINK(Q35,Y35))</f>
        <v/>
      </c>
      <c r="I35" s="89" t="str">
        <f t="shared" ref="I35:I66" si="12">IF(R35="","",HYPERLINK(R35,Z35))</f>
        <v/>
      </c>
      <c r="J35" s="89" t="str">
        <f t="shared" ref="J35:J66" si="13">IF(S35="","",HYPERLINK(S35,AA35))</f>
        <v/>
      </c>
      <c r="K35" s="89" t="str">
        <f t="shared" ref="K35:K66" si="14">IF(T35="","",HYPERLINK(T35,AB35))</f>
        <v/>
      </c>
      <c r="L35" s="89" t="str">
        <f t="shared" ref="L35:L66" si="15">IF(U35="","",HYPERLINK(U35,AC35))</f>
        <v/>
      </c>
      <c r="M35" s="71" t="s">
        <v>1543</v>
      </c>
      <c r="N35" s="88" t="s">
        <v>4552</v>
      </c>
      <c r="O35" s="88" t="s">
        <v>4503</v>
      </c>
      <c r="P35" s="88" t="s">
        <v>4553</v>
      </c>
      <c r="Q35" s="88"/>
      <c r="R35" s="88"/>
      <c r="S35" s="88"/>
      <c r="T35" s="88"/>
      <c r="U35" s="88"/>
      <c r="V35" s="88" t="s">
        <v>4554</v>
      </c>
      <c r="W35" s="88" t="s">
        <v>4555</v>
      </c>
      <c r="X35" s="88" t="s">
        <v>4556</v>
      </c>
      <c r="Y35" s="88"/>
      <c r="Z35" s="88"/>
      <c r="AA35" s="88"/>
      <c r="AB35" s="88"/>
      <c r="AC35" s="88"/>
    </row>
    <row r="36" spans="1:29" ht="60" customHeight="1">
      <c r="A36" s="71" t="s">
        <v>1544</v>
      </c>
      <c r="B36" s="71" t="s">
        <v>4558</v>
      </c>
      <c r="C36" s="71" t="s">
        <v>4488</v>
      </c>
      <c r="D36" s="77">
        <v>46302</v>
      </c>
      <c r="E36" s="89" t="str">
        <f t="shared" si="8"/>
        <v>Allabolag (sources Bolagsverket/SCB/Skatteverket) — John Bean Technologies AB — informations légales 556084-8284</v>
      </c>
      <c r="F36" s="89" t="str">
        <f t="shared" si="9"/>
        <v>Ratsit — John Bean Technologies AB — identité juridique</v>
      </c>
      <c r="G36" s="89" t="str">
        <f t="shared" si="10"/>
        <v>JBT Marel — Stein TwinDrum 600 — identité fournisseur uniquement</v>
      </c>
      <c r="H36" s="89" t="str">
        <f t="shared" si="11"/>
        <v/>
      </c>
      <c r="I36" s="89" t="str">
        <f t="shared" si="12"/>
        <v/>
      </c>
      <c r="J36" s="89" t="str">
        <f t="shared" si="13"/>
        <v/>
      </c>
      <c r="K36" s="89" t="str">
        <f t="shared" si="14"/>
        <v/>
      </c>
      <c r="L36" s="89" t="str">
        <f t="shared" si="15"/>
        <v/>
      </c>
      <c r="M36" s="71" t="s">
        <v>1548</v>
      </c>
      <c r="N36" s="88" t="s">
        <v>4552</v>
      </c>
      <c r="O36" s="88" t="s">
        <v>4503</v>
      </c>
      <c r="P36" s="88" t="s">
        <v>4553</v>
      </c>
      <c r="Q36" s="88"/>
      <c r="R36" s="88"/>
      <c r="S36" s="88"/>
      <c r="T36" s="88"/>
      <c r="U36" s="88"/>
      <c r="V36" s="88" t="s">
        <v>4554</v>
      </c>
      <c r="W36" s="88" t="s">
        <v>4555</v>
      </c>
      <c r="X36" s="88" t="s">
        <v>4556</v>
      </c>
      <c r="Y36" s="88"/>
      <c r="Z36" s="88"/>
      <c r="AA36" s="88"/>
      <c r="AB36" s="88"/>
      <c r="AC36" s="88"/>
    </row>
    <row r="37" spans="1:29" ht="60" customHeight="1">
      <c r="A37" s="71" t="s">
        <v>1549</v>
      </c>
      <c r="B37" s="71" t="s">
        <v>4559</v>
      </c>
      <c r="C37" s="71" t="s">
        <v>4488</v>
      </c>
      <c r="D37" s="77">
        <v>46302</v>
      </c>
      <c r="E37" s="89" t="str">
        <f t="shared" si="8"/>
        <v>Allabolag (sources Bolagsverket/SCB/Skatteverket) — John Bean Technologies AB — informations légales 556084-8284</v>
      </c>
      <c r="F37" s="89" t="str">
        <f t="shared" si="9"/>
        <v>Ratsit — John Bean Technologies AB — identité juridique</v>
      </c>
      <c r="G37" s="89" t="str">
        <f t="shared" si="10"/>
        <v>JBT Marel — Stein TwinDrum 600 — identité fournisseur uniquement</v>
      </c>
      <c r="H37" s="89" t="str">
        <f t="shared" si="11"/>
        <v/>
      </c>
      <c r="I37" s="89" t="str">
        <f t="shared" si="12"/>
        <v/>
      </c>
      <c r="J37" s="89" t="str">
        <f t="shared" si="13"/>
        <v/>
      </c>
      <c r="K37" s="89" t="str">
        <f t="shared" si="14"/>
        <v/>
      </c>
      <c r="L37" s="89" t="str">
        <f t="shared" si="15"/>
        <v/>
      </c>
      <c r="M37" s="71" t="s">
        <v>1553</v>
      </c>
      <c r="N37" s="88" t="s">
        <v>4552</v>
      </c>
      <c r="O37" s="88" t="s">
        <v>4503</v>
      </c>
      <c r="P37" s="88" t="s">
        <v>4553</v>
      </c>
      <c r="Q37" s="88"/>
      <c r="R37" s="88"/>
      <c r="S37" s="88"/>
      <c r="T37" s="88"/>
      <c r="U37" s="88"/>
      <c r="V37" s="88" t="s">
        <v>4554</v>
      </c>
      <c r="W37" s="88" t="s">
        <v>4555</v>
      </c>
      <c r="X37" s="88" t="s">
        <v>4556</v>
      </c>
      <c r="Y37" s="88"/>
      <c r="Z37" s="88"/>
      <c r="AA37" s="88"/>
      <c r="AB37" s="88"/>
      <c r="AC37" s="88"/>
    </row>
    <row r="38" spans="1:29" ht="60" customHeight="1">
      <c r="A38" s="71" t="s">
        <v>1554</v>
      </c>
      <c r="B38" s="71" t="s">
        <v>4560</v>
      </c>
      <c r="C38" s="71" t="s">
        <v>4488</v>
      </c>
      <c r="D38" s="77">
        <v>46302</v>
      </c>
      <c r="E38" s="89" t="str">
        <f t="shared" si="8"/>
        <v>Allabolag (sources Bolagsverket/SCB/Skatteverket) — John Bean Technologies AB — informations légales 556084-8284</v>
      </c>
      <c r="F38" s="89" t="str">
        <f t="shared" si="9"/>
        <v>Ratsit — John Bean Technologies AB — identité juridique</v>
      </c>
      <c r="G38" s="89" t="str">
        <f t="shared" si="10"/>
        <v>JBT Marel — Stein TwinDrum 600 — identité fournisseur uniquement</v>
      </c>
      <c r="H38" s="89" t="str">
        <f t="shared" si="11"/>
        <v/>
      </c>
      <c r="I38" s="89" t="str">
        <f t="shared" si="12"/>
        <v/>
      </c>
      <c r="J38" s="89" t="str">
        <f t="shared" si="13"/>
        <v/>
      </c>
      <c r="K38" s="89" t="str">
        <f t="shared" si="14"/>
        <v/>
      </c>
      <c r="L38" s="89" t="str">
        <f t="shared" si="15"/>
        <v/>
      </c>
      <c r="M38" s="71" t="s">
        <v>1557</v>
      </c>
      <c r="N38" s="88" t="s">
        <v>4552</v>
      </c>
      <c r="O38" s="88" t="s">
        <v>4503</v>
      </c>
      <c r="P38" s="88" t="s">
        <v>4553</v>
      </c>
      <c r="Q38" s="88"/>
      <c r="R38" s="88"/>
      <c r="S38" s="88"/>
      <c r="T38" s="88"/>
      <c r="U38" s="88"/>
      <c r="V38" s="88" t="s">
        <v>4554</v>
      </c>
      <c r="W38" s="88" t="s">
        <v>4555</v>
      </c>
      <c r="X38" s="88" t="s">
        <v>4556</v>
      </c>
      <c r="Y38" s="88"/>
      <c r="Z38" s="88"/>
      <c r="AA38" s="88"/>
      <c r="AB38" s="88"/>
      <c r="AC38" s="88"/>
    </row>
    <row r="39" spans="1:29" ht="60" customHeight="1">
      <c r="A39" s="71" t="s">
        <v>1558</v>
      </c>
      <c r="B39" s="71" t="s">
        <v>4561</v>
      </c>
      <c r="C39" s="71" t="s">
        <v>4488</v>
      </c>
      <c r="D39" s="77">
        <v>46302</v>
      </c>
      <c r="E39" s="89" t="str">
        <f t="shared" si="8"/>
        <v>Allabolag (sources Bolagsverket/SCB/Skatteverket) — John Bean Technologies AB — informations légales 556084-8284</v>
      </c>
      <c r="F39" s="89" t="str">
        <f t="shared" si="9"/>
        <v>Ratsit — John Bean Technologies AB — identité juridique</v>
      </c>
      <c r="G39" s="89" t="str">
        <f t="shared" si="10"/>
        <v>JBT Marel — Stein TwinDrum 600 — identité fournisseur uniquement</v>
      </c>
      <c r="H39" s="89" t="str">
        <f t="shared" si="11"/>
        <v/>
      </c>
      <c r="I39" s="89" t="str">
        <f t="shared" si="12"/>
        <v/>
      </c>
      <c r="J39" s="89" t="str">
        <f t="shared" si="13"/>
        <v/>
      </c>
      <c r="K39" s="89" t="str">
        <f t="shared" si="14"/>
        <v/>
      </c>
      <c r="L39" s="89" t="str">
        <f t="shared" si="15"/>
        <v/>
      </c>
      <c r="M39" s="71" t="s">
        <v>1561</v>
      </c>
      <c r="N39" s="88" t="s">
        <v>4552</v>
      </c>
      <c r="O39" s="88" t="s">
        <v>4503</v>
      </c>
      <c r="P39" s="88" t="s">
        <v>4553</v>
      </c>
      <c r="Q39" s="88"/>
      <c r="R39" s="88"/>
      <c r="S39" s="88"/>
      <c r="T39" s="88"/>
      <c r="U39" s="88"/>
      <c r="V39" s="88" t="s">
        <v>4554</v>
      </c>
      <c r="W39" s="88" t="s">
        <v>4555</v>
      </c>
      <c r="X39" s="88" t="s">
        <v>4556</v>
      </c>
      <c r="Y39" s="88"/>
      <c r="Z39" s="88"/>
      <c r="AA39" s="88"/>
      <c r="AB39" s="88"/>
      <c r="AC39" s="88"/>
    </row>
    <row r="40" spans="1:29" ht="60" customHeight="1">
      <c r="A40" s="71" t="s">
        <v>1562</v>
      </c>
      <c r="B40" s="71" t="s">
        <v>4562</v>
      </c>
      <c r="C40" s="71" t="s">
        <v>4488</v>
      </c>
      <c r="D40" s="77">
        <v>46302</v>
      </c>
      <c r="E40" s="89" t="str">
        <f t="shared" si="8"/>
        <v>Allabolag (sources Bolagsverket/SCB/Skatteverket) — John Bean Technologies AB — informations légales 556084-8284</v>
      </c>
      <c r="F40" s="89" t="str">
        <f t="shared" si="9"/>
        <v>Ratsit — John Bean Technologies AB — identité juridique</v>
      </c>
      <c r="G40" s="89" t="str">
        <f t="shared" si="10"/>
        <v>JBT Marel — Stein TwinDrum 600 — identité fournisseur uniquement</v>
      </c>
      <c r="H40" s="89" t="str">
        <f t="shared" si="11"/>
        <v/>
      </c>
      <c r="I40" s="89" t="str">
        <f t="shared" si="12"/>
        <v/>
      </c>
      <c r="J40" s="89" t="str">
        <f t="shared" si="13"/>
        <v/>
      </c>
      <c r="K40" s="89" t="str">
        <f t="shared" si="14"/>
        <v/>
      </c>
      <c r="L40" s="89" t="str">
        <f t="shared" si="15"/>
        <v/>
      </c>
      <c r="M40" s="71" t="s">
        <v>1565</v>
      </c>
      <c r="N40" s="88" t="s">
        <v>4552</v>
      </c>
      <c r="O40" s="88" t="s">
        <v>4503</v>
      </c>
      <c r="P40" s="88" t="s">
        <v>4553</v>
      </c>
      <c r="Q40" s="88"/>
      <c r="R40" s="88"/>
      <c r="S40" s="88"/>
      <c r="T40" s="88"/>
      <c r="U40" s="88"/>
      <c r="V40" s="88" t="s">
        <v>4554</v>
      </c>
      <c r="W40" s="88" t="s">
        <v>4555</v>
      </c>
      <c r="X40" s="88" t="s">
        <v>4556</v>
      </c>
      <c r="Y40" s="88"/>
      <c r="Z40" s="88"/>
      <c r="AA40" s="88"/>
      <c r="AB40" s="88"/>
      <c r="AC40" s="88"/>
    </row>
    <row r="41" spans="1:29" ht="60" customHeight="1">
      <c r="A41" s="71" t="s">
        <v>1566</v>
      </c>
      <c r="B41" s="71" t="s">
        <v>4563</v>
      </c>
      <c r="C41" s="71" t="s">
        <v>4458</v>
      </c>
      <c r="D41" s="77">
        <v>46302</v>
      </c>
      <c r="E41" s="89" t="str">
        <f t="shared" si="8"/>
        <v>Allabolag (sources Bolagsverket/SCB/Skatteverket) — John Bean Technologies AB — informations légales 556084-8284</v>
      </c>
      <c r="F41" s="89" t="str">
        <f t="shared" si="9"/>
        <v>Ratsit — John Bean Technologies AB — identité juridique</v>
      </c>
      <c r="G41" s="89" t="str">
        <f t="shared" si="10"/>
        <v>JBT Marel — Stein TwinDrum 600 — identité fournisseur uniquement</v>
      </c>
      <c r="H41" s="89" t="str">
        <f t="shared" si="11"/>
        <v>Spraying Systems Co. — FullJet Nozzle, Brass, 1/2HH-50W — variante voisine</v>
      </c>
      <c r="I41" s="89" t="str">
        <f t="shared" si="12"/>
        <v/>
      </c>
      <c r="J41" s="89" t="str">
        <f t="shared" si="13"/>
        <v/>
      </c>
      <c r="K41" s="89" t="str">
        <f t="shared" si="14"/>
        <v/>
      </c>
      <c r="L41" s="89" t="str">
        <f t="shared" si="15"/>
        <v/>
      </c>
      <c r="M41" s="71" t="s">
        <v>1570</v>
      </c>
      <c r="N41" s="88" t="s">
        <v>4552</v>
      </c>
      <c r="O41" s="88" t="s">
        <v>4503</v>
      </c>
      <c r="P41" s="88" t="s">
        <v>4553</v>
      </c>
      <c r="Q41" s="88" t="s">
        <v>4564</v>
      </c>
      <c r="R41" s="88"/>
      <c r="S41" s="88"/>
      <c r="T41" s="88"/>
      <c r="U41" s="88"/>
      <c r="V41" s="88" t="s">
        <v>4554</v>
      </c>
      <c r="W41" s="88" t="s">
        <v>4555</v>
      </c>
      <c r="X41" s="88" t="s">
        <v>4556</v>
      </c>
      <c r="Y41" s="88" t="s">
        <v>4565</v>
      </c>
      <c r="Z41" s="88"/>
      <c r="AA41" s="88"/>
      <c r="AB41" s="88"/>
      <c r="AC41" s="88"/>
    </row>
    <row r="42" spans="1:29" ht="60" customHeight="1">
      <c r="A42" s="71" t="s">
        <v>1571</v>
      </c>
      <c r="B42" s="71" t="s">
        <v>4566</v>
      </c>
      <c r="C42" s="71" t="s">
        <v>4492</v>
      </c>
      <c r="D42" s="77">
        <v>46302</v>
      </c>
      <c r="E42" s="89" t="str">
        <f t="shared" si="8"/>
        <v>Allabolag (sources Bolagsverket/SCB/Skatteverket) — John Bean Technologies AB — informations légales 556084-8284</v>
      </c>
      <c r="F42" s="89" t="str">
        <f t="shared" si="9"/>
        <v>Ratsit — John Bean Technologies AB — identité juridique</v>
      </c>
      <c r="G42" s="89" t="str">
        <f t="shared" si="10"/>
        <v>JBT Marel — Stein TwinDrum 600 — identité fournisseur uniquement</v>
      </c>
      <c r="H42" s="89" t="str">
        <f t="shared" si="11"/>
        <v>Spraying Systems Co. — VeeJet Nozzle, 303 Stainless Steel, HB3/4U-SS80200</v>
      </c>
      <c r="I42" s="89" t="str">
        <f t="shared" si="12"/>
        <v/>
      </c>
      <c r="J42" s="89" t="str">
        <f t="shared" si="13"/>
        <v/>
      </c>
      <c r="K42" s="89" t="str">
        <f t="shared" si="14"/>
        <v/>
      </c>
      <c r="L42" s="89" t="str">
        <f t="shared" si="15"/>
        <v/>
      </c>
      <c r="M42" s="71" t="s">
        <v>1580</v>
      </c>
      <c r="N42" s="88" t="s">
        <v>4552</v>
      </c>
      <c r="O42" s="88" t="s">
        <v>4503</v>
      </c>
      <c r="P42" s="88" t="s">
        <v>4553</v>
      </c>
      <c r="Q42" s="88" t="s">
        <v>4567</v>
      </c>
      <c r="R42" s="88"/>
      <c r="S42" s="88"/>
      <c r="T42" s="88"/>
      <c r="U42" s="88"/>
      <c r="V42" s="88" t="s">
        <v>4554</v>
      </c>
      <c r="W42" s="88" t="s">
        <v>4555</v>
      </c>
      <c r="X42" s="88" t="s">
        <v>4556</v>
      </c>
      <c r="Y42" s="88" t="s">
        <v>4568</v>
      </c>
      <c r="Z42" s="88"/>
      <c r="AA42" s="88"/>
      <c r="AB42" s="88"/>
      <c r="AC42" s="88"/>
    </row>
    <row r="43" spans="1:29" ht="60" customHeight="1">
      <c r="A43" s="71" t="s">
        <v>1581</v>
      </c>
      <c r="B43" s="71" t="s">
        <v>4569</v>
      </c>
      <c r="C43" s="71" t="s">
        <v>4458</v>
      </c>
      <c r="D43" s="77">
        <v>46302</v>
      </c>
      <c r="E43" s="89" t="str">
        <f t="shared" si="8"/>
        <v>Allabolag (sources Bolagsverket/SCB/Skatteverket) — John Bean Technologies AB — informations légales 556084-8284</v>
      </c>
      <c r="F43" s="89" t="str">
        <f t="shared" si="9"/>
        <v>Ratsit — John Bean Technologies AB — identité juridique</v>
      </c>
      <c r="G43" s="89" t="str">
        <f t="shared" si="10"/>
        <v>JBT Marel — Stein TwinDrum 600 — identité fournisseur uniquement</v>
      </c>
      <c r="H43" s="89" t="str">
        <f t="shared" si="11"/>
        <v>Lechler — Low pressure flat fan nozzles — Series 632/633</v>
      </c>
      <c r="I43" s="89" t="str">
        <f t="shared" si="12"/>
        <v>Lechler — Flat fan nozzles — Series 632/633, shipbuilding</v>
      </c>
      <c r="J43" s="89" t="str">
        <f t="shared" si="13"/>
        <v/>
      </c>
      <c r="K43" s="89" t="str">
        <f t="shared" si="14"/>
        <v/>
      </c>
      <c r="L43" s="89" t="str">
        <f t="shared" si="15"/>
        <v/>
      </c>
      <c r="M43" s="71" t="s">
        <v>1585</v>
      </c>
      <c r="N43" s="88" t="s">
        <v>4552</v>
      </c>
      <c r="O43" s="88" t="s">
        <v>4503</v>
      </c>
      <c r="P43" s="88" t="s">
        <v>4553</v>
      </c>
      <c r="Q43" s="88" t="s">
        <v>4570</v>
      </c>
      <c r="R43" s="88" t="s">
        <v>4571</v>
      </c>
      <c r="S43" s="88"/>
      <c r="T43" s="88"/>
      <c r="U43" s="88"/>
      <c r="V43" s="88" t="s">
        <v>4554</v>
      </c>
      <c r="W43" s="88" t="s">
        <v>4555</v>
      </c>
      <c r="X43" s="88" t="s">
        <v>4556</v>
      </c>
      <c r="Y43" s="88" t="s">
        <v>4572</v>
      </c>
      <c r="Z43" s="88" t="s">
        <v>4573</v>
      </c>
      <c r="AA43" s="88"/>
      <c r="AB43" s="88"/>
      <c r="AC43" s="88"/>
    </row>
    <row r="44" spans="1:29" ht="60" customHeight="1">
      <c r="A44" s="71" t="s">
        <v>1586</v>
      </c>
      <c r="B44" s="71" t="s">
        <v>4574</v>
      </c>
      <c r="C44" s="71" t="s">
        <v>4458</v>
      </c>
      <c r="D44" s="77">
        <v>46302</v>
      </c>
      <c r="E44" s="89" t="str">
        <f t="shared" si="8"/>
        <v>Allabolag (sources Bolagsverket/SCB/Skatteverket) — John Bean Technologies AB — informations légales 556084-8284</v>
      </c>
      <c r="F44" s="89" t="str">
        <f t="shared" si="9"/>
        <v>Ratsit — John Bean Technologies AB — identité juridique</v>
      </c>
      <c r="G44" s="89" t="str">
        <f t="shared" si="10"/>
        <v>JBT Marel — Stein TwinDrum 600 — identité fournisseur uniquement</v>
      </c>
      <c r="H44" s="89" t="str">
        <f t="shared" si="11"/>
        <v>Lechler — Low pressure flat fan nozzles — Series 632/633</v>
      </c>
      <c r="I44" s="89" t="str">
        <f t="shared" si="12"/>
        <v/>
      </c>
      <c r="J44" s="89" t="str">
        <f t="shared" si="13"/>
        <v/>
      </c>
      <c r="K44" s="89" t="str">
        <f t="shared" si="14"/>
        <v/>
      </c>
      <c r="L44" s="89" t="str">
        <f t="shared" si="15"/>
        <v/>
      </c>
      <c r="M44" s="71" t="s">
        <v>1590</v>
      </c>
      <c r="N44" s="88" t="s">
        <v>4552</v>
      </c>
      <c r="O44" s="88" t="s">
        <v>4503</v>
      </c>
      <c r="P44" s="88" t="s">
        <v>4553</v>
      </c>
      <c r="Q44" s="88" t="s">
        <v>4570</v>
      </c>
      <c r="R44" s="88"/>
      <c r="S44" s="88"/>
      <c r="T44" s="88"/>
      <c r="U44" s="88"/>
      <c r="V44" s="88" t="s">
        <v>4554</v>
      </c>
      <c r="W44" s="88" t="s">
        <v>4555</v>
      </c>
      <c r="X44" s="88" t="s">
        <v>4556</v>
      </c>
      <c r="Y44" s="88" t="s">
        <v>4572</v>
      </c>
      <c r="Z44" s="88"/>
      <c r="AA44" s="88"/>
      <c r="AB44" s="88"/>
      <c r="AC44" s="88"/>
    </row>
    <row r="45" spans="1:29" ht="60" customHeight="1">
      <c r="A45" s="71" t="s">
        <v>1591</v>
      </c>
      <c r="B45" s="71" t="s">
        <v>4575</v>
      </c>
      <c r="C45" s="71" t="s">
        <v>4488</v>
      </c>
      <c r="D45" s="77">
        <v>46302</v>
      </c>
      <c r="E45" s="89" t="str">
        <f t="shared" si="8"/>
        <v>Allabolag (sources Bolagsverket/SCB/Skatteverket) — John Bean Technologies AB — informations légales 556084-8284</v>
      </c>
      <c r="F45" s="89" t="str">
        <f t="shared" si="9"/>
        <v>Ratsit — John Bean Technologies AB — identité juridique</v>
      </c>
      <c r="G45" s="89" t="str">
        <f t="shared" si="10"/>
        <v>JBT Marel — Stein TwinDrum 600 — identité fournisseur uniquement</v>
      </c>
      <c r="H45" s="89" t="str">
        <f t="shared" si="11"/>
        <v/>
      </c>
      <c r="I45" s="89" t="str">
        <f t="shared" si="12"/>
        <v/>
      </c>
      <c r="J45" s="89" t="str">
        <f t="shared" si="13"/>
        <v/>
      </c>
      <c r="K45" s="89" t="str">
        <f t="shared" si="14"/>
        <v/>
      </c>
      <c r="L45" s="89" t="str">
        <f t="shared" si="15"/>
        <v/>
      </c>
      <c r="M45" s="71" t="s">
        <v>1594</v>
      </c>
      <c r="N45" s="88" t="s">
        <v>4552</v>
      </c>
      <c r="O45" s="88" t="s">
        <v>4503</v>
      </c>
      <c r="P45" s="88" t="s">
        <v>4553</v>
      </c>
      <c r="Q45" s="88"/>
      <c r="R45" s="88"/>
      <c r="S45" s="88"/>
      <c r="T45" s="88"/>
      <c r="U45" s="88"/>
      <c r="V45" s="88" t="s">
        <v>4554</v>
      </c>
      <c r="W45" s="88" t="s">
        <v>4555</v>
      </c>
      <c r="X45" s="88" t="s">
        <v>4556</v>
      </c>
      <c r="Y45" s="88"/>
      <c r="Z45" s="88"/>
      <c r="AA45" s="88"/>
      <c r="AB45" s="88"/>
      <c r="AC45" s="88"/>
    </row>
    <row r="46" spans="1:29" ht="60" customHeight="1">
      <c r="A46" s="71" t="s">
        <v>1595</v>
      </c>
      <c r="B46" s="71" t="s">
        <v>4576</v>
      </c>
      <c r="C46" s="71" t="s">
        <v>4458</v>
      </c>
      <c r="D46" s="77">
        <v>46302</v>
      </c>
      <c r="E46" s="89" t="str">
        <f t="shared" si="8"/>
        <v>Allabolag (sources Bolagsverket/SCB/Skatteverket) — John Bean Technologies AB — informations légales 556084-8284</v>
      </c>
      <c r="F46" s="89" t="str">
        <f t="shared" si="9"/>
        <v>Ratsit — John Bean Technologies AB — identité juridique</v>
      </c>
      <c r="G46" s="89" t="str">
        <f t="shared" si="10"/>
        <v>JBT Marel — Stein TwinDrum 600 — identité fournisseur uniquement</v>
      </c>
      <c r="H46" s="89" t="str">
        <f t="shared" si="11"/>
        <v>PDFCookie (hébergement tiers ; provenance non authentifiée) — Despiece Tunel Frigoscandia — copie tierce de nomenclature FMC FoodTech</v>
      </c>
      <c r="I46" s="89" t="str">
        <f t="shared" si="12"/>
        <v/>
      </c>
      <c r="J46" s="89" t="str">
        <f t="shared" si="13"/>
        <v/>
      </c>
      <c r="K46" s="89" t="str">
        <f t="shared" si="14"/>
        <v/>
      </c>
      <c r="L46" s="89" t="str">
        <f t="shared" si="15"/>
        <v/>
      </c>
      <c r="M46" s="71" t="s">
        <v>1598</v>
      </c>
      <c r="N46" s="88" t="s">
        <v>4552</v>
      </c>
      <c r="O46" s="88" t="s">
        <v>4503</v>
      </c>
      <c r="P46" s="88" t="s">
        <v>4553</v>
      </c>
      <c r="Q46" s="88" t="s">
        <v>4577</v>
      </c>
      <c r="R46" s="88"/>
      <c r="S46" s="88"/>
      <c r="T46" s="88"/>
      <c r="U46" s="88"/>
      <c r="V46" s="88" t="s">
        <v>4554</v>
      </c>
      <c r="W46" s="88" t="s">
        <v>4555</v>
      </c>
      <c r="X46" s="88" t="s">
        <v>4556</v>
      </c>
      <c r="Y46" s="88" t="s">
        <v>4578</v>
      </c>
      <c r="Z46" s="88"/>
      <c r="AA46" s="88"/>
      <c r="AB46" s="88"/>
      <c r="AC46" s="88"/>
    </row>
    <row r="47" spans="1:29" ht="60" customHeight="1">
      <c r="A47" s="71" t="s">
        <v>1599</v>
      </c>
      <c r="B47" s="71" t="s">
        <v>4579</v>
      </c>
      <c r="C47" s="71" t="s">
        <v>4488</v>
      </c>
      <c r="D47" s="77">
        <v>46302</v>
      </c>
      <c r="E47" s="89" t="str">
        <f t="shared" si="8"/>
        <v>Allabolag (sources Bolagsverket/SCB/Skatteverket) — John Bean Technologies AB — informations légales 556084-8284</v>
      </c>
      <c r="F47" s="89" t="str">
        <f t="shared" si="9"/>
        <v>Ratsit — John Bean Technologies AB — identité juridique</v>
      </c>
      <c r="G47" s="89" t="str">
        <f t="shared" si="10"/>
        <v>JBT Marel — Stein TwinDrum 600 — identité fournisseur uniquement</v>
      </c>
      <c r="H47" s="89" t="str">
        <f t="shared" si="11"/>
        <v/>
      </c>
      <c r="I47" s="89" t="str">
        <f t="shared" si="12"/>
        <v/>
      </c>
      <c r="J47" s="89" t="str">
        <f t="shared" si="13"/>
        <v/>
      </c>
      <c r="K47" s="89" t="str">
        <f t="shared" si="14"/>
        <v/>
      </c>
      <c r="L47" s="89" t="str">
        <f t="shared" si="15"/>
        <v/>
      </c>
      <c r="M47" s="71" t="s">
        <v>1602</v>
      </c>
      <c r="N47" s="88" t="s">
        <v>4552</v>
      </c>
      <c r="O47" s="88" t="s">
        <v>4503</v>
      </c>
      <c r="P47" s="88" t="s">
        <v>4553</v>
      </c>
      <c r="Q47" s="88"/>
      <c r="R47" s="88"/>
      <c r="S47" s="88"/>
      <c r="T47" s="88"/>
      <c r="U47" s="88"/>
      <c r="V47" s="88" t="s">
        <v>4554</v>
      </c>
      <c r="W47" s="88" t="s">
        <v>4555</v>
      </c>
      <c r="X47" s="88" t="s">
        <v>4556</v>
      </c>
      <c r="Y47" s="88"/>
      <c r="Z47" s="88"/>
      <c r="AA47" s="88"/>
      <c r="AB47" s="88"/>
      <c r="AC47" s="88"/>
    </row>
    <row r="48" spans="1:29" ht="60" customHeight="1">
      <c r="A48" s="71" t="s">
        <v>1408</v>
      </c>
      <c r="B48" s="71" t="s">
        <v>4580</v>
      </c>
      <c r="C48" s="71" t="s">
        <v>4488</v>
      </c>
      <c r="D48" s="77">
        <v>46302</v>
      </c>
      <c r="E48" s="89" t="str">
        <f t="shared" si="8"/>
        <v>Allabolag (sources Bolagsverket/SCB/Skatteverket) — John Bean Technologies AB — informations légales 556084-8284</v>
      </c>
      <c r="F48" s="89" t="str">
        <f t="shared" si="9"/>
        <v>Ratsit — John Bean Technologies AB — identité juridique</v>
      </c>
      <c r="G48" s="89" t="str">
        <f t="shared" si="10"/>
        <v>JBT Marel — Stein TwinDrum 600 — identité fournisseur uniquement</v>
      </c>
      <c r="H48" s="89" t="str">
        <f t="shared" si="11"/>
        <v/>
      </c>
      <c r="I48" s="89" t="str">
        <f t="shared" si="12"/>
        <v/>
      </c>
      <c r="J48" s="89" t="str">
        <f t="shared" si="13"/>
        <v/>
      </c>
      <c r="K48" s="89" t="str">
        <f t="shared" si="14"/>
        <v/>
      </c>
      <c r="L48" s="89" t="str">
        <f t="shared" si="15"/>
        <v/>
      </c>
      <c r="M48" s="71" t="s">
        <v>1604</v>
      </c>
      <c r="N48" s="88" t="s">
        <v>4552</v>
      </c>
      <c r="O48" s="88" t="s">
        <v>4503</v>
      </c>
      <c r="P48" s="88" t="s">
        <v>4553</v>
      </c>
      <c r="Q48" s="88"/>
      <c r="R48" s="88"/>
      <c r="S48" s="88"/>
      <c r="T48" s="88"/>
      <c r="U48" s="88"/>
      <c r="V48" s="88" t="s">
        <v>4554</v>
      </c>
      <c r="W48" s="88" t="s">
        <v>4555</v>
      </c>
      <c r="X48" s="88" t="s">
        <v>4556</v>
      </c>
      <c r="Y48" s="88"/>
      <c r="Z48" s="88"/>
      <c r="AA48" s="88"/>
      <c r="AB48" s="88"/>
      <c r="AC48" s="88"/>
    </row>
    <row r="49" spans="1:29" ht="60" customHeight="1">
      <c r="A49" s="71" t="s">
        <v>1605</v>
      </c>
      <c r="B49" s="71" t="s">
        <v>4581</v>
      </c>
      <c r="C49" s="71" t="s">
        <v>4488</v>
      </c>
      <c r="D49" s="77">
        <v>46302</v>
      </c>
      <c r="E49" s="89" t="str">
        <f t="shared" si="8"/>
        <v>Allabolag (sources Bolagsverket/SCB/Skatteverket) — John Bean Technologies AB — informations légales 556084-8284</v>
      </c>
      <c r="F49" s="89" t="str">
        <f t="shared" si="9"/>
        <v>Ratsit — John Bean Technologies AB — identité juridique</v>
      </c>
      <c r="G49" s="89" t="str">
        <f t="shared" si="10"/>
        <v>JBT Marel — Stein TwinDrum 600 — identité fournisseur uniquement</v>
      </c>
      <c r="H49" s="89" t="str">
        <f t="shared" si="11"/>
        <v/>
      </c>
      <c r="I49" s="89" t="str">
        <f t="shared" si="12"/>
        <v/>
      </c>
      <c r="J49" s="89" t="str">
        <f t="shared" si="13"/>
        <v/>
      </c>
      <c r="K49" s="89" t="str">
        <f t="shared" si="14"/>
        <v/>
      </c>
      <c r="L49" s="89" t="str">
        <f t="shared" si="15"/>
        <v/>
      </c>
      <c r="M49" s="71" t="s">
        <v>1608</v>
      </c>
      <c r="N49" s="88" t="s">
        <v>4552</v>
      </c>
      <c r="O49" s="88" t="s">
        <v>4503</v>
      </c>
      <c r="P49" s="88" t="s">
        <v>4553</v>
      </c>
      <c r="Q49" s="88"/>
      <c r="R49" s="88"/>
      <c r="S49" s="88"/>
      <c r="T49" s="88"/>
      <c r="U49" s="88"/>
      <c r="V49" s="88" t="s">
        <v>4554</v>
      </c>
      <c r="W49" s="88" t="s">
        <v>4555</v>
      </c>
      <c r="X49" s="88" t="s">
        <v>4556</v>
      </c>
      <c r="Y49" s="88"/>
      <c r="Z49" s="88"/>
      <c r="AA49" s="88"/>
      <c r="AB49" s="88"/>
      <c r="AC49" s="88"/>
    </row>
    <row r="50" spans="1:29" ht="60" customHeight="1">
      <c r="A50" s="71" t="s">
        <v>1609</v>
      </c>
      <c r="B50" s="71" t="s">
        <v>4582</v>
      </c>
      <c r="C50" s="71" t="s">
        <v>4488</v>
      </c>
      <c r="D50" s="77">
        <v>46302</v>
      </c>
      <c r="E50" s="89" t="str">
        <f t="shared" si="8"/>
        <v>Allabolag (sources Bolagsverket/SCB/Skatteverket) — John Bean Technologies AB — informations légales 556084-8284</v>
      </c>
      <c r="F50" s="89" t="str">
        <f t="shared" si="9"/>
        <v>Ratsit — John Bean Technologies AB — identité juridique</v>
      </c>
      <c r="G50" s="89" t="str">
        <f t="shared" si="10"/>
        <v>JBT Marel — Stein TwinDrum 600 — identité fournisseur uniquement</v>
      </c>
      <c r="H50" s="89" t="str">
        <f t="shared" si="11"/>
        <v/>
      </c>
      <c r="I50" s="89" t="str">
        <f t="shared" si="12"/>
        <v/>
      </c>
      <c r="J50" s="89" t="str">
        <f t="shared" si="13"/>
        <v/>
      </c>
      <c r="K50" s="89" t="str">
        <f t="shared" si="14"/>
        <v/>
      </c>
      <c r="L50" s="89" t="str">
        <f t="shared" si="15"/>
        <v/>
      </c>
      <c r="M50" s="71" t="s">
        <v>1612</v>
      </c>
      <c r="N50" s="88" t="s">
        <v>4552</v>
      </c>
      <c r="O50" s="88" t="s">
        <v>4503</v>
      </c>
      <c r="P50" s="88" t="s">
        <v>4553</v>
      </c>
      <c r="Q50" s="88"/>
      <c r="R50" s="88"/>
      <c r="S50" s="88"/>
      <c r="T50" s="88"/>
      <c r="U50" s="88"/>
      <c r="V50" s="88" t="s">
        <v>4554</v>
      </c>
      <c r="W50" s="88" t="s">
        <v>4555</v>
      </c>
      <c r="X50" s="88" t="s">
        <v>4556</v>
      </c>
      <c r="Y50" s="88"/>
      <c r="Z50" s="88"/>
      <c r="AA50" s="88"/>
      <c r="AB50" s="88"/>
      <c r="AC50" s="88"/>
    </row>
    <row r="51" spans="1:29" ht="60" customHeight="1">
      <c r="A51" s="71" t="s">
        <v>1613</v>
      </c>
      <c r="B51" s="71" t="s">
        <v>4583</v>
      </c>
      <c r="C51" s="71" t="s">
        <v>4488</v>
      </c>
      <c r="D51" s="77">
        <v>46302</v>
      </c>
      <c r="E51" s="89" t="str">
        <f t="shared" si="8"/>
        <v>Allabolag (sources Bolagsverket/SCB/Skatteverket) — John Bean Technologies AB — informations légales 556084-8284</v>
      </c>
      <c r="F51" s="89" t="str">
        <f t="shared" si="9"/>
        <v>Ratsit — John Bean Technologies AB — identité juridique</v>
      </c>
      <c r="G51" s="89" t="str">
        <f t="shared" si="10"/>
        <v>JBT Marel — Stein TwinDrum 600 — identité fournisseur uniquement</v>
      </c>
      <c r="H51" s="89" t="str">
        <f t="shared" si="11"/>
        <v/>
      </c>
      <c r="I51" s="89" t="str">
        <f t="shared" si="12"/>
        <v/>
      </c>
      <c r="J51" s="89" t="str">
        <f t="shared" si="13"/>
        <v/>
      </c>
      <c r="K51" s="89" t="str">
        <f t="shared" si="14"/>
        <v/>
      </c>
      <c r="L51" s="89" t="str">
        <f t="shared" si="15"/>
        <v/>
      </c>
      <c r="M51" s="71" t="s">
        <v>1616</v>
      </c>
      <c r="N51" s="88" t="s">
        <v>4552</v>
      </c>
      <c r="O51" s="88" t="s">
        <v>4503</v>
      </c>
      <c r="P51" s="88" t="s">
        <v>4553</v>
      </c>
      <c r="Q51" s="88"/>
      <c r="R51" s="88"/>
      <c r="S51" s="88"/>
      <c r="T51" s="88"/>
      <c r="U51" s="88"/>
      <c r="V51" s="88" t="s">
        <v>4554</v>
      </c>
      <c r="W51" s="88" t="s">
        <v>4555</v>
      </c>
      <c r="X51" s="88" t="s">
        <v>4556</v>
      </c>
      <c r="Y51" s="88"/>
      <c r="Z51" s="88"/>
      <c r="AA51" s="88"/>
      <c r="AB51" s="88"/>
      <c r="AC51" s="88"/>
    </row>
    <row r="52" spans="1:29" ht="60" customHeight="1">
      <c r="A52" s="71" t="s">
        <v>1617</v>
      </c>
      <c r="B52" s="71" t="s">
        <v>4584</v>
      </c>
      <c r="C52" s="71" t="s">
        <v>4488</v>
      </c>
      <c r="D52" s="77">
        <v>46302</v>
      </c>
      <c r="E52" s="89" t="str">
        <f t="shared" si="8"/>
        <v>Allabolag (sources Bolagsverket/SCB/Skatteverket) — John Bean Technologies AB — informations légales 556084-8284</v>
      </c>
      <c r="F52" s="89" t="str">
        <f t="shared" si="9"/>
        <v>Ratsit — John Bean Technologies AB — identité juridique</v>
      </c>
      <c r="G52" s="89" t="str">
        <f t="shared" si="10"/>
        <v>JBT Marel — Stein TwinDrum 600 — identité fournisseur uniquement</v>
      </c>
      <c r="H52" s="89" t="str">
        <f t="shared" si="11"/>
        <v/>
      </c>
      <c r="I52" s="89" t="str">
        <f t="shared" si="12"/>
        <v/>
      </c>
      <c r="J52" s="89" t="str">
        <f t="shared" si="13"/>
        <v/>
      </c>
      <c r="K52" s="89" t="str">
        <f t="shared" si="14"/>
        <v/>
      </c>
      <c r="L52" s="89" t="str">
        <f t="shared" si="15"/>
        <v/>
      </c>
      <c r="M52" s="71" t="s">
        <v>1620</v>
      </c>
      <c r="N52" s="88" t="s">
        <v>4552</v>
      </c>
      <c r="O52" s="88" t="s">
        <v>4503</v>
      </c>
      <c r="P52" s="88" t="s">
        <v>4553</v>
      </c>
      <c r="Q52" s="88"/>
      <c r="R52" s="88"/>
      <c r="S52" s="88"/>
      <c r="T52" s="88"/>
      <c r="U52" s="88"/>
      <c r="V52" s="88" t="s">
        <v>4554</v>
      </c>
      <c r="W52" s="88" t="s">
        <v>4555</v>
      </c>
      <c r="X52" s="88" t="s">
        <v>4556</v>
      </c>
      <c r="Y52" s="88"/>
      <c r="Z52" s="88"/>
      <c r="AA52" s="88"/>
      <c r="AB52" s="88"/>
      <c r="AC52" s="88"/>
    </row>
    <row r="53" spans="1:29" ht="60" customHeight="1">
      <c r="A53" s="71" t="s">
        <v>1621</v>
      </c>
      <c r="B53" s="71" t="s">
        <v>4585</v>
      </c>
      <c r="C53" s="71" t="s">
        <v>4488</v>
      </c>
      <c r="D53" s="77">
        <v>46302</v>
      </c>
      <c r="E53" s="89" t="str">
        <f t="shared" si="8"/>
        <v>Allabolag (sources Bolagsverket/SCB/Skatteverket) — John Bean Technologies AB — informations légales 556084-8284</v>
      </c>
      <c r="F53" s="89" t="str">
        <f t="shared" si="9"/>
        <v>Ratsit — John Bean Technologies AB — identité juridique</v>
      </c>
      <c r="G53" s="89" t="str">
        <f t="shared" si="10"/>
        <v>JBT Marel — Stein TwinDrum 600 — identité fournisseur uniquement</v>
      </c>
      <c r="H53" s="89" t="str">
        <f t="shared" si="11"/>
        <v/>
      </c>
      <c r="I53" s="89" t="str">
        <f t="shared" si="12"/>
        <v/>
      </c>
      <c r="J53" s="89" t="str">
        <f t="shared" si="13"/>
        <v/>
      </c>
      <c r="K53" s="89" t="str">
        <f t="shared" si="14"/>
        <v/>
      </c>
      <c r="L53" s="89" t="str">
        <f t="shared" si="15"/>
        <v/>
      </c>
      <c r="M53" s="71" t="s">
        <v>1624</v>
      </c>
      <c r="N53" s="88" t="s">
        <v>4552</v>
      </c>
      <c r="O53" s="88" t="s">
        <v>4503</v>
      </c>
      <c r="P53" s="88" t="s">
        <v>4553</v>
      </c>
      <c r="Q53" s="88"/>
      <c r="R53" s="88"/>
      <c r="S53" s="88"/>
      <c r="T53" s="88"/>
      <c r="U53" s="88"/>
      <c r="V53" s="88" t="s">
        <v>4554</v>
      </c>
      <c r="W53" s="88" t="s">
        <v>4555</v>
      </c>
      <c r="X53" s="88" t="s">
        <v>4556</v>
      </c>
      <c r="Y53" s="88"/>
      <c r="Z53" s="88"/>
      <c r="AA53" s="88"/>
      <c r="AB53" s="88"/>
      <c r="AC53" s="88"/>
    </row>
    <row r="54" spans="1:29" ht="60" customHeight="1">
      <c r="A54" s="71" t="s">
        <v>1625</v>
      </c>
      <c r="B54" s="71" t="s">
        <v>4586</v>
      </c>
      <c r="C54" s="71" t="s">
        <v>4488</v>
      </c>
      <c r="D54" s="77">
        <v>46302</v>
      </c>
      <c r="E54" s="89" t="str">
        <f t="shared" si="8"/>
        <v>Allabolag (sources Bolagsverket/SCB/Skatteverket) — John Bean Technologies AB — informations légales 556084-8284</v>
      </c>
      <c r="F54" s="89" t="str">
        <f t="shared" si="9"/>
        <v>Ratsit — John Bean Technologies AB — identité juridique</v>
      </c>
      <c r="G54" s="89" t="str">
        <f t="shared" si="10"/>
        <v>JBT Marel — Stein TwinDrum 600 — identité fournisseur uniquement</v>
      </c>
      <c r="H54" s="89" t="str">
        <f t="shared" si="11"/>
        <v/>
      </c>
      <c r="I54" s="89" t="str">
        <f t="shared" si="12"/>
        <v/>
      </c>
      <c r="J54" s="89" t="str">
        <f t="shared" si="13"/>
        <v/>
      </c>
      <c r="K54" s="89" t="str">
        <f t="shared" si="14"/>
        <v/>
      </c>
      <c r="L54" s="89" t="str">
        <f t="shared" si="15"/>
        <v/>
      </c>
      <c r="M54" s="71" t="s">
        <v>1628</v>
      </c>
      <c r="N54" s="88" t="s">
        <v>4552</v>
      </c>
      <c r="O54" s="88" t="s">
        <v>4503</v>
      </c>
      <c r="P54" s="88" t="s">
        <v>4553</v>
      </c>
      <c r="Q54" s="88"/>
      <c r="R54" s="88"/>
      <c r="S54" s="88"/>
      <c r="T54" s="88"/>
      <c r="U54" s="88"/>
      <c r="V54" s="88" t="s">
        <v>4554</v>
      </c>
      <c r="W54" s="88" t="s">
        <v>4555</v>
      </c>
      <c r="X54" s="88" t="s">
        <v>4556</v>
      </c>
      <c r="Y54" s="88"/>
      <c r="Z54" s="88"/>
      <c r="AA54" s="88"/>
      <c r="AB54" s="88"/>
      <c r="AC54" s="88"/>
    </row>
    <row r="55" spans="1:29" ht="60" customHeight="1">
      <c r="A55" s="71" t="s">
        <v>1629</v>
      </c>
      <c r="B55" s="71" t="s">
        <v>4587</v>
      </c>
      <c r="C55" s="71" t="s">
        <v>4488</v>
      </c>
      <c r="D55" s="77">
        <v>46302</v>
      </c>
      <c r="E55" s="89" t="str">
        <f t="shared" si="8"/>
        <v>Allabolag (sources Bolagsverket/SCB/Skatteverket) — John Bean Technologies AB — informations légales 556084-8284</v>
      </c>
      <c r="F55" s="89" t="str">
        <f t="shared" si="9"/>
        <v>Ratsit — John Bean Technologies AB — identité juridique</v>
      </c>
      <c r="G55" s="89" t="str">
        <f t="shared" si="10"/>
        <v>JBT Marel — Stein TwinDrum 600 — identité fournisseur uniquement</v>
      </c>
      <c r="H55" s="89" t="str">
        <f t="shared" si="11"/>
        <v/>
      </c>
      <c r="I55" s="89" t="str">
        <f t="shared" si="12"/>
        <v/>
      </c>
      <c r="J55" s="89" t="str">
        <f t="shared" si="13"/>
        <v/>
      </c>
      <c r="K55" s="89" t="str">
        <f t="shared" si="14"/>
        <v/>
      </c>
      <c r="L55" s="89" t="str">
        <f t="shared" si="15"/>
        <v/>
      </c>
      <c r="M55" s="71" t="s">
        <v>1633</v>
      </c>
      <c r="N55" s="88" t="s">
        <v>4552</v>
      </c>
      <c r="O55" s="88" t="s">
        <v>4503</v>
      </c>
      <c r="P55" s="88" t="s">
        <v>4553</v>
      </c>
      <c r="Q55" s="88"/>
      <c r="R55" s="88"/>
      <c r="S55" s="88"/>
      <c r="T55" s="88"/>
      <c r="U55" s="88"/>
      <c r="V55" s="88" t="s">
        <v>4554</v>
      </c>
      <c r="W55" s="88" t="s">
        <v>4555</v>
      </c>
      <c r="X55" s="88" t="s">
        <v>4556</v>
      </c>
      <c r="Y55" s="88"/>
      <c r="Z55" s="88"/>
      <c r="AA55" s="88"/>
      <c r="AB55" s="88"/>
      <c r="AC55" s="88"/>
    </row>
    <row r="56" spans="1:29" ht="60" customHeight="1">
      <c r="A56" s="71" t="s">
        <v>1785</v>
      </c>
      <c r="B56" s="71" t="s">
        <v>4588</v>
      </c>
      <c r="C56" s="71" t="s">
        <v>4492</v>
      </c>
      <c r="D56" s="77">
        <v>46302</v>
      </c>
      <c r="E56" s="89" t="str">
        <f t="shared" si="8"/>
        <v>ELESA — RMH-ND-BK — Flat magnets</v>
      </c>
      <c r="F56" s="89" t="str">
        <f t="shared" si="9"/>
        <v>ELESA — RMH — Flat magnets with threaded pin</v>
      </c>
      <c r="G56" s="89" t="str">
        <f t="shared" si="10"/>
        <v>Annuaire des Entreprises — ELESA FRANCE STANDARD MACHINE ELEMENTS</v>
      </c>
      <c r="H56" s="89" t="str">
        <f t="shared" si="11"/>
        <v/>
      </c>
      <c r="I56" s="89" t="str">
        <f t="shared" si="12"/>
        <v/>
      </c>
      <c r="J56" s="89" t="str">
        <f t="shared" si="13"/>
        <v/>
      </c>
      <c r="K56" s="89" t="str">
        <f t="shared" si="14"/>
        <v/>
      </c>
      <c r="L56" s="89" t="str">
        <f t="shared" si="15"/>
        <v/>
      </c>
      <c r="M56" s="71" t="s">
        <v>1800</v>
      </c>
      <c r="N56" s="88" t="s">
        <v>4589</v>
      </c>
      <c r="O56" s="88" t="s">
        <v>4590</v>
      </c>
      <c r="P56" s="88" t="s">
        <v>4591</v>
      </c>
      <c r="Q56" s="88"/>
      <c r="R56" s="88"/>
      <c r="S56" s="88"/>
      <c r="T56" s="88"/>
      <c r="U56" s="88"/>
      <c r="V56" s="88" t="s">
        <v>4592</v>
      </c>
      <c r="W56" s="88" t="s">
        <v>4593</v>
      </c>
      <c r="X56" s="88" t="s">
        <v>4594</v>
      </c>
      <c r="Y56" s="88"/>
      <c r="Z56" s="88"/>
      <c r="AA56" s="88"/>
      <c r="AB56" s="88"/>
      <c r="AC56" s="88"/>
    </row>
    <row r="57" spans="1:29" ht="60" customHeight="1">
      <c r="A57" s="71" t="s">
        <v>1837</v>
      </c>
      <c r="B57" s="71" t="s">
        <v>4595</v>
      </c>
      <c r="C57" s="71" t="s">
        <v>4492</v>
      </c>
      <c r="D57" s="77">
        <v>46302</v>
      </c>
      <c r="E57" s="89" t="str">
        <f t="shared" si="8"/>
        <v>MISUMI — STHWICB20 — Support d’arbre à embase compacte fendu</v>
      </c>
      <c r="F57" s="89" t="str">
        <f t="shared" si="9"/>
        <v/>
      </c>
      <c r="G57" s="89" t="str">
        <f t="shared" si="10"/>
        <v/>
      </c>
      <c r="H57" s="89" t="str">
        <f t="shared" si="11"/>
        <v/>
      </c>
      <c r="I57" s="89" t="str">
        <f t="shared" si="12"/>
        <v/>
      </c>
      <c r="J57" s="89" t="str">
        <f t="shared" si="13"/>
        <v/>
      </c>
      <c r="K57" s="89" t="str">
        <f t="shared" si="14"/>
        <v/>
      </c>
      <c r="L57" s="89" t="str">
        <f t="shared" si="15"/>
        <v/>
      </c>
      <c r="M57" s="71" t="s">
        <v>1849</v>
      </c>
      <c r="N57" s="88" t="s">
        <v>4596</v>
      </c>
      <c r="O57" s="88"/>
      <c r="P57" s="88"/>
      <c r="Q57" s="88"/>
      <c r="R57" s="88"/>
      <c r="S57" s="88"/>
      <c r="T57" s="88"/>
      <c r="U57" s="88"/>
      <c r="V57" s="88" t="s">
        <v>4597</v>
      </c>
      <c r="W57" s="88"/>
      <c r="X57" s="88"/>
      <c r="Y57" s="88"/>
      <c r="Z57" s="88"/>
      <c r="AA57" s="88"/>
      <c r="AB57" s="88"/>
      <c r="AC57" s="88"/>
    </row>
    <row r="58" spans="1:29" ht="60" customHeight="1">
      <c r="A58" s="71" t="s">
        <v>1852</v>
      </c>
      <c r="B58" s="71" t="s">
        <v>4598</v>
      </c>
      <c r="C58" s="71" t="s">
        <v>4458</v>
      </c>
      <c r="D58" s="77">
        <v>46302</v>
      </c>
      <c r="E58" s="89" t="str">
        <f t="shared" si="8"/>
        <v>MISUMI — Arbres linéaires à filetage intérieur des deux côtés — SFJWEU / PSFJWEU</v>
      </c>
      <c r="F58" s="89" t="str">
        <f t="shared" si="9"/>
        <v>MISUMI — SFJWEU / PSFJWEU — Linear shafts, internal thread on both sides</v>
      </c>
      <c r="G58" s="89" t="str">
        <f t="shared" si="10"/>
        <v/>
      </c>
      <c r="H58" s="89" t="str">
        <f t="shared" si="11"/>
        <v/>
      </c>
      <c r="I58" s="89" t="str">
        <f t="shared" si="12"/>
        <v/>
      </c>
      <c r="J58" s="89" t="str">
        <f t="shared" si="13"/>
        <v/>
      </c>
      <c r="K58" s="89" t="str">
        <f t="shared" si="14"/>
        <v/>
      </c>
      <c r="L58" s="89" t="str">
        <f t="shared" si="15"/>
        <v/>
      </c>
      <c r="M58" s="71" t="s">
        <v>1858</v>
      </c>
      <c r="N58" s="88" t="s">
        <v>4599</v>
      </c>
      <c r="O58" s="88" t="s">
        <v>4600</v>
      </c>
      <c r="P58" s="88"/>
      <c r="Q58" s="88"/>
      <c r="R58" s="88"/>
      <c r="S58" s="88"/>
      <c r="T58" s="88"/>
      <c r="U58" s="88"/>
      <c r="V58" s="88" t="s">
        <v>4601</v>
      </c>
      <c r="W58" s="88" t="s">
        <v>4602</v>
      </c>
      <c r="X58" s="88"/>
      <c r="Y58" s="88"/>
      <c r="Z58" s="88"/>
      <c r="AA58" s="88"/>
      <c r="AB58" s="88"/>
      <c r="AC58" s="88"/>
    </row>
    <row r="59" spans="1:29" ht="60" customHeight="1">
      <c r="A59" s="71" t="s">
        <v>1860</v>
      </c>
      <c r="B59" s="71" t="s">
        <v>4603</v>
      </c>
      <c r="C59" s="71" t="s">
        <v>4458</v>
      </c>
      <c r="D59" s="77">
        <v>46302</v>
      </c>
      <c r="E59" s="89" t="str">
        <f t="shared" si="8"/>
        <v>MISUMI — Arbres linéaires à filetage intérieur des deux côtés — SFJWEU / PSFJWEU</v>
      </c>
      <c r="F59" s="89" t="str">
        <f t="shared" si="9"/>
        <v>MISUMI — SFJWEU / PSFJWEU — Linear shafts, internal thread on both sides</v>
      </c>
      <c r="G59" s="89" t="str">
        <f t="shared" si="10"/>
        <v/>
      </c>
      <c r="H59" s="89" t="str">
        <f t="shared" si="11"/>
        <v/>
      </c>
      <c r="I59" s="89" t="str">
        <f t="shared" si="12"/>
        <v/>
      </c>
      <c r="J59" s="89" t="str">
        <f t="shared" si="13"/>
        <v/>
      </c>
      <c r="K59" s="89" t="str">
        <f t="shared" si="14"/>
        <v/>
      </c>
      <c r="L59" s="89" t="str">
        <f t="shared" si="15"/>
        <v/>
      </c>
      <c r="M59" s="71" t="s">
        <v>1864</v>
      </c>
      <c r="N59" s="88" t="s">
        <v>4599</v>
      </c>
      <c r="O59" s="88" t="s">
        <v>4600</v>
      </c>
      <c r="P59" s="88"/>
      <c r="Q59" s="88"/>
      <c r="R59" s="88"/>
      <c r="S59" s="88"/>
      <c r="T59" s="88"/>
      <c r="U59" s="88"/>
      <c r="V59" s="88" t="s">
        <v>4601</v>
      </c>
      <c r="W59" s="88" t="s">
        <v>4602</v>
      </c>
      <c r="X59" s="88"/>
      <c r="Y59" s="88"/>
      <c r="Z59" s="88"/>
      <c r="AA59" s="88"/>
      <c r="AB59" s="88"/>
      <c r="AC59" s="88"/>
    </row>
    <row r="60" spans="1:29" ht="60" customHeight="1">
      <c r="A60" s="71" t="s">
        <v>1865</v>
      </c>
      <c r="B60" s="71" t="s">
        <v>4604</v>
      </c>
      <c r="C60" s="71" t="s">
        <v>4458</v>
      </c>
      <c r="D60" s="77">
        <v>46302</v>
      </c>
      <c r="E60" s="89" t="str">
        <f t="shared" si="8"/>
        <v>MISUMI — Arbres linéaires à filetage intérieur des deux côtés — SFJWEU / PSFJWEU</v>
      </c>
      <c r="F60" s="89" t="str">
        <f t="shared" si="9"/>
        <v>MISUMI — SFJWEU / PSFJWEU — Linear shafts, internal thread on both sides</v>
      </c>
      <c r="G60" s="89" t="str">
        <f t="shared" si="10"/>
        <v/>
      </c>
      <c r="H60" s="89" t="str">
        <f t="shared" si="11"/>
        <v/>
      </c>
      <c r="I60" s="89" t="str">
        <f t="shared" si="12"/>
        <v/>
      </c>
      <c r="J60" s="89" t="str">
        <f t="shared" si="13"/>
        <v/>
      </c>
      <c r="K60" s="89" t="str">
        <f t="shared" si="14"/>
        <v/>
      </c>
      <c r="L60" s="89" t="str">
        <f t="shared" si="15"/>
        <v/>
      </c>
      <c r="M60" s="71" t="s">
        <v>1868</v>
      </c>
      <c r="N60" s="88" t="s">
        <v>4599</v>
      </c>
      <c r="O60" s="88" t="s">
        <v>4600</v>
      </c>
      <c r="P60" s="88"/>
      <c r="Q60" s="88"/>
      <c r="R60" s="88"/>
      <c r="S60" s="88"/>
      <c r="T60" s="88"/>
      <c r="U60" s="88"/>
      <c r="V60" s="88" t="s">
        <v>4601</v>
      </c>
      <c r="W60" s="88" t="s">
        <v>4602</v>
      </c>
      <c r="X60" s="88"/>
      <c r="Y60" s="88"/>
      <c r="Z60" s="88"/>
      <c r="AA60" s="88"/>
      <c r="AB60" s="88"/>
      <c r="AC60" s="88"/>
    </row>
    <row r="61" spans="1:29" ht="60" customHeight="1">
      <c r="A61" s="71" t="s">
        <v>1990</v>
      </c>
      <c r="B61" s="71" t="s">
        <v>4605</v>
      </c>
      <c r="C61" s="71" t="s">
        <v>4492</v>
      </c>
      <c r="D61" s="77">
        <v>46302</v>
      </c>
      <c r="E61" s="89" t="str">
        <f t="shared" si="8"/>
        <v>Regal Rexnord — System Plast 10941741 NGE2124FT-K134 — AA2501994</v>
      </c>
      <c r="F61" s="89" t="str">
        <f t="shared" si="9"/>
        <v>System Plast, hébergé par Dertec — System Plast Smart Guide — page 30030a</v>
      </c>
      <c r="G61" s="89" t="str">
        <f t="shared" si="10"/>
        <v>Archimedes — AA2501994 modular belt NGE2124FT-K134</v>
      </c>
      <c r="H61" s="89" t="str">
        <f t="shared" si="11"/>
        <v>PagineBianche — Rexnord Flattop Europe S.r.l. a Correggio</v>
      </c>
      <c r="I61" s="89" t="str">
        <f t="shared" si="12"/>
        <v/>
      </c>
      <c r="J61" s="89" t="str">
        <f t="shared" si="13"/>
        <v/>
      </c>
      <c r="K61" s="89" t="str">
        <f t="shared" si="14"/>
        <v/>
      </c>
      <c r="L61" s="89" t="str">
        <f t="shared" si="15"/>
        <v/>
      </c>
      <c r="M61" s="71" t="s">
        <v>2001</v>
      </c>
      <c r="N61" s="88" t="s">
        <v>4606</v>
      </c>
      <c r="O61" s="88" t="s">
        <v>4607</v>
      </c>
      <c r="P61" s="88" t="s">
        <v>4608</v>
      </c>
      <c r="Q61" s="88" t="s">
        <v>4609</v>
      </c>
      <c r="R61" s="88"/>
      <c r="S61" s="88"/>
      <c r="T61" s="88"/>
      <c r="U61" s="88"/>
      <c r="V61" s="88" t="s">
        <v>4610</v>
      </c>
      <c r="W61" s="88" t="s">
        <v>4611</v>
      </c>
      <c r="X61" s="88" t="s">
        <v>4612</v>
      </c>
      <c r="Y61" s="88" t="s">
        <v>4613</v>
      </c>
      <c r="Z61" s="88"/>
      <c r="AA61" s="88"/>
      <c r="AB61" s="88"/>
      <c r="AC61" s="88"/>
    </row>
    <row r="62" spans="1:29" ht="60" customHeight="1">
      <c r="A62" s="71" t="s">
        <v>2311</v>
      </c>
      <c r="B62" s="71" t="s">
        <v>4614</v>
      </c>
      <c r="C62" s="71" t="s">
        <v>4488</v>
      </c>
      <c r="D62" s="77">
        <v>46302</v>
      </c>
      <c r="E62" s="89" t="str">
        <f t="shared" si="8"/>
        <v>OpenCorpData / GLEIF — AETNA GROUP S.P.A. : registre LEI</v>
      </c>
      <c r="F62" s="89" t="str">
        <f t="shared" si="9"/>
        <v>Aetna Group — Prasmatic TC600 Combi : Danish Crown</v>
      </c>
      <c r="G62" s="89" t="str">
        <f t="shared" si="10"/>
        <v/>
      </c>
      <c r="H62" s="89" t="str">
        <f t="shared" si="11"/>
        <v/>
      </c>
      <c r="I62" s="89" t="str">
        <f t="shared" si="12"/>
        <v/>
      </c>
      <c r="J62" s="89" t="str">
        <f t="shared" si="13"/>
        <v/>
      </c>
      <c r="K62" s="89" t="str">
        <f t="shared" si="14"/>
        <v/>
      </c>
      <c r="L62" s="89" t="str">
        <f t="shared" si="15"/>
        <v/>
      </c>
      <c r="M62" s="71" t="s">
        <v>2318</v>
      </c>
      <c r="N62" s="88" t="s">
        <v>4615</v>
      </c>
      <c r="O62" s="88" t="s">
        <v>4616</v>
      </c>
      <c r="P62" s="88"/>
      <c r="Q62" s="88"/>
      <c r="R62" s="88"/>
      <c r="S62" s="88"/>
      <c r="T62" s="88"/>
      <c r="U62" s="88"/>
      <c r="V62" s="88" t="s">
        <v>4617</v>
      </c>
      <c r="W62" s="88" t="s">
        <v>4618</v>
      </c>
      <c r="X62" s="88"/>
      <c r="Y62" s="88"/>
      <c r="Z62" s="88"/>
      <c r="AA62" s="88"/>
      <c r="AB62" s="88"/>
      <c r="AC62" s="88"/>
    </row>
    <row r="63" spans="1:29" ht="60" customHeight="1">
      <c r="A63" s="71" t="s">
        <v>2475</v>
      </c>
      <c r="B63" s="71" t="s">
        <v>4619</v>
      </c>
      <c r="C63" s="71" t="s">
        <v>4492</v>
      </c>
      <c r="D63" s="77">
        <v>46302</v>
      </c>
      <c r="E63" s="89" t="str">
        <f t="shared" si="8"/>
        <v>Radwell — DKE-1710-X 24DC — Hydraulic Valve</v>
      </c>
      <c r="F63" s="89" t="str">
        <f t="shared" si="9"/>
        <v>Atos — E025-11/E — Solenoid directional valves type DKE</v>
      </c>
      <c r="G63" s="89" t="str">
        <f t="shared" si="10"/>
        <v>Pappers — COMPOSANTS SYSTEMES SOLUTIONS SCE (C3S)</v>
      </c>
      <c r="H63" s="89" t="str">
        <f t="shared" si="11"/>
        <v/>
      </c>
      <c r="I63" s="89" t="str">
        <f t="shared" si="12"/>
        <v/>
      </c>
      <c r="J63" s="89" t="str">
        <f t="shared" si="13"/>
        <v/>
      </c>
      <c r="K63" s="89" t="str">
        <f t="shared" si="14"/>
        <v/>
      </c>
      <c r="L63" s="89" t="str">
        <f t="shared" si="15"/>
        <v/>
      </c>
      <c r="M63" s="71" t="s">
        <v>2487</v>
      </c>
      <c r="N63" s="88" t="s">
        <v>4620</v>
      </c>
      <c r="O63" s="88" t="s">
        <v>4621</v>
      </c>
      <c r="P63" s="88" t="s">
        <v>4622</v>
      </c>
      <c r="Q63" s="88"/>
      <c r="R63" s="88"/>
      <c r="S63" s="88"/>
      <c r="T63" s="88"/>
      <c r="U63" s="88"/>
      <c r="V63" s="88" t="s">
        <v>4623</v>
      </c>
      <c r="W63" s="88" t="s">
        <v>4624</v>
      </c>
      <c r="X63" s="88" t="s">
        <v>4625</v>
      </c>
      <c r="Y63" s="88"/>
      <c r="Z63" s="88"/>
      <c r="AA63" s="88"/>
      <c r="AB63" s="88"/>
      <c r="AC63" s="88"/>
    </row>
    <row r="64" spans="1:29" ht="60" customHeight="1">
      <c r="A64" s="71" t="s">
        <v>2488</v>
      </c>
      <c r="B64" s="71" t="s">
        <v>4626</v>
      </c>
      <c r="C64" s="71" t="s">
        <v>4458</v>
      </c>
      <c r="D64" s="77">
        <v>46302</v>
      </c>
      <c r="E64" s="89" t="str">
        <f t="shared" si="8"/>
        <v>Atos / hébergement LD — D170-6/E — Modular fast/slow valves type DHQ and DKQ</v>
      </c>
      <c r="F64" s="89" t="str">
        <f t="shared" si="9"/>
        <v>Atos — D170-11/E — Modular fast/slow valves type DHQ</v>
      </c>
      <c r="G64" s="89" t="str">
        <f t="shared" si="10"/>
        <v>Pappers — COMPOSANTS SYSTEMES SOLUTIONS SCE (C3S)</v>
      </c>
      <c r="H64" s="89" t="str">
        <f t="shared" si="11"/>
        <v/>
      </c>
      <c r="I64" s="89" t="str">
        <f t="shared" si="12"/>
        <v/>
      </c>
      <c r="J64" s="89" t="str">
        <f t="shared" si="13"/>
        <v/>
      </c>
      <c r="K64" s="89" t="str">
        <f t="shared" si="14"/>
        <v/>
      </c>
      <c r="L64" s="89" t="str">
        <f t="shared" si="15"/>
        <v/>
      </c>
      <c r="M64" s="71" t="s">
        <v>2495</v>
      </c>
      <c r="N64" s="88" t="s">
        <v>4627</v>
      </c>
      <c r="O64" s="88" t="s">
        <v>4628</v>
      </c>
      <c r="P64" s="88" t="s">
        <v>4622</v>
      </c>
      <c r="Q64" s="88"/>
      <c r="R64" s="88"/>
      <c r="S64" s="88"/>
      <c r="T64" s="88"/>
      <c r="U64" s="88"/>
      <c r="V64" s="88" t="s">
        <v>4629</v>
      </c>
      <c r="W64" s="88" t="s">
        <v>4630</v>
      </c>
      <c r="X64" s="88" t="s">
        <v>4625</v>
      </c>
      <c r="Y64" s="88"/>
      <c r="Z64" s="88"/>
      <c r="AA64" s="88"/>
      <c r="AB64" s="88"/>
      <c r="AC64" s="88"/>
    </row>
    <row r="65" spans="1:29" ht="60" customHeight="1">
      <c r="A65" s="71" t="s">
        <v>2523</v>
      </c>
      <c r="B65" s="71" t="s">
        <v>4631</v>
      </c>
      <c r="C65" s="71" t="s">
        <v>4458</v>
      </c>
      <c r="D65" s="77">
        <v>46302</v>
      </c>
      <c r="E65" s="89" t="str">
        <f t="shared" si="8"/>
        <v>SEW-EURODRIVE — Type Codes, Volume 1 Drive Technology, 31976336/EN</v>
      </c>
      <c r="F65" s="89" t="str">
        <f t="shared" si="9"/>
        <v>SEW-EURODRIVE — Gearmotor Nomenclature, 2024</v>
      </c>
      <c r="G65" s="89" t="str">
        <f t="shared" si="10"/>
        <v>Radwell International — R17 DRN63M4 Gear Motor</v>
      </c>
      <c r="H65" s="89" t="str">
        <f t="shared" si="11"/>
        <v>SEW USOCOME — SEBA MOTORISATION — Drive Service Partner</v>
      </c>
      <c r="I65" s="89" t="str">
        <f t="shared" si="12"/>
        <v/>
      </c>
      <c r="J65" s="89" t="str">
        <f t="shared" si="13"/>
        <v/>
      </c>
      <c r="K65" s="89" t="str">
        <f t="shared" si="14"/>
        <v/>
      </c>
      <c r="L65" s="89" t="str">
        <f t="shared" si="15"/>
        <v/>
      </c>
      <c r="M65" s="71" t="s">
        <v>2532</v>
      </c>
      <c r="N65" s="88" t="s">
        <v>4464</v>
      </c>
      <c r="O65" s="88" t="s">
        <v>4465</v>
      </c>
      <c r="P65" s="88" t="s">
        <v>4632</v>
      </c>
      <c r="Q65" s="88" t="s">
        <v>4633</v>
      </c>
      <c r="R65" s="88"/>
      <c r="S65" s="88"/>
      <c r="T65" s="88"/>
      <c r="U65" s="88"/>
      <c r="V65" s="88" t="s">
        <v>4468</v>
      </c>
      <c r="W65" s="88" t="s">
        <v>4469</v>
      </c>
      <c r="X65" s="88" t="s">
        <v>4634</v>
      </c>
      <c r="Y65" s="88" t="s">
        <v>4635</v>
      </c>
      <c r="Z65" s="88"/>
      <c r="AA65" s="88"/>
      <c r="AB65" s="88"/>
      <c r="AC65" s="88"/>
    </row>
    <row r="66" spans="1:29" ht="60" customHeight="1">
      <c r="A66" s="71" t="s">
        <v>2544</v>
      </c>
      <c r="B66" s="71" t="s">
        <v>4636</v>
      </c>
      <c r="C66" s="71" t="s">
        <v>4458</v>
      </c>
      <c r="D66" s="77">
        <v>46302</v>
      </c>
      <c r="E66" s="89" t="str">
        <f t="shared" si="8"/>
        <v>EagleBurgmann — Cartex Dual seals — dimensions et données techniques</v>
      </c>
      <c r="F66" s="89" t="str">
        <f t="shared" si="9"/>
        <v>EagleBurgmann — Cartex Dual seal — MS_Cartex-DN</v>
      </c>
      <c r="G66" s="89" t="str">
        <f t="shared" si="10"/>
        <v/>
      </c>
      <c r="H66" s="89" t="str">
        <f t="shared" si="11"/>
        <v/>
      </c>
      <c r="I66" s="89" t="str">
        <f t="shared" si="12"/>
        <v/>
      </c>
      <c r="J66" s="89" t="str">
        <f t="shared" si="13"/>
        <v/>
      </c>
      <c r="K66" s="89" t="str">
        <f t="shared" si="14"/>
        <v/>
      </c>
      <c r="L66" s="89" t="str">
        <f t="shared" si="15"/>
        <v/>
      </c>
      <c r="M66" s="71" t="s">
        <v>2553</v>
      </c>
      <c r="N66" s="88" t="s">
        <v>4637</v>
      </c>
      <c r="O66" s="88" t="s">
        <v>4638</v>
      </c>
      <c r="P66" s="88"/>
      <c r="Q66" s="88"/>
      <c r="R66" s="88"/>
      <c r="S66" s="88"/>
      <c r="T66" s="88"/>
      <c r="U66" s="88"/>
      <c r="V66" s="88" t="s">
        <v>4639</v>
      </c>
      <c r="W66" s="88" t="s">
        <v>4640</v>
      </c>
      <c r="X66" s="88"/>
      <c r="Y66" s="88"/>
      <c r="Z66" s="88"/>
      <c r="AA66" s="88"/>
      <c r="AB66" s="88"/>
      <c r="AC66" s="88"/>
    </row>
    <row r="67" spans="1:29" ht="60" customHeight="1">
      <c r="A67" s="71" t="s">
        <v>2554</v>
      </c>
      <c r="B67" s="71" t="s">
        <v>4641</v>
      </c>
      <c r="C67" s="71" t="s">
        <v>4488</v>
      </c>
      <c r="D67" s="77">
        <v>46302</v>
      </c>
      <c r="E67" s="89" t="str">
        <f t="shared" ref="E67:E98" si="16">IF(N67="","",HYPERLINK(N67,V67))</f>
        <v>Companyweb (sources KBO/NBB/Staatsblad) — John Bean Technologies (NV), Sint-Niklaas, BE0405035475</v>
      </c>
      <c r="F67" s="89" t="str">
        <f t="shared" ref="F67:F98" si="17">IF(O67="","",HYPERLINK(O67,W67))</f>
        <v>JBT Marel — A&amp;B Process Systems — Controls and Automation (identité fournisseur uniquement)</v>
      </c>
      <c r="G67" s="89" t="str">
        <f t="shared" ref="G67:G98" si="18">IF(P67="","",HYPERLINK(P67,X67))</f>
        <v/>
      </c>
      <c r="H67" s="89" t="str">
        <f t="shared" ref="H67:H98" si="19">IF(Q67="","",HYPERLINK(Q67,Y67))</f>
        <v/>
      </c>
      <c r="I67" s="89" t="str">
        <f t="shared" ref="I67:I98" si="20">IF(R67="","",HYPERLINK(R67,Z67))</f>
        <v/>
      </c>
      <c r="J67" s="89" t="str">
        <f t="shared" ref="J67:J98" si="21">IF(S67="","",HYPERLINK(S67,AA67))</f>
        <v/>
      </c>
      <c r="K67" s="89" t="str">
        <f t="shared" ref="K67:K98" si="22">IF(T67="","",HYPERLINK(T67,AB67))</f>
        <v/>
      </c>
      <c r="L67" s="89" t="str">
        <f t="shared" ref="L67:L98" si="23">IF(U67="","",HYPERLINK(U67,AC67))</f>
        <v/>
      </c>
      <c r="M67" s="71" t="s">
        <v>2562</v>
      </c>
      <c r="N67" s="88" t="s">
        <v>4642</v>
      </c>
      <c r="O67" s="88" t="s">
        <v>4643</v>
      </c>
      <c r="P67" s="88"/>
      <c r="Q67" s="88"/>
      <c r="R67" s="88"/>
      <c r="S67" s="88"/>
      <c r="T67" s="88"/>
      <c r="U67" s="88"/>
      <c r="V67" s="88" t="s">
        <v>4644</v>
      </c>
      <c r="W67" s="88" t="s">
        <v>4645</v>
      </c>
      <c r="X67" s="88"/>
      <c r="Y67" s="88"/>
      <c r="Z67" s="88"/>
      <c r="AA67" s="88"/>
      <c r="AB67" s="88"/>
      <c r="AC67" s="88"/>
    </row>
    <row r="68" spans="1:29" ht="60" customHeight="1">
      <c r="A68" s="71" t="s">
        <v>2595</v>
      </c>
      <c r="B68" s="71" t="s">
        <v>4646</v>
      </c>
      <c r="C68" s="71" t="s">
        <v>4488</v>
      </c>
      <c r="D68" s="77">
        <v>46302</v>
      </c>
      <c r="E68" s="89" t="str">
        <f t="shared" si="16"/>
        <v>Roser Group — Fabricants de machines et service de pièces détachées</v>
      </c>
      <c r="F68" s="89" t="str">
        <f t="shared" si="17"/>
        <v>Iberinform — ROSER CONSTRUCCIONES METALICAS SA</v>
      </c>
      <c r="G68" s="89" t="str">
        <f t="shared" si="18"/>
        <v/>
      </c>
      <c r="H68" s="89" t="str">
        <f t="shared" si="19"/>
        <v/>
      </c>
      <c r="I68" s="89" t="str">
        <f t="shared" si="20"/>
        <v/>
      </c>
      <c r="J68" s="89" t="str">
        <f t="shared" si="21"/>
        <v/>
      </c>
      <c r="K68" s="89" t="str">
        <f t="shared" si="22"/>
        <v/>
      </c>
      <c r="L68" s="89" t="str">
        <f t="shared" si="23"/>
        <v/>
      </c>
      <c r="M68" s="71" t="s">
        <v>2604</v>
      </c>
      <c r="N68" s="88" t="s">
        <v>4647</v>
      </c>
      <c r="O68" s="88" t="s">
        <v>4648</v>
      </c>
      <c r="P68" s="88"/>
      <c r="Q68" s="88"/>
      <c r="R68" s="88"/>
      <c r="S68" s="88"/>
      <c r="T68" s="88"/>
      <c r="U68" s="88"/>
      <c r="V68" s="88" t="s">
        <v>4649</v>
      </c>
      <c r="W68" s="88" t="s">
        <v>4650</v>
      </c>
      <c r="X68" s="88"/>
      <c r="Y68" s="88"/>
      <c r="Z68" s="88"/>
      <c r="AA68" s="88"/>
      <c r="AB68" s="88"/>
      <c r="AC68" s="88"/>
    </row>
    <row r="69" spans="1:29" ht="60" customHeight="1">
      <c r="A69" s="71" t="s">
        <v>2607</v>
      </c>
      <c r="B69" s="71" t="s">
        <v>4651</v>
      </c>
      <c r="C69" s="71" t="s">
        <v>4488</v>
      </c>
      <c r="D69" s="77">
        <v>46302</v>
      </c>
      <c r="E69" s="89" t="str">
        <f t="shared" si="16"/>
        <v>Roser Group — Fabricants de machines et service de pièces détachées</v>
      </c>
      <c r="F69" s="89" t="str">
        <f t="shared" si="17"/>
        <v>Iberinform — ROSER CONSTRUCCIONES METALICAS SA</v>
      </c>
      <c r="G69" s="89" t="str">
        <f t="shared" si="18"/>
        <v/>
      </c>
      <c r="H69" s="89" t="str">
        <f t="shared" si="19"/>
        <v/>
      </c>
      <c r="I69" s="89" t="str">
        <f t="shared" si="20"/>
        <v/>
      </c>
      <c r="J69" s="89" t="str">
        <f t="shared" si="21"/>
        <v/>
      </c>
      <c r="K69" s="89" t="str">
        <f t="shared" si="22"/>
        <v/>
      </c>
      <c r="L69" s="89" t="str">
        <f t="shared" si="23"/>
        <v/>
      </c>
      <c r="M69" s="71" t="s">
        <v>2612</v>
      </c>
      <c r="N69" s="88" t="s">
        <v>4647</v>
      </c>
      <c r="O69" s="88" t="s">
        <v>4648</v>
      </c>
      <c r="P69" s="88"/>
      <c r="Q69" s="88"/>
      <c r="R69" s="88"/>
      <c r="S69" s="88"/>
      <c r="T69" s="88"/>
      <c r="U69" s="88"/>
      <c r="V69" s="88" t="s">
        <v>4649</v>
      </c>
      <c r="W69" s="88" t="s">
        <v>4650</v>
      </c>
      <c r="X69" s="88"/>
      <c r="Y69" s="88"/>
      <c r="Z69" s="88"/>
      <c r="AA69" s="88"/>
      <c r="AB69" s="88"/>
      <c r="AC69" s="88"/>
    </row>
    <row r="70" spans="1:29" ht="60" customHeight="1">
      <c r="A70" s="71" t="s">
        <v>2613</v>
      </c>
      <c r="B70" s="71" t="s">
        <v>4652</v>
      </c>
      <c r="C70" s="71" t="s">
        <v>4492</v>
      </c>
      <c r="D70" s="77">
        <v>46302</v>
      </c>
      <c r="E70" s="89" t="str">
        <f t="shared" si="16"/>
        <v>SICK — PSN02-2301, Data sheet</v>
      </c>
      <c r="F70" s="89" t="str">
        <f t="shared" si="17"/>
        <v>SICK — PSN02-2301 — deTem — Part no. 1102144</v>
      </c>
      <c r="G70" s="89" t="str">
        <f t="shared" si="18"/>
        <v>SICK — M4M-ZA04300D20 — Part no. 1096014</v>
      </c>
      <c r="H70" s="89" t="str">
        <f t="shared" si="19"/>
        <v>Annuaire des Entreprises — Société SICK — SIREN 972204770</v>
      </c>
      <c r="I70" s="89" t="str">
        <f t="shared" si="20"/>
        <v/>
      </c>
      <c r="J70" s="89" t="str">
        <f t="shared" si="21"/>
        <v/>
      </c>
      <c r="K70" s="89" t="str">
        <f t="shared" si="22"/>
        <v/>
      </c>
      <c r="L70" s="89" t="str">
        <f t="shared" si="23"/>
        <v/>
      </c>
      <c r="M70" s="71" t="s">
        <v>2624</v>
      </c>
      <c r="N70" s="88" t="s">
        <v>4653</v>
      </c>
      <c r="O70" s="88" t="s">
        <v>4654</v>
      </c>
      <c r="P70" s="88" t="s">
        <v>4655</v>
      </c>
      <c r="Q70" s="88" t="s">
        <v>4656</v>
      </c>
      <c r="R70" s="88"/>
      <c r="S70" s="88"/>
      <c r="T70" s="88"/>
      <c r="U70" s="88"/>
      <c r="V70" s="88" t="s">
        <v>4657</v>
      </c>
      <c r="W70" s="88" t="s">
        <v>4658</v>
      </c>
      <c r="X70" s="88" t="s">
        <v>4659</v>
      </c>
      <c r="Y70" s="88" t="s">
        <v>4660</v>
      </c>
      <c r="Z70" s="88"/>
      <c r="AA70" s="88"/>
      <c r="AB70" s="88"/>
      <c r="AC70" s="88"/>
    </row>
    <row r="71" spans="1:29" ht="60" customHeight="1">
      <c r="A71" s="71" t="s">
        <v>2625</v>
      </c>
      <c r="B71" s="71" t="s">
        <v>4661</v>
      </c>
      <c r="C71" s="71" t="s">
        <v>4492</v>
      </c>
      <c r="D71" s="77">
        <v>46302</v>
      </c>
      <c r="E71" s="89" t="str">
        <f t="shared" si="16"/>
        <v>SICK — M4M-ZA04300D20 - deTem | SICK (Part no. 1096014)</v>
      </c>
      <c r="F71" s="89" t="str">
        <f t="shared" si="17"/>
        <v>SICK — deTem M4M-ZA04300D20, Data sheet</v>
      </c>
      <c r="G71" s="89" t="str">
        <f t="shared" si="18"/>
        <v>DigiKey — 1096014 SICK, Inc. | DigiKey</v>
      </c>
      <c r="H71" s="89" t="str">
        <f t="shared" si="19"/>
        <v>Annuaire des Entreprises — Société SICK — SIREN 972204770</v>
      </c>
      <c r="I71" s="89" t="str">
        <f t="shared" si="20"/>
        <v/>
      </c>
      <c r="J71" s="89" t="str">
        <f t="shared" si="21"/>
        <v/>
      </c>
      <c r="K71" s="89" t="str">
        <f t="shared" si="22"/>
        <v/>
      </c>
      <c r="L71" s="89" t="str">
        <f t="shared" si="23"/>
        <v/>
      </c>
      <c r="M71" s="71" t="s">
        <v>2633</v>
      </c>
      <c r="N71" s="88" t="s">
        <v>4655</v>
      </c>
      <c r="O71" s="88" t="s">
        <v>4662</v>
      </c>
      <c r="P71" s="88" t="s">
        <v>4663</v>
      </c>
      <c r="Q71" s="88" t="s">
        <v>4656</v>
      </c>
      <c r="R71" s="88"/>
      <c r="S71" s="88"/>
      <c r="T71" s="88"/>
      <c r="U71" s="88"/>
      <c r="V71" s="88" t="s">
        <v>4664</v>
      </c>
      <c r="W71" s="88" t="s">
        <v>4665</v>
      </c>
      <c r="X71" s="88" t="s">
        <v>4666</v>
      </c>
      <c r="Y71" s="88" t="s">
        <v>4660</v>
      </c>
      <c r="Z71" s="88"/>
      <c r="AA71" s="88"/>
      <c r="AB71" s="88"/>
      <c r="AC71" s="88"/>
    </row>
    <row r="72" spans="1:29" ht="60" customHeight="1">
      <c r="A72" s="71" t="s">
        <v>2639</v>
      </c>
      <c r="B72" s="71" t="s">
        <v>4667</v>
      </c>
      <c r="C72" s="71" t="s">
        <v>4488</v>
      </c>
      <c r="D72" s="77">
        <v>46302</v>
      </c>
      <c r="E72" s="89" t="str">
        <f t="shared" si="16"/>
        <v>LMIA — Fournisseur de machines agroalimentaires</v>
      </c>
      <c r="F72" s="89" t="str">
        <f t="shared" si="17"/>
        <v>Communauté de communes de la Basse-Zorn — LMIA SA</v>
      </c>
      <c r="G72" s="89" t="str">
        <f t="shared" si="18"/>
        <v/>
      </c>
      <c r="H72" s="89" t="str">
        <f t="shared" si="19"/>
        <v/>
      </c>
      <c r="I72" s="89" t="str">
        <f t="shared" si="20"/>
        <v/>
      </c>
      <c r="J72" s="89" t="str">
        <f t="shared" si="21"/>
        <v/>
      </c>
      <c r="K72" s="89" t="str">
        <f t="shared" si="22"/>
        <v/>
      </c>
      <c r="L72" s="89" t="str">
        <f t="shared" si="23"/>
        <v/>
      </c>
      <c r="M72" s="71" t="s">
        <v>2649</v>
      </c>
      <c r="N72" s="88" t="s">
        <v>4668</v>
      </c>
      <c r="O72" s="88" t="s">
        <v>4669</v>
      </c>
      <c r="P72" s="88"/>
      <c r="Q72" s="88"/>
      <c r="R72" s="88"/>
      <c r="S72" s="88"/>
      <c r="T72" s="88"/>
      <c r="U72" s="88"/>
      <c r="V72" s="88" t="s">
        <v>4670</v>
      </c>
      <c r="W72" s="88" t="s">
        <v>4671</v>
      </c>
      <c r="X72" s="88"/>
      <c r="Y72" s="88"/>
      <c r="Z72" s="88"/>
      <c r="AA72" s="88"/>
      <c r="AB72" s="88"/>
      <c r="AC72" s="88"/>
    </row>
    <row r="73" spans="1:29" ht="60" customHeight="1">
      <c r="A73" s="71" t="s">
        <v>2656</v>
      </c>
      <c r="B73" s="71" t="s">
        <v>4672</v>
      </c>
      <c r="C73" s="71" t="s">
        <v>4492</v>
      </c>
      <c r="D73" s="77">
        <v>46302</v>
      </c>
      <c r="E73" s="89" t="str">
        <f t="shared" si="16"/>
        <v>Kärcher — NT 30/1 Me Classic Edition | Kärcher International</v>
      </c>
      <c r="F73" s="89" t="str">
        <f t="shared" si="17"/>
        <v>Kärcher — NT 30/1 Me Classic Edition | Kärcher Professional (France)</v>
      </c>
      <c r="G73" s="89" t="str">
        <f t="shared" si="18"/>
        <v>Manutan — Aspirateur eau et poussières NT 30/1 Me classic Edition - Karcher - Manutan.fr (Réf. AB59719)</v>
      </c>
      <c r="H73" s="89" t="str">
        <f t="shared" si="19"/>
        <v>Manutan — Mentions légales Manutan</v>
      </c>
      <c r="I73" s="89" t="str">
        <f t="shared" si="20"/>
        <v/>
      </c>
      <c r="J73" s="89" t="str">
        <f t="shared" si="21"/>
        <v/>
      </c>
      <c r="K73" s="89" t="str">
        <f t="shared" si="22"/>
        <v/>
      </c>
      <c r="L73" s="89" t="str">
        <f t="shared" si="23"/>
        <v/>
      </c>
      <c r="M73" s="71" t="s">
        <v>2667</v>
      </c>
      <c r="N73" s="88" t="s">
        <v>4673</v>
      </c>
      <c r="O73" s="88" t="s">
        <v>4674</v>
      </c>
      <c r="P73" s="88" t="s">
        <v>4675</v>
      </c>
      <c r="Q73" s="88" t="s">
        <v>4493</v>
      </c>
      <c r="R73" s="88"/>
      <c r="S73" s="88"/>
      <c r="T73" s="88"/>
      <c r="U73" s="88"/>
      <c r="V73" s="88" t="s">
        <v>4676</v>
      </c>
      <c r="W73" s="88" t="s">
        <v>4677</v>
      </c>
      <c r="X73" s="88" t="s">
        <v>4678</v>
      </c>
      <c r="Y73" s="88" t="s">
        <v>4495</v>
      </c>
      <c r="Z73" s="88"/>
      <c r="AA73" s="88"/>
      <c r="AB73" s="88"/>
      <c r="AC73" s="88"/>
    </row>
    <row r="74" spans="1:29" ht="60" customHeight="1">
      <c r="A74" s="71" t="s">
        <v>2668</v>
      </c>
      <c r="B74" s="71" t="s">
        <v>4679</v>
      </c>
      <c r="C74" s="71" t="s">
        <v>4492</v>
      </c>
      <c r="D74" s="77">
        <v>46302</v>
      </c>
      <c r="E74" s="89" t="str">
        <f t="shared" si="16"/>
        <v>Pumps UK — Lowara 15SV03F030T/D Multistage Pump (1016LD421)</v>
      </c>
      <c r="F74" s="89" t="str">
        <f t="shared" si="17"/>
        <v>Pumpalia — 15SV03F030T/D, product code 1016LD421</v>
      </c>
      <c r="G74" s="89" t="str">
        <f t="shared" si="18"/>
        <v/>
      </c>
      <c r="H74" s="89" t="str">
        <f t="shared" si="19"/>
        <v/>
      </c>
      <c r="I74" s="89" t="str">
        <f t="shared" si="20"/>
        <v/>
      </c>
      <c r="J74" s="89" t="str">
        <f t="shared" si="21"/>
        <v/>
      </c>
      <c r="K74" s="89" t="str">
        <f t="shared" si="22"/>
        <v/>
      </c>
      <c r="L74" s="89" t="str">
        <f t="shared" si="23"/>
        <v/>
      </c>
      <c r="M74" s="71" t="s">
        <v>2678</v>
      </c>
      <c r="N74" s="88" t="s">
        <v>4680</v>
      </c>
      <c r="O74" s="88" t="s">
        <v>4681</v>
      </c>
      <c r="P74" s="88"/>
      <c r="Q74" s="88"/>
      <c r="R74" s="88"/>
      <c r="S74" s="88"/>
      <c r="T74" s="88"/>
      <c r="U74" s="88"/>
      <c r="V74" s="88" t="s">
        <v>4682</v>
      </c>
      <c r="W74" s="88" t="s">
        <v>4683</v>
      </c>
      <c r="X74" s="88"/>
      <c r="Y74" s="88"/>
      <c r="Z74" s="88"/>
      <c r="AA74" s="88"/>
      <c r="AB74" s="88"/>
      <c r="AC74" s="88"/>
    </row>
    <row r="75" spans="1:29" ht="60" customHeight="1">
      <c r="A75" s="71" t="s">
        <v>2679</v>
      </c>
      <c r="B75" s="71" t="s">
        <v>4684</v>
      </c>
      <c r="C75" s="71" t="s">
        <v>4492</v>
      </c>
      <c r="D75" s="77">
        <v>46302</v>
      </c>
      <c r="E75" s="89" t="str">
        <f t="shared" si="16"/>
        <v>Bürkert — 2/2-way-solenoid valve, servo coupled — Type 6213 / Article Number 227542</v>
      </c>
      <c r="F75" s="89" t="str">
        <f t="shared" si="17"/>
        <v>Bürkert — Type 6213 - Servo-assisted 2/2-way diaphragm valve</v>
      </c>
      <c r="G75" s="89" t="str">
        <f t="shared" si="18"/>
        <v>Valves Direct — Burkert 227542 - 2/2 NC, G1 1/2, Orifice Size 40mm, Type 6213</v>
      </c>
      <c r="H75" s="89" t="str">
        <f t="shared" si="19"/>
        <v>Feldmann — Contactez-nous | Feldmann (FELDMANN LESQUIN)</v>
      </c>
      <c r="I75" s="89" t="str">
        <f t="shared" si="20"/>
        <v>118000.fr — Feldmann à LESQUIN 59810 (SIRET 34096955900053)</v>
      </c>
      <c r="J75" s="89" t="str">
        <f t="shared" si="21"/>
        <v/>
      </c>
      <c r="K75" s="89" t="str">
        <f t="shared" si="22"/>
        <v/>
      </c>
      <c r="L75" s="89" t="str">
        <f t="shared" si="23"/>
        <v/>
      </c>
      <c r="M75" s="71" t="s">
        <v>2693</v>
      </c>
      <c r="N75" s="88" t="s">
        <v>4685</v>
      </c>
      <c r="O75" s="88" t="s">
        <v>4686</v>
      </c>
      <c r="P75" s="88" t="s">
        <v>4687</v>
      </c>
      <c r="Q75" s="88" t="s">
        <v>4688</v>
      </c>
      <c r="R75" s="88" t="s">
        <v>4689</v>
      </c>
      <c r="S75" s="88"/>
      <c r="T75" s="88"/>
      <c r="U75" s="88"/>
      <c r="V75" s="88" t="s">
        <v>4690</v>
      </c>
      <c r="W75" s="88" t="s">
        <v>4691</v>
      </c>
      <c r="X75" s="88" t="s">
        <v>4692</v>
      </c>
      <c r="Y75" s="88" t="s">
        <v>4693</v>
      </c>
      <c r="Z75" s="88" t="s">
        <v>4694</v>
      </c>
      <c r="AA75" s="88"/>
      <c r="AB75" s="88"/>
      <c r="AC75" s="88"/>
    </row>
    <row r="76" spans="1:29" ht="60" customHeight="1">
      <c r="A76" s="71" t="s">
        <v>2694</v>
      </c>
      <c r="B76" s="71" t="s">
        <v>4695</v>
      </c>
      <c r="C76" s="71" t="s">
        <v>4488</v>
      </c>
      <c r="D76" s="77">
        <v>46302</v>
      </c>
      <c r="E76" s="89" t="str">
        <f t="shared" si="16"/>
        <v>ZENARI ENGINEERING S.N.C. — Zenari Engineering : identité légale</v>
      </c>
      <c r="F76" s="89" t="str">
        <f t="shared" si="17"/>
        <v>ZENARI ENGINEERING S.N.C. — Machines de transformation de fruits et légumes</v>
      </c>
      <c r="G76" s="89" t="str">
        <f t="shared" si="18"/>
        <v/>
      </c>
      <c r="H76" s="89" t="str">
        <f t="shared" si="19"/>
        <v/>
      </c>
      <c r="I76" s="89" t="str">
        <f t="shared" si="20"/>
        <v/>
      </c>
      <c r="J76" s="89" t="str">
        <f t="shared" si="21"/>
        <v/>
      </c>
      <c r="K76" s="89" t="str">
        <f t="shared" si="22"/>
        <v/>
      </c>
      <c r="L76" s="89" t="str">
        <f t="shared" si="23"/>
        <v/>
      </c>
      <c r="M76" s="71" t="s">
        <v>2700</v>
      </c>
      <c r="N76" s="88" t="s">
        <v>4498</v>
      </c>
      <c r="O76" s="88" t="s">
        <v>4499</v>
      </c>
      <c r="P76" s="88"/>
      <c r="Q76" s="88"/>
      <c r="R76" s="88"/>
      <c r="S76" s="88"/>
      <c r="T76" s="88"/>
      <c r="U76" s="88"/>
      <c r="V76" s="88" t="s">
        <v>4500</v>
      </c>
      <c r="W76" s="88" t="s">
        <v>4501</v>
      </c>
      <c r="X76" s="88"/>
      <c r="Y76" s="88"/>
      <c r="Z76" s="88"/>
      <c r="AA76" s="88"/>
      <c r="AB76" s="88"/>
      <c r="AC76" s="88"/>
    </row>
    <row r="77" spans="1:29" ht="60" customHeight="1">
      <c r="A77" s="71" t="s">
        <v>2702</v>
      </c>
      <c r="B77" s="71" t="s">
        <v>4696</v>
      </c>
      <c r="C77" s="71" t="s">
        <v>4488</v>
      </c>
      <c r="D77" s="77">
        <v>46302</v>
      </c>
      <c r="E77" s="89" t="str">
        <f t="shared" si="16"/>
        <v>Le Figaro Entreprises — SEA PRODUCTIQUE : raison sociale et SIREN</v>
      </c>
      <c r="F77" s="89" t="str">
        <f t="shared" si="17"/>
        <v/>
      </c>
      <c r="G77" s="89" t="str">
        <f t="shared" si="18"/>
        <v/>
      </c>
      <c r="H77" s="89" t="str">
        <f t="shared" si="19"/>
        <v/>
      </c>
      <c r="I77" s="89" t="str">
        <f t="shared" si="20"/>
        <v/>
      </c>
      <c r="J77" s="89" t="str">
        <f t="shared" si="21"/>
        <v/>
      </c>
      <c r="K77" s="89" t="str">
        <f t="shared" si="22"/>
        <v/>
      </c>
      <c r="L77" s="89" t="str">
        <f t="shared" si="23"/>
        <v/>
      </c>
      <c r="M77" s="71" t="s">
        <v>2709</v>
      </c>
      <c r="N77" s="88" t="s">
        <v>4697</v>
      </c>
      <c r="O77" s="88"/>
      <c r="P77" s="88"/>
      <c r="Q77" s="88"/>
      <c r="R77" s="88"/>
      <c r="S77" s="88"/>
      <c r="T77" s="88"/>
      <c r="U77" s="88"/>
      <c r="V77" s="88" t="s">
        <v>4698</v>
      </c>
      <c r="W77" s="88"/>
      <c r="X77" s="88"/>
      <c r="Y77" s="88"/>
      <c r="Z77" s="88"/>
      <c r="AA77" s="88"/>
      <c r="AB77" s="88"/>
      <c r="AC77" s="88"/>
    </row>
    <row r="78" spans="1:29" ht="60" customHeight="1">
      <c r="A78" s="71" t="s">
        <v>2711</v>
      </c>
      <c r="B78" s="71" t="s">
        <v>4699</v>
      </c>
      <c r="C78" s="71" t="s">
        <v>4488</v>
      </c>
      <c r="D78" s="77">
        <v>46302</v>
      </c>
      <c r="E78" s="89" t="str">
        <f t="shared" si="16"/>
        <v>Le Figaro Entreprises — SEA PRODUCTIQUE : raison sociale et SIREN</v>
      </c>
      <c r="F78" s="89" t="str">
        <f t="shared" si="17"/>
        <v/>
      </c>
      <c r="G78" s="89" t="str">
        <f t="shared" si="18"/>
        <v/>
      </c>
      <c r="H78" s="89" t="str">
        <f t="shared" si="19"/>
        <v/>
      </c>
      <c r="I78" s="89" t="str">
        <f t="shared" si="20"/>
        <v/>
      </c>
      <c r="J78" s="89" t="str">
        <f t="shared" si="21"/>
        <v/>
      </c>
      <c r="K78" s="89" t="str">
        <f t="shared" si="22"/>
        <v/>
      </c>
      <c r="L78" s="89" t="str">
        <f t="shared" si="23"/>
        <v/>
      </c>
      <c r="M78" s="71" t="s">
        <v>2716</v>
      </c>
      <c r="N78" s="88" t="s">
        <v>4697</v>
      </c>
      <c r="O78" s="88"/>
      <c r="P78" s="88"/>
      <c r="Q78" s="88"/>
      <c r="R78" s="88"/>
      <c r="S78" s="88"/>
      <c r="T78" s="88"/>
      <c r="U78" s="88"/>
      <c r="V78" s="88" t="s">
        <v>4698</v>
      </c>
      <c r="W78" s="88"/>
      <c r="X78" s="88"/>
      <c r="Y78" s="88"/>
      <c r="Z78" s="88"/>
      <c r="AA78" s="88"/>
      <c r="AB78" s="88"/>
      <c r="AC78" s="88"/>
    </row>
    <row r="79" spans="1:29" ht="60" customHeight="1">
      <c r="A79" s="71" t="s">
        <v>2717</v>
      </c>
      <c r="B79" s="71" t="s">
        <v>4700</v>
      </c>
      <c r="C79" s="71" t="s">
        <v>4488</v>
      </c>
      <c r="D79" s="77">
        <v>46302</v>
      </c>
      <c r="E79" s="89" t="str">
        <f t="shared" si="16"/>
        <v>Le Figaro Entreprises — SEA PRODUCTIQUE : raison sociale et SIREN</v>
      </c>
      <c r="F79" s="89" t="str">
        <f t="shared" si="17"/>
        <v/>
      </c>
      <c r="G79" s="89" t="str">
        <f t="shared" si="18"/>
        <v/>
      </c>
      <c r="H79" s="89" t="str">
        <f t="shared" si="19"/>
        <v/>
      </c>
      <c r="I79" s="89" t="str">
        <f t="shared" si="20"/>
        <v/>
      </c>
      <c r="J79" s="89" t="str">
        <f t="shared" si="21"/>
        <v/>
      </c>
      <c r="K79" s="89" t="str">
        <f t="shared" si="22"/>
        <v/>
      </c>
      <c r="L79" s="89" t="str">
        <f t="shared" si="23"/>
        <v/>
      </c>
      <c r="M79" s="71" t="s">
        <v>2724</v>
      </c>
      <c r="N79" s="88" t="s">
        <v>4697</v>
      </c>
      <c r="O79" s="88"/>
      <c r="P79" s="88"/>
      <c r="Q79" s="88"/>
      <c r="R79" s="88"/>
      <c r="S79" s="88"/>
      <c r="T79" s="88"/>
      <c r="U79" s="88"/>
      <c r="V79" s="88" t="s">
        <v>4698</v>
      </c>
      <c r="W79" s="88"/>
      <c r="X79" s="88"/>
      <c r="Y79" s="88"/>
      <c r="Z79" s="88"/>
      <c r="AA79" s="88"/>
      <c r="AB79" s="88"/>
      <c r="AC79" s="88"/>
    </row>
    <row r="80" spans="1:29" ht="60" customHeight="1">
      <c r="A80" s="71" t="s">
        <v>2725</v>
      </c>
      <c r="B80" s="71" t="s">
        <v>4701</v>
      </c>
      <c r="C80" s="71" t="s">
        <v>4488</v>
      </c>
      <c r="D80" s="77">
        <v>46302</v>
      </c>
      <c r="E80" s="89" t="str">
        <f t="shared" si="16"/>
        <v>Le Figaro Entreprises — SEA PRODUCTIQUE : raison sociale et SIREN</v>
      </c>
      <c r="F80" s="89" t="str">
        <f t="shared" si="17"/>
        <v/>
      </c>
      <c r="G80" s="89" t="str">
        <f t="shared" si="18"/>
        <v/>
      </c>
      <c r="H80" s="89" t="str">
        <f t="shared" si="19"/>
        <v/>
      </c>
      <c r="I80" s="89" t="str">
        <f t="shared" si="20"/>
        <v/>
      </c>
      <c r="J80" s="89" t="str">
        <f t="shared" si="21"/>
        <v/>
      </c>
      <c r="K80" s="89" t="str">
        <f t="shared" si="22"/>
        <v/>
      </c>
      <c r="L80" s="89" t="str">
        <f t="shared" si="23"/>
        <v/>
      </c>
      <c r="M80" s="71" t="s">
        <v>2729</v>
      </c>
      <c r="N80" s="88" t="s">
        <v>4697</v>
      </c>
      <c r="O80" s="88"/>
      <c r="P80" s="88"/>
      <c r="Q80" s="88"/>
      <c r="R80" s="88"/>
      <c r="S80" s="88"/>
      <c r="T80" s="88"/>
      <c r="U80" s="88"/>
      <c r="V80" s="88" t="s">
        <v>4698</v>
      </c>
      <c r="W80" s="88"/>
      <c r="X80" s="88"/>
      <c r="Y80" s="88"/>
      <c r="Z80" s="88"/>
      <c r="AA80" s="88"/>
      <c r="AB80" s="88"/>
      <c r="AC80" s="88"/>
    </row>
    <row r="81" spans="1:29" ht="60" customHeight="1">
      <c r="A81" s="71" t="s">
        <v>2730</v>
      </c>
      <c r="B81" s="71" t="s">
        <v>4702</v>
      </c>
      <c r="C81" s="71" t="s">
        <v>4488</v>
      </c>
      <c r="D81" s="77">
        <v>46302</v>
      </c>
      <c r="E81" s="89" t="str">
        <f t="shared" si="16"/>
        <v>Le Figaro Entreprises — SEA PRODUCTIQUE : raison sociale et SIREN</v>
      </c>
      <c r="F81" s="89" t="str">
        <f t="shared" si="17"/>
        <v/>
      </c>
      <c r="G81" s="89" t="str">
        <f t="shared" si="18"/>
        <v/>
      </c>
      <c r="H81" s="89" t="str">
        <f t="shared" si="19"/>
        <v/>
      </c>
      <c r="I81" s="89" t="str">
        <f t="shared" si="20"/>
        <v/>
      </c>
      <c r="J81" s="89" t="str">
        <f t="shared" si="21"/>
        <v/>
      </c>
      <c r="K81" s="89" t="str">
        <f t="shared" si="22"/>
        <v/>
      </c>
      <c r="L81" s="89" t="str">
        <f t="shared" si="23"/>
        <v/>
      </c>
      <c r="M81" s="71" t="s">
        <v>2734</v>
      </c>
      <c r="N81" s="88" t="s">
        <v>4697</v>
      </c>
      <c r="O81" s="88"/>
      <c r="P81" s="88"/>
      <c r="Q81" s="88"/>
      <c r="R81" s="88"/>
      <c r="S81" s="88"/>
      <c r="T81" s="88"/>
      <c r="U81" s="88"/>
      <c r="V81" s="88" t="s">
        <v>4698</v>
      </c>
      <c r="W81" s="88"/>
      <c r="X81" s="88"/>
      <c r="Y81" s="88"/>
      <c r="Z81" s="88"/>
      <c r="AA81" s="88"/>
      <c r="AB81" s="88"/>
      <c r="AC81" s="88"/>
    </row>
    <row r="82" spans="1:29" ht="60" customHeight="1">
      <c r="A82" s="71" t="s">
        <v>2735</v>
      </c>
      <c r="B82" s="71" t="s">
        <v>4703</v>
      </c>
      <c r="C82" s="71" t="s">
        <v>4492</v>
      </c>
      <c r="D82" s="77">
        <v>46302</v>
      </c>
      <c r="E82" s="89" t="str">
        <f t="shared" si="16"/>
        <v>Manutan — Mentions légales Manutan</v>
      </c>
      <c r="F82" s="89" t="str">
        <f t="shared" si="17"/>
        <v>Manutan UK — Bin bags 168 L : A017040 jaune, pack de 200</v>
      </c>
      <c r="G82" s="89" t="str">
        <f t="shared" si="18"/>
        <v>Manutan France — Sac-poubelle tri sélectif déchet courant 168 L</v>
      </c>
      <c r="H82" s="89" t="str">
        <f t="shared" si="19"/>
        <v/>
      </c>
      <c r="I82" s="89" t="str">
        <f t="shared" si="20"/>
        <v/>
      </c>
      <c r="J82" s="89" t="str">
        <f t="shared" si="21"/>
        <v/>
      </c>
      <c r="K82" s="89" t="str">
        <f t="shared" si="22"/>
        <v/>
      </c>
      <c r="L82" s="89" t="str">
        <f t="shared" si="23"/>
        <v/>
      </c>
      <c r="M82" s="71" t="s">
        <v>2741</v>
      </c>
      <c r="N82" s="88" t="s">
        <v>4493</v>
      </c>
      <c r="O82" s="88" t="s">
        <v>4704</v>
      </c>
      <c r="P82" s="88" t="s">
        <v>4705</v>
      </c>
      <c r="Q82" s="88"/>
      <c r="R82" s="88"/>
      <c r="S82" s="88"/>
      <c r="T82" s="88"/>
      <c r="U82" s="88"/>
      <c r="V82" s="88" t="s">
        <v>4495</v>
      </c>
      <c r="W82" s="88" t="s">
        <v>4706</v>
      </c>
      <c r="X82" s="88" t="s">
        <v>4707</v>
      </c>
      <c r="Y82" s="88"/>
      <c r="Z82" s="88"/>
      <c r="AA82" s="88"/>
      <c r="AB82" s="88"/>
      <c r="AC82" s="88"/>
    </row>
    <row r="83" spans="1:29" ht="60" customHeight="1">
      <c r="A83" s="71" t="s">
        <v>2742</v>
      </c>
      <c r="B83" s="71" t="s">
        <v>4708</v>
      </c>
      <c r="C83" s="71" t="s">
        <v>4492</v>
      </c>
      <c r="D83" s="77">
        <v>46302</v>
      </c>
      <c r="E83" s="89" t="str">
        <f t="shared" si="16"/>
        <v>Valin — 238710-006-D — Solenoid Valve Coil Kit</v>
      </c>
      <c r="F83" s="89" t="str">
        <f t="shared" si="17"/>
        <v>Kleen-Rite — 238710-006-D — 24 VDC Solenoid Valve Coil</v>
      </c>
      <c r="G83" s="89" t="str">
        <f t="shared" si="18"/>
        <v>ASCO / hébergement Valin — ASCO Solenoids, Coils &amp; Accessories — Identification</v>
      </c>
      <c r="H83" s="89" t="str">
        <f t="shared" si="19"/>
        <v>Annuaire des Entreprises — Société SAFIM — SIREN 444413892</v>
      </c>
      <c r="I83" s="89" t="str">
        <f t="shared" si="20"/>
        <v/>
      </c>
      <c r="J83" s="89" t="str">
        <f t="shared" si="21"/>
        <v/>
      </c>
      <c r="K83" s="89" t="str">
        <f t="shared" si="22"/>
        <v/>
      </c>
      <c r="L83" s="89" t="str">
        <f t="shared" si="23"/>
        <v/>
      </c>
      <c r="M83" s="71" t="s">
        <v>2750</v>
      </c>
      <c r="N83" s="88" t="s">
        <v>4709</v>
      </c>
      <c r="O83" s="88" t="s">
        <v>4710</v>
      </c>
      <c r="P83" s="88" t="s">
        <v>4711</v>
      </c>
      <c r="Q83" s="88" t="s">
        <v>4712</v>
      </c>
      <c r="R83" s="88"/>
      <c r="S83" s="88"/>
      <c r="T83" s="88"/>
      <c r="U83" s="88"/>
      <c r="V83" s="88" t="s">
        <v>4713</v>
      </c>
      <c r="W83" s="88" t="s">
        <v>4714</v>
      </c>
      <c r="X83" s="88" t="s">
        <v>4715</v>
      </c>
      <c r="Y83" s="88" t="s">
        <v>4716</v>
      </c>
      <c r="Z83" s="88"/>
      <c r="AA83" s="88"/>
      <c r="AB83" s="88"/>
      <c r="AC83" s="88"/>
    </row>
    <row r="84" spans="1:29" ht="60" customHeight="1">
      <c r="A84" s="71" t="s">
        <v>2751</v>
      </c>
      <c r="B84" s="71" t="s">
        <v>4717</v>
      </c>
      <c r="C84" s="71" t="s">
        <v>4492</v>
      </c>
      <c r="D84" s="77">
        <v>46302</v>
      </c>
      <c r="E84" s="89" t="str">
        <f t="shared" si="16"/>
        <v>B&amp;R Industrial Automation — X20BC0083</v>
      </c>
      <c r="F84" s="89" t="str">
        <f t="shared" si="17"/>
        <v>RS — X20BC0083 — B&amp;R X20</v>
      </c>
      <c r="G84" s="89" t="str">
        <f t="shared" si="18"/>
        <v>NEX Instrument — X20BC0083 — X20 Bus Controller</v>
      </c>
      <c r="H84" s="89" t="str">
        <f t="shared" si="19"/>
        <v>LEIatlas / données GLEIF — GEA Food Solutions International B.V. — LEI 5299007KPTJPEU9TEQ59</v>
      </c>
      <c r="I84" s="89" t="str">
        <f t="shared" si="20"/>
        <v/>
      </c>
      <c r="J84" s="89" t="str">
        <f t="shared" si="21"/>
        <v/>
      </c>
      <c r="K84" s="89" t="str">
        <f t="shared" si="22"/>
        <v/>
      </c>
      <c r="L84" s="89" t="str">
        <f t="shared" si="23"/>
        <v/>
      </c>
      <c r="M84" s="71" t="s">
        <v>2762</v>
      </c>
      <c r="N84" s="88" t="s">
        <v>4718</v>
      </c>
      <c r="O84" s="88" t="s">
        <v>4719</v>
      </c>
      <c r="P84" s="88" t="s">
        <v>4720</v>
      </c>
      <c r="Q84" s="88" t="s">
        <v>4721</v>
      </c>
      <c r="R84" s="88"/>
      <c r="S84" s="88"/>
      <c r="T84" s="88"/>
      <c r="U84" s="88"/>
      <c r="V84" s="88" t="s">
        <v>4722</v>
      </c>
      <c r="W84" s="88" t="s">
        <v>4723</v>
      </c>
      <c r="X84" s="88" t="s">
        <v>4724</v>
      </c>
      <c r="Y84" s="88" t="s">
        <v>4725</v>
      </c>
      <c r="Z84" s="88"/>
      <c r="AA84" s="88"/>
      <c r="AB84" s="88"/>
      <c r="AC84" s="88"/>
    </row>
    <row r="85" spans="1:29" ht="60" customHeight="1">
      <c r="A85" s="71" t="s">
        <v>2765</v>
      </c>
      <c r="B85" s="71" t="s">
        <v>4726</v>
      </c>
      <c r="C85" s="71" t="s">
        <v>4492</v>
      </c>
      <c r="D85" s="77">
        <v>46302</v>
      </c>
      <c r="E85" s="89" t="str">
        <f t="shared" si="16"/>
        <v>Hengstler — 0550105 — RI58-O/10000AS.71RC</v>
      </c>
      <c r="F85" s="89" t="str">
        <f t="shared" si="17"/>
        <v>Kempston Controls — 0550105 — ENCODER RI58-O/10000AS.71RC</v>
      </c>
      <c r="G85" s="89" t="str">
        <f t="shared" si="18"/>
        <v>LEIatlas / données GLEIF — GEA Food Solutions International B.V. — LEI 5299007KPTJPEU9TEQ59</v>
      </c>
      <c r="H85" s="89" t="str">
        <f t="shared" si="19"/>
        <v/>
      </c>
      <c r="I85" s="89" t="str">
        <f t="shared" si="20"/>
        <v/>
      </c>
      <c r="J85" s="89" t="str">
        <f t="shared" si="21"/>
        <v/>
      </c>
      <c r="K85" s="89" t="str">
        <f t="shared" si="22"/>
        <v/>
      </c>
      <c r="L85" s="89" t="str">
        <f t="shared" si="23"/>
        <v/>
      </c>
      <c r="M85" s="71" t="s">
        <v>2775</v>
      </c>
      <c r="N85" s="88" t="s">
        <v>4727</v>
      </c>
      <c r="O85" s="88" t="s">
        <v>4728</v>
      </c>
      <c r="P85" s="88" t="s">
        <v>4721</v>
      </c>
      <c r="Q85" s="88"/>
      <c r="R85" s="88"/>
      <c r="S85" s="88"/>
      <c r="T85" s="88"/>
      <c r="U85" s="88"/>
      <c r="V85" s="88" t="s">
        <v>4729</v>
      </c>
      <c r="W85" s="88" t="s">
        <v>4730</v>
      </c>
      <c r="X85" s="88" t="s">
        <v>4725</v>
      </c>
      <c r="Y85" s="88"/>
      <c r="Z85" s="88"/>
      <c r="AA85" s="88"/>
      <c r="AB85" s="88"/>
      <c r="AC85" s="88"/>
    </row>
    <row r="86" spans="1:29" ht="60" customHeight="1">
      <c r="A86" s="71" t="s">
        <v>2776</v>
      </c>
      <c r="B86" s="71" t="s">
        <v>4731</v>
      </c>
      <c r="C86" s="71" t="s">
        <v>4492</v>
      </c>
      <c r="D86" s="77">
        <v>46302</v>
      </c>
      <c r="E86" s="89" t="str">
        <f t="shared" si="16"/>
        <v>Weintek — cMT3162X</v>
      </c>
      <c r="F86" s="89" t="str">
        <f t="shared" si="17"/>
        <v>Weintek — cMT3162X_Datasheet_ENG</v>
      </c>
      <c r="G86" s="89" t="str">
        <f t="shared" si="18"/>
        <v>F.Fonseca — News — cMT2166X e cMT3162X</v>
      </c>
      <c r="H86" s="89" t="str">
        <f t="shared" si="19"/>
        <v>Dun &amp; Bradstreet — F. FONSECA, S.A. — Company Summary</v>
      </c>
      <c r="I86" s="89" t="str">
        <f t="shared" si="20"/>
        <v/>
      </c>
      <c r="J86" s="89" t="str">
        <f t="shared" si="21"/>
        <v/>
      </c>
      <c r="K86" s="89" t="str">
        <f t="shared" si="22"/>
        <v/>
      </c>
      <c r="L86" s="89" t="str">
        <f t="shared" si="23"/>
        <v/>
      </c>
      <c r="M86" s="71" t="s">
        <v>2789</v>
      </c>
      <c r="N86" s="88" t="s">
        <v>4732</v>
      </c>
      <c r="O86" s="88" t="s">
        <v>4733</v>
      </c>
      <c r="P86" s="88" t="s">
        <v>4734</v>
      </c>
      <c r="Q86" s="88" t="s">
        <v>4735</v>
      </c>
      <c r="R86" s="88"/>
      <c r="S86" s="88"/>
      <c r="T86" s="88"/>
      <c r="U86" s="88"/>
      <c r="V86" s="88" t="s">
        <v>4736</v>
      </c>
      <c r="W86" s="88" t="s">
        <v>4737</v>
      </c>
      <c r="X86" s="88" t="s">
        <v>4738</v>
      </c>
      <c r="Y86" s="88" t="s">
        <v>4739</v>
      </c>
      <c r="Z86" s="88"/>
      <c r="AA86" s="88"/>
      <c r="AB86" s="88"/>
      <c r="AC86" s="88"/>
    </row>
    <row r="87" spans="1:29" ht="60" customHeight="1">
      <c r="A87" s="71" t="s">
        <v>2796</v>
      </c>
      <c r="B87" s="71" t="s">
        <v>4740</v>
      </c>
      <c r="C87" s="71" t="s">
        <v>4492</v>
      </c>
      <c r="D87" s="77">
        <v>46302</v>
      </c>
      <c r="E87" s="89" t="str">
        <f t="shared" si="16"/>
        <v>Schmersal — BPS 260-2 — Article number 101184396</v>
      </c>
      <c r="F87" s="89" t="str">
        <f t="shared" si="17"/>
        <v>RS — BPS260-2 — Actuating Magnet</v>
      </c>
      <c r="G87" s="89" t="str">
        <f t="shared" si="18"/>
        <v>Schmersal France SAS — Mentions légales</v>
      </c>
      <c r="H87" s="89" t="str">
        <f t="shared" si="19"/>
        <v/>
      </c>
      <c r="I87" s="89" t="str">
        <f t="shared" si="20"/>
        <v/>
      </c>
      <c r="J87" s="89" t="str">
        <f t="shared" si="21"/>
        <v/>
      </c>
      <c r="K87" s="89" t="str">
        <f t="shared" si="22"/>
        <v/>
      </c>
      <c r="L87" s="89" t="str">
        <f t="shared" si="23"/>
        <v/>
      </c>
      <c r="M87" s="71" t="s">
        <v>2806</v>
      </c>
      <c r="N87" s="88" t="s">
        <v>4741</v>
      </c>
      <c r="O87" s="88" t="s">
        <v>4742</v>
      </c>
      <c r="P87" s="88" t="s">
        <v>4743</v>
      </c>
      <c r="Q87" s="88"/>
      <c r="R87" s="88"/>
      <c r="S87" s="88"/>
      <c r="T87" s="88"/>
      <c r="U87" s="88"/>
      <c r="V87" s="88" t="s">
        <v>4744</v>
      </c>
      <c r="W87" s="88" t="s">
        <v>4745</v>
      </c>
      <c r="X87" s="88" t="s">
        <v>4746</v>
      </c>
      <c r="Y87" s="88"/>
      <c r="Z87" s="88"/>
      <c r="AA87" s="88"/>
      <c r="AB87" s="88"/>
      <c r="AC87" s="88"/>
    </row>
    <row r="88" spans="1:29" ht="60" customHeight="1">
      <c r="A88" s="71" t="s">
        <v>2808</v>
      </c>
      <c r="B88" s="71" t="s">
        <v>4747</v>
      </c>
      <c r="C88" s="71" t="s">
        <v>4492</v>
      </c>
      <c r="D88" s="77">
        <v>46302</v>
      </c>
      <c r="E88" s="89" t="str">
        <f t="shared" si="16"/>
        <v>Annuaire des Entreprises / DINUM — ETABLISSEMENTS MICHAUD ET CHAILLY à Lyon</v>
      </c>
      <c r="F88" s="89" t="str">
        <f t="shared" si="17"/>
        <v>Tecom s.r.l. — Modules de transfert</v>
      </c>
      <c r="G88" s="89" t="str">
        <f t="shared" si="18"/>
        <v>Tecom s.r.l. — Modular transfer plates : Part.258, page 97</v>
      </c>
      <c r="H88" s="89" t="str">
        <f t="shared" si="19"/>
        <v>Tecom s.r.l. — Part.258 - Modular transfer plates with lip</v>
      </c>
      <c r="I88" s="89" t="str">
        <f t="shared" si="20"/>
        <v/>
      </c>
      <c r="J88" s="89" t="str">
        <f t="shared" si="21"/>
        <v/>
      </c>
      <c r="K88" s="89" t="str">
        <f t="shared" si="22"/>
        <v/>
      </c>
      <c r="L88" s="89" t="str">
        <f t="shared" si="23"/>
        <v/>
      </c>
      <c r="M88" s="71" t="s">
        <v>2821</v>
      </c>
      <c r="N88" s="88" t="s">
        <v>4748</v>
      </c>
      <c r="O88" s="88" t="s">
        <v>4749</v>
      </c>
      <c r="P88" s="88" t="s">
        <v>4750</v>
      </c>
      <c r="Q88" s="88" t="s">
        <v>4751</v>
      </c>
      <c r="R88" s="88"/>
      <c r="S88" s="88"/>
      <c r="T88" s="88"/>
      <c r="U88" s="88"/>
      <c r="V88" s="88" t="s">
        <v>4752</v>
      </c>
      <c r="W88" s="88" t="s">
        <v>4753</v>
      </c>
      <c r="X88" s="88" t="s">
        <v>4754</v>
      </c>
      <c r="Y88" s="88" t="s">
        <v>4755</v>
      </c>
      <c r="Z88" s="88"/>
      <c r="AA88" s="88"/>
      <c r="AB88" s="88"/>
      <c r="AC88" s="88"/>
    </row>
    <row r="89" spans="1:29" ht="60" customHeight="1">
      <c r="A89" s="71" t="s">
        <v>2822</v>
      </c>
      <c r="B89" s="71" t="s">
        <v>4756</v>
      </c>
      <c r="C89" s="71" t="s">
        <v>4488</v>
      </c>
      <c r="D89" s="77">
        <v>46302</v>
      </c>
      <c r="E89" s="89" t="str">
        <f t="shared" si="16"/>
        <v>Annuaire des Entreprises / DINUM — ETABLISSEMENTS MICHAUD ET CHAILLY à Lyon</v>
      </c>
      <c r="F89" s="89" t="str">
        <f t="shared" si="17"/>
        <v>Michaud Chailly — Composants et services sur mesure</v>
      </c>
      <c r="G89" s="89" t="str">
        <f t="shared" si="18"/>
        <v/>
      </c>
      <c r="H89" s="89" t="str">
        <f t="shared" si="19"/>
        <v/>
      </c>
      <c r="I89" s="89" t="str">
        <f t="shared" si="20"/>
        <v/>
      </c>
      <c r="J89" s="89" t="str">
        <f t="shared" si="21"/>
        <v/>
      </c>
      <c r="K89" s="89" t="str">
        <f t="shared" si="22"/>
        <v/>
      </c>
      <c r="L89" s="89" t="str">
        <f t="shared" si="23"/>
        <v/>
      </c>
      <c r="M89" s="71" t="s">
        <v>2828</v>
      </c>
      <c r="N89" s="88" t="s">
        <v>4748</v>
      </c>
      <c r="O89" s="88" t="s">
        <v>4757</v>
      </c>
      <c r="P89" s="88"/>
      <c r="Q89" s="88"/>
      <c r="R89" s="88"/>
      <c r="S89" s="88"/>
      <c r="T89" s="88"/>
      <c r="U89" s="88"/>
      <c r="V89" s="88" t="s">
        <v>4752</v>
      </c>
      <c r="W89" s="88" t="s">
        <v>4758</v>
      </c>
      <c r="X89" s="88"/>
      <c r="Y89" s="88"/>
      <c r="Z89" s="88"/>
      <c r="AA89" s="88"/>
      <c r="AB89" s="88"/>
      <c r="AC89" s="88"/>
    </row>
    <row r="90" spans="1:29" ht="60" customHeight="1">
      <c r="A90" s="71" t="s">
        <v>2830</v>
      </c>
      <c r="B90" s="71" t="s">
        <v>4759</v>
      </c>
      <c r="C90" s="71" t="s">
        <v>4488</v>
      </c>
      <c r="D90" s="77">
        <v>46302</v>
      </c>
      <c r="E90" s="89" t="str">
        <f t="shared" si="16"/>
        <v>Magnetec s.r.l. — Automatic Machines : Unwrapper / Wrapper</v>
      </c>
      <c r="F90" s="89" t="str">
        <f t="shared" si="17"/>
        <v/>
      </c>
      <c r="G90" s="89" t="str">
        <f t="shared" si="18"/>
        <v/>
      </c>
      <c r="H90" s="89" t="str">
        <f t="shared" si="19"/>
        <v/>
      </c>
      <c r="I90" s="89" t="str">
        <f t="shared" si="20"/>
        <v/>
      </c>
      <c r="J90" s="89" t="str">
        <f t="shared" si="21"/>
        <v/>
      </c>
      <c r="K90" s="89" t="str">
        <f t="shared" si="22"/>
        <v/>
      </c>
      <c r="L90" s="89" t="str">
        <f t="shared" si="23"/>
        <v/>
      </c>
      <c r="M90" s="71" t="s">
        <v>2840</v>
      </c>
      <c r="N90" s="88" t="s">
        <v>4760</v>
      </c>
      <c r="O90" s="88"/>
      <c r="P90" s="88"/>
      <c r="Q90" s="88"/>
      <c r="R90" s="88"/>
      <c r="S90" s="88"/>
      <c r="T90" s="88"/>
      <c r="U90" s="88"/>
      <c r="V90" s="88" t="s">
        <v>4761</v>
      </c>
      <c r="W90" s="88"/>
      <c r="X90" s="88"/>
      <c r="Y90" s="88"/>
      <c r="Z90" s="88"/>
      <c r="AA90" s="88"/>
      <c r="AB90" s="88"/>
      <c r="AC90" s="88"/>
    </row>
    <row r="91" spans="1:29" ht="60" customHeight="1">
      <c r="A91" s="71" t="s">
        <v>2843</v>
      </c>
      <c r="B91" s="71" t="s">
        <v>4762</v>
      </c>
      <c r="C91" s="71" t="s">
        <v>4488</v>
      </c>
      <c r="D91" s="77">
        <v>46302</v>
      </c>
      <c r="E91" s="89" t="str">
        <f t="shared" si="16"/>
        <v>Magnetec s.r.l. — Automatic Machines : Unwrapper / Wrapper</v>
      </c>
      <c r="F91" s="89" t="str">
        <f t="shared" si="17"/>
        <v/>
      </c>
      <c r="G91" s="89" t="str">
        <f t="shared" si="18"/>
        <v/>
      </c>
      <c r="H91" s="89" t="str">
        <f t="shared" si="19"/>
        <v/>
      </c>
      <c r="I91" s="89" t="str">
        <f t="shared" si="20"/>
        <v/>
      </c>
      <c r="J91" s="89" t="str">
        <f t="shared" si="21"/>
        <v/>
      </c>
      <c r="K91" s="89" t="str">
        <f t="shared" si="22"/>
        <v/>
      </c>
      <c r="L91" s="89" t="str">
        <f t="shared" si="23"/>
        <v/>
      </c>
      <c r="M91" s="71" t="s">
        <v>2849</v>
      </c>
      <c r="N91" s="88" t="s">
        <v>4760</v>
      </c>
      <c r="O91" s="88"/>
      <c r="P91" s="88"/>
      <c r="Q91" s="88"/>
      <c r="R91" s="88"/>
      <c r="S91" s="88"/>
      <c r="T91" s="88"/>
      <c r="U91" s="88"/>
      <c r="V91" s="88" t="s">
        <v>4761</v>
      </c>
      <c r="W91" s="88"/>
      <c r="X91" s="88"/>
      <c r="Y91" s="88"/>
      <c r="Z91" s="88"/>
      <c r="AA91" s="88"/>
      <c r="AB91" s="88"/>
      <c r="AC91" s="88"/>
    </row>
    <row r="92" spans="1:29" ht="60" customHeight="1">
      <c r="A92" s="71" t="s">
        <v>2850</v>
      </c>
      <c r="B92" s="71" t="s">
        <v>4763</v>
      </c>
      <c r="C92" s="71" t="s">
        <v>4488</v>
      </c>
      <c r="D92" s="77">
        <v>46302</v>
      </c>
      <c r="E92" s="89" t="str">
        <f t="shared" si="16"/>
        <v>Magnetec s.r.l. — Automatic Machines : Unwrapper / Wrapper</v>
      </c>
      <c r="F92" s="89" t="str">
        <f t="shared" si="17"/>
        <v/>
      </c>
      <c r="G92" s="89" t="str">
        <f t="shared" si="18"/>
        <v/>
      </c>
      <c r="H92" s="89" t="str">
        <f t="shared" si="19"/>
        <v/>
      </c>
      <c r="I92" s="89" t="str">
        <f t="shared" si="20"/>
        <v/>
      </c>
      <c r="J92" s="89" t="str">
        <f t="shared" si="21"/>
        <v/>
      </c>
      <c r="K92" s="89" t="str">
        <f t="shared" si="22"/>
        <v/>
      </c>
      <c r="L92" s="89" t="str">
        <f t="shared" si="23"/>
        <v/>
      </c>
      <c r="M92" s="71" t="s">
        <v>2857</v>
      </c>
      <c r="N92" s="88" t="s">
        <v>4760</v>
      </c>
      <c r="O92" s="88"/>
      <c r="P92" s="88"/>
      <c r="Q92" s="88"/>
      <c r="R92" s="88"/>
      <c r="S92" s="88"/>
      <c r="T92" s="88"/>
      <c r="U92" s="88"/>
      <c r="V92" s="88" t="s">
        <v>4761</v>
      </c>
      <c r="W92" s="88"/>
      <c r="X92" s="88"/>
      <c r="Y92" s="88"/>
      <c r="Z92" s="88"/>
      <c r="AA92" s="88"/>
      <c r="AB92" s="88"/>
      <c r="AC92" s="88"/>
    </row>
    <row r="93" spans="1:29" ht="60" customHeight="1">
      <c r="A93" s="71" t="s">
        <v>2858</v>
      </c>
      <c r="B93" s="71" t="s">
        <v>4764</v>
      </c>
      <c r="C93" s="71" t="s">
        <v>4488</v>
      </c>
      <c r="D93" s="77">
        <v>46302</v>
      </c>
      <c r="E93" s="89" t="str">
        <f t="shared" si="16"/>
        <v>Magnetec s.r.l. — Automatic Machines : Unwrapper / Wrapper</v>
      </c>
      <c r="F93" s="89" t="str">
        <f t="shared" si="17"/>
        <v/>
      </c>
      <c r="G93" s="89" t="str">
        <f t="shared" si="18"/>
        <v/>
      </c>
      <c r="H93" s="89" t="str">
        <f t="shared" si="19"/>
        <v/>
      </c>
      <c r="I93" s="89" t="str">
        <f t="shared" si="20"/>
        <v/>
      </c>
      <c r="J93" s="89" t="str">
        <f t="shared" si="21"/>
        <v/>
      </c>
      <c r="K93" s="89" t="str">
        <f t="shared" si="22"/>
        <v/>
      </c>
      <c r="L93" s="89" t="str">
        <f t="shared" si="23"/>
        <v/>
      </c>
      <c r="M93" s="71" t="s">
        <v>2865</v>
      </c>
      <c r="N93" s="88" t="s">
        <v>4760</v>
      </c>
      <c r="O93" s="88"/>
      <c r="P93" s="88"/>
      <c r="Q93" s="88"/>
      <c r="R93" s="88"/>
      <c r="S93" s="88"/>
      <c r="T93" s="88"/>
      <c r="U93" s="88"/>
      <c r="V93" s="88" t="s">
        <v>4761</v>
      </c>
      <c r="W93" s="88"/>
      <c r="X93" s="88"/>
      <c r="Y93" s="88"/>
      <c r="Z93" s="88"/>
      <c r="AA93" s="88"/>
      <c r="AB93" s="88"/>
      <c r="AC93" s="88"/>
    </row>
    <row r="94" spans="1:29" ht="60" customHeight="1">
      <c r="A94" s="71" t="s">
        <v>2866</v>
      </c>
      <c r="B94" s="71" t="s">
        <v>4765</v>
      </c>
      <c r="C94" s="71" t="s">
        <v>4458</v>
      </c>
      <c r="D94" s="77">
        <v>46302</v>
      </c>
      <c r="E94" s="89" t="str">
        <f t="shared" si="16"/>
        <v>Motion / Gates — 210L050 — PowerGrip, simple denture</v>
      </c>
      <c r="F94" s="89" t="str">
        <f t="shared" si="17"/>
        <v>Motion / Megadyne — D210L050 — double sided timing belt</v>
      </c>
      <c r="G94" s="89" t="str">
        <f t="shared" si="18"/>
        <v>Magnetec s.r.l. — Magnetec s.r.l. — convoyeurs</v>
      </c>
      <c r="H94" s="89" t="str">
        <f t="shared" si="19"/>
        <v/>
      </c>
      <c r="I94" s="89" t="str">
        <f t="shared" si="20"/>
        <v/>
      </c>
      <c r="J94" s="89" t="str">
        <f t="shared" si="21"/>
        <v/>
      </c>
      <c r="K94" s="89" t="str">
        <f t="shared" si="22"/>
        <v/>
      </c>
      <c r="L94" s="89" t="str">
        <f t="shared" si="23"/>
        <v/>
      </c>
      <c r="M94" s="71" t="s">
        <v>2874</v>
      </c>
      <c r="N94" s="88" t="s">
        <v>4766</v>
      </c>
      <c r="O94" s="88" t="s">
        <v>4767</v>
      </c>
      <c r="P94" s="88" t="s">
        <v>4768</v>
      </c>
      <c r="Q94" s="88"/>
      <c r="R94" s="88"/>
      <c r="S94" s="88"/>
      <c r="T94" s="88"/>
      <c r="U94" s="88"/>
      <c r="V94" s="88" t="s">
        <v>4769</v>
      </c>
      <c r="W94" s="88" t="s">
        <v>4770</v>
      </c>
      <c r="X94" s="88" t="s">
        <v>4771</v>
      </c>
      <c r="Y94" s="88"/>
      <c r="Z94" s="88"/>
      <c r="AA94" s="88"/>
      <c r="AB94" s="88"/>
      <c r="AC94" s="88"/>
    </row>
    <row r="95" spans="1:29" ht="60" customHeight="1">
      <c r="A95" s="71" t="s">
        <v>2877</v>
      </c>
      <c r="B95" s="71" t="s">
        <v>4772</v>
      </c>
      <c r="C95" s="71" t="s">
        <v>4458</v>
      </c>
      <c r="D95" s="77">
        <v>46302</v>
      </c>
      <c r="E95" s="89" t="str">
        <f t="shared" si="16"/>
        <v>Motion / Gates — 173L075 — PowerGrip, simple denture</v>
      </c>
      <c r="F95" s="89" t="str">
        <f t="shared" si="17"/>
        <v>Motion / Megadyne — D173L075 — double sided timing belt</v>
      </c>
      <c r="G95" s="89" t="str">
        <f t="shared" si="18"/>
        <v>Magnetec s.r.l. — Magnetec s.r.l. — convoyeurs</v>
      </c>
      <c r="H95" s="89" t="str">
        <f t="shared" si="19"/>
        <v>VBeltSupply — D173L075 — DL 0.75 in × 17.3 in PL, 46T</v>
      </c>
      <c r="I95" s="89" t="str">
        <f t="shared" si="20"/>
        <v/>
      </c>
      <c r="J95" s="89" t="str">
        <f t="shared" si="21"/>
        <v/>
      </c>
      <c r="K95" s="89" t="str">
        <f t="shared" si="22"/>
        <v/>
      </c>
      <c r="L95" s="89" t="str">
        <f t="shared" si="23"/>
        <v/>
      </c>
      <c r="M95" s="71" t="s">
        <v>2883</v>
      </c>
      <c r="N95" s="88" t="s">
        <v>4773</v>
      </c>
      <c r="O95" s="88" t="s">
        <v>4774</v>
      </c>
      <c r="P95" s="88" t="s">
        <v>4768</v>
      </c>
      <c r="Q95" s="88" t="s">
        <v>4775</v>
      </c>
      <c r="R95" s="88"/>
      <c r="S95" s="88"/>
      <c r="T95" s="88"/>
      <c r="U95" s="88"/>
      <c r="V95" s="88" t="s">
        <v>4776</v>
      </c>
      <c r="W95" s="88" t="s">
        <v>4777</v>
      </c>
      <c r="X95" s="88" t="s">
        <v>4771</v>
      </c>
      <c r="Y95" s="88" t="s">
        <v>4778</v>
      </c>
      <c r="Z95" s="88"/>
      <c r="AA95" s="88"/>
      <c r="AB95" s="88"/>
      <c r="AC95" s="88"/>
    </row>
    <row r="96" spans="1:29" ht="60" customHeight="1">
      <c r="A96" s="71" t="s">
        <v>2885</v>
      </c>
      <c r="B96" s="71" t="s">
        <v>4779</v>
      </c>
      <c r="C96" s="71" t="s">
        <v>4458</v>
      </c>
      <c r="D96" s="77">
        <v>46302</v>
      </c>
      <c r="E96" s="89" t="str">
        <f t="shared" si="16"/>
        <v>Chiorino — NA696 — 2M5 U0-U2 LF W A, technical data sheet</v>
      </c>
      <c r="F96" s="89" t="str">
        <f t="shared" si="17"/>
        <v>Chiorino — NA696 — 2M5 U0-U2 LF W A, Datenblatt</v>
      </c>
      <c r="G96" s="89" t="str">
        <f t="shared" si="18"/>
        <v>Magnetec s.r.l. — Magnetec s.r.l. — convoyage et emballage métallique</v>
      </c>
      <c r="H96" s="89" t="str">
        <f t="shared" si="19"/>
        <v/>
      </c>
      <c r="I96" s="89" t="str">
        <f t="shared" si="20"/>
        <v/>
      </c>
      <c r="J96" s="89" t="str">
        <f t="shared" si="21"/>
        <v/>
      </c>
      <c r="K96" s="89" t="str">
        <f t="shared" si="22"/>
        <v/>
      </c>
      <c r="L96" s="89" t="str">
        <f t="shared" si="23"/>
        <v/>
      </c>
      <c r="M96" s="71" t="s">
        <v>2891</v>
      </c>
      <c r="N96" s="88" t="s">
        <v>4780</v>
      </c>
      <c r="O96" s="88" t="s">
        <v>4781</v>
      </c>
      <c r="P96" s="88" t="s">
        <v>4768</v>
      </c>
      <c r="Q96" s="88"/>
      <c r="R96" s="88"/>
      <c r="S96" s="88"/>
      <c r="T96" s="88"/>
      <c r="U96" s="88"/>
      <c r="V96" s="88" t="s">
        <v>4782</v>
      </c>
      <c r="W96" s="88" t="s">
        <v>4783</v>
      </c>
      <c r="X96" s="88" t="s">
        <v>4784</v>
      </c>
      <c r="Y96" s="88"/>
      <c r="Z96" s="88"/>
      <c r="AA96" s="88"/>
      <c r="AB96" s="88"/>
      <c r="AC96" s="88"/>
    </row>
    <row r="97" spans="1:29" ht="60" customHeight="1">
      <c r="A97" s="71" t="s">
        <v>2893</v>
      </c>
      <c r="B97" s="71" t="s">
        <v>4785</v>
      </c>
      <c r="C97" s="71" t="s">
        <v>4458</v>
      </c>
      <c r="D97" s="77">
        <v>46302</v>
      </c>
      <c r="E97" s="89" t="str">
        <f t="shared" si="16"/>
        <v>Chiorino — NA696 — 2M5 U0-U2 LF W A, technical data sheet</v>
      </c>
      <c r="F97" s="89" t="str">
        <f t="shared" si="17"/>
        <v>Chiorino — NA696 — 2M5 U0-U2 LF W A, Datenblatt</v>
      </c>
      <c r="G97" s="89" t="str">
        <f t="shared" si="18"/>
        <v>Magnetec s.r.l. — Magnetec s.r.l. — convoyage et emballage métallique</v>
      </c>
      <c r="H97" s="89" t="str">
        <f t="shared" si="19"/>
        <v/>
      </c>
      <c r="I97" s="89" t="str">
        <f t="shared" si="20"/>
        <v/>
      </c>
      <c r="J97" s="89" t="str">
        <f t="shared" si="21"/>
        <v/>
      </c>
      <c r="K97" s="89" t="str">
        <f t="shared" si="22"/>
        <v/>
      </c>
      <c r="L97" s="89" t="str">
        <f t="shared" si="23"/>
        <v/>
      </c>
      <c r="M97" s="71" t="s">
        <v>2897</v>
      </c>
      <c r="N97" s="88" t="s">
        <v>4780</v>
      </c>
      <c r="O97" s="88" t="s">
        <v>4781</v>
      </c>
      <c r="P97" s="88" t="s">
        <v>4768</v>
      </c>
      <c r="Q97" s="88"/>
      <c r="R97" s="88"/>
      <c r="S97" s="88"/>
      <c r="T97" s="88"/>
      <c r="U97" s="88"/>
      <c r="V97" s="88" t="s">
        <v>4782</v>
      </c>
      <c r="W97" s="88" t="s">
        <v>4783</v>
      </c>
      <c r="X97" s="88" t="s">
        <v>4784</v>
      </c>
      <c r="Y97" s="88"/>
      <c r="Z97" s="88"/>
      <c r="AA97" s="88"/>
      <c r="AB97" s="88"/>
      <c r="AC97" s="88"/>
    </row>
    <row r="98" spans="1:29" ht="60" customHeight="1">
      <c r="A98" s="71" t="s">
        <v>2898</v>
      </c>
      <c r="B98" s="71" t="s">
        <v>4786</v>
      </c>
      <c r="C98" s="71" t="s">
        <v>4458</v>
      </c>
      <c r="D98" s="77">
        <v>46302</v>
      </c>
      <c r="E98" s="89" t="str">
        <f t="shared" si="16"/>
        <v>Chiorino — NA696 — 2M5 U0-U2 LF W A, technical data sheet</v>
      </c>
      <c r="F98" s="89" t="str">
        <f t="shared" si="17"/>
        <v>Chiorino — NA696 — 2M5 U0-U2 LF W A, Datenblatt</v>
      </c>
      <c r="G98" s="89" t="str">
        <f t="shared" si="18"/>
        <v>Magnetec s.r.l. — Magnetec s.r.l. — convoyage et emballage métallique</v>
      </c>
      <c r="H98" s="89" t="str">
        <f t="shared" si="19"/>
        <v/>
      </c>
      <c r="I98" s="89" t="str">
        <f t="shared" si="20"/>
        <v/>
      </c>
      <c r="J98" s="89" t="str">
        <f t="shared" si="21"/>
        <v/>
      </c>
      <c r="K98" s="89" t="str">
        <f t="shared" si="22"/>
        <v/>
      </c>
      <c r="L98" s="89" t="str">
        <f t="shared" si="23"/>
        <v/>
      </c>
      <c r="M98" s="71" t="s">
        <v>2891</v>
      </c>
      <c r="N98" s="88" t="s">
        <v>4780</v>
      </c>
      <c r="O98" s="88" t="s">
        <v>4781</v>
      </c>
      <c r="P98" s="88" t="s">
        <v>4768</v>
      </c>
      <c r="Q98" s="88"/>
      <c r="R98" s="88"/>
      <c r="S98" s="88"/>
      <c r="T98" s="88"/>
      <c r="U98" s="88"/>
      <c r="V98" s="88" t="s">
        <v>4782</v>
      </c>
      <c r="W98" s="88" t="s">
        <v>4783</v>
      </c>
      <c r="X98" s="88" t="s">
        <v>4784</v>
      </c>
      <c r="Y98" s="88"/>
      <c r="Z98" s="88"/>
      <c r="AA98" s="88"/>
      <c r="AB98" s="88"/>
      <c r="AC98" s="88"/>
    </row>
    <row r="99" spans="1:29" ht="60" customHeight="1">
      <c r="A99" s="71" t="s">
        <v>2903</v>
      </c>
      <c r="B99" s="71" t="s">
        <v>4787</v>
      </c>
      <c r="C99" s="71" t="s">
        <v>4492</v>
      </c>
      <c r="D99" s="77">
        <v>46302</v>
      </c>
      <c r="E99" s="89" t="str">
        <f t="shared" ref="E99:E123" si="24">IF(N99="","",HYPERLINK(N99,V99))</f>
        <v>HTDS — RIDEAUX PLOMBES RX.pdf — Page 1 — tableau PIECES DETACHEES et PORT, proposition PPF262291</v>
      </c>
      <c r="F99" s="89" t="str">
        <f t="shared" ref="F99:F123" si="25">IF(O99="","",HYPERLINK(O99,W99))</f>
        <v/>
      </c>
      <c r="G99" s="89" t="str">
        <f t="shared" ref="G99:G123" si="26">IF(P99="","",HYPERLINK(P99,X99))</f>
        <v/>
      </c>
      <c r="H99" s="89" t="str">
        <f t="shared" ref="H99:H123" si="27">IF(Q99="","",HYPERLINK(Q99,Y99))</f>
        <v/>
      </c>
      <c r="I99" s="89" t="str">
        <f t="shared" ref="I99:I123" si="28">IF(R99="","",HYPERLINK(R99,Z99))</f>
        <v/>
      </c>
      <c r="J99" s="89" t="str">
        <f t="shared" ref="J99:J123" si="29">IF(S99="","",HYPERLINK(S99,AA99))</f>
        <v/>
      </c>
      <c r="K99" s="89" t="str">
        <f t="shared" ref="K99:K123" si="30">IF(T99="","",HYPERLINK(T99,AB99))</f>
        <v/>
      </c>
      <c r="L99" s="89" t="str">
        <f t="shared" ref="L99:L123" si="31">IF(U99="","",HYPERLINK(U99,AC99))</f>
        <v/>
      </c>
      <c r="M99" s="71" t="s">
        <v>2914</v>
      </c>
      <c r="N99" s="88" t="s">
        <v>2908</v>
      </c>
      <c r="O99" s="88"/>
      <c r="P99" s="88"/>
      <c r="Q99" s="88"/>
      <c r="R99" s="88"/>
      <c r="S99" s="88"/>
      <c r="T99" s="88"/>
      <c r="U99" s="88"/>
      <c r="V99" s="88" t="s">
        <v>4788</v>
      </c>
      <c r="W99" s="88"/>
      <c r="X99" s="88"/>
      <c r="Y99" s="88"/>
      <c r="Z99" s="88"/>
      <c r="AA99" s="88"/>
      <c r="AB99" s="88"/>
      <c r="AC99" s="88"/>
    </row>
    <row r="100" spans="1:29" ht="60" customHeight="1">
      <c r="A100" s="71" t="s">
        <v>2915</v>
      </c>
      <c r="B100" s="71" t="s">
        <v>4789</v>
      </c>
      <c r="C100" s="71" t="s">
        <v>4492</v>
      </c>
      <c r="D100" s="77">
        <v>46302</v>
      </c>
      <c r="E100" s="89" t="str">
        <f t="shared" si="24"/>
        <v>Bijur Delimon International — Meter Unit - B6085, METER UNIT FJD-3/0</v>
      </c>
      <c r="F100" s="89" t="str">
        <f t="shared" si="25"/>
        <v>L. DeWitt McCarter — Bijur Delimon B6085 FJD Meter Unit</v>
      </c>
      <c r="G100" s="89" t="str">
        <f t="shared" si="26"/>
        <v>DS Smith — DS Smith : groupe emballage, papier, recyclage</v>
      </c>
      <c r="H100" s="89" t="str">
        <f t="shared" si="27"/>
        <v/>
      </c>
      <c r="I100" s="89" t="str">
        <f t="shared" si="28"/>
        <v/>
      </c>
      <c r="J100" s="89" t="str">
        <f t="shared" si="29"/>
        <v/>
      </c>
      <c r="K100" s="89" t="str">
        <f t="shared" si="30"/>
        <v/>
      </c>
      <c r="L100" s="89" t="str">
        <f t="shared" si="31"/>
        <v/>
      </c>
      <c r="M100" s="71" t="s">
        <v>2927</v>
      </c>
      <c r="N100" s="88" t="s">
        <v>4790</v>
      </c>
      <c r="O100" s="88" t="s">
        <v>4791</v>
      </c>
      <c r="P100" s="88" t="s">
        <v>4792</v>
      </c>
      <c r="Q100" s="88"/>
      <c r="R100" s="88"/>
      <c r="S100" s="88"/>
      <c r="T100" s="88"/>
      <c r="U100" s="88"/>
      <c r="V100" s="88" t="s">
        <v>4793</v>
      </c>
      <c r="W100" s="88" t="s">
        <v>4794</v>
      </c>
      <c r="X100" s="88" t="s">
        <v>4795</v>
      </c>
      <c r="Y100" s="88"/>
      <c r="Z100" s="88"/>
      <c r="AA100" s="88"/>
      <c r="AB100" s="88"/>
      <c r="AC100" s="88"/>
    </row>
    <row r="101" spans="1:29" ht="60" customHeight="1">
      <c r="A101" s="71" t="s">
        <v>2928</v>
      </c>
      <c r="B101" s="71" t="s">
        <v>4796</v>
      </c>
      <c r="C101" s="71" t="s">
        <v>4492</v>
      </c>
      <c r="D101" s="77">
        <v>46302</v>
      </c>
      <c r="E101" s="89" t="str">
        <f t="shared" si="24"/>
        <v>ProMinent — Exploded Views of Liquid Ends : Beta b</v>
      </c>
      <c r="F101" s="89" t="str">
        <f t="shared" si="25"/>
        <v>Aqua Products Inc. — ProMinent 1000248 - Diaphragm Gala</v>
      </c>
      <c r="G101" s="89" t="str">
        <f t="shared" si="26"/>
        <v/>
      </c>
      <c r="H101" s="89" t="str">
        <f t="shared" si="27"/>
        <v/>
      </c>
      <c r="I101" s="89" t="str">
        <f t="shared" si="28"/>
        <v/>
      </c>
      <c r="J101" s="89" t="str">
        <f t="shared" si="29"/>
        <v/>
      </c>
      <c r="K101" s="89" t="str">
        <f t="shared" si="30"/>
        <v/>
      </c>
      <c r="L101" s="89" t="str">
        <f t="shared" si="31"/>
        <v/>
      </c>
      <c r="M101" s="71" t="s">
        <v>2940</v>
      </c>
      <c r="N101" s="88" t="s">
        <v>4797</v>
      </c>
      <c r="O101" s="88" t="s">
        <v>4798</v>
      </c>
      <c r="P101" s="88"/>
      <c r="Q101" s="88"/>
      <c r="R101" s="88"/>
      <c r="S101" s="88"/>
      <c r="T101" s="88"/>
      <c r="U101" s="88"/>
      <c r="V101" s="88" t="s">
        <v>4799</v>
      </c>
      <c r="W101" s="88" t="s">
        <v>4800</v>
      </c>
      <c r="X101" s="88"/>
      <c r="Y101" s="88"/>
      <c r="Z101" s="88"/>
      <c r="AA101" s="88"/>
      <c r="AB101" s="88"/>
      <c r="AC101" s="88"/>
    </row>
    <row r="102" spans="1:29" ht="60" customHeight="1">
      <c r="A102" s="71" t="s">
        <v>2941</v>
      </c>
      <c r="B102" s="71" t="s">
        <v>4801</v>
      </c>
      <c r="C102" s="71" t="s">
        <v>4492</v>
      </c>
      <c r="D102" s="77">
        <v>46302</v>
      </c>
      <c r="E102" s="89" t="str">
        <f t="shared" si="24"/>
        <v>Electric Automation Network — Danfoss 131H6685 — code type complet</v>
      </c>
      <c r="F102" s="89" t="str">
        <f t="shared" si="25"/>
        <v>Digicon Solutions — Danfoss 131H6685 — code type complet</v>
      </c>
      <c r="G102" s="89" t="str">
        <f t="shared" si="26"/>
        <v>Danfoss Product Store — 131B9575 — FC-102 55 kW, clé de type, variante voisine</v>
      </c>
      <c r="H102" s="89" t="str">
        <f t="shared" si="27"/>
        <v>Danfoss Product Store — 131Z8887 — FC-102 250 kW, clé de type, variante voisine</v>
      </c>
      <c r="I102" s="89" t="str">
        <f t="shared" si="28"/>
        <v>Pappers — SOCIETE D’ELECTROTECHNIQUE INDUSTRIELLE ET DE BOBINAGE (SEIBO)</v>
      </c>
      <c r="J102" s="89" t="str">
        <f t="shared" si="29"/>
        <v/>
      </c>
      <c r="K102" s="89" t="str">
        <f t="shared" si="30"/>
        <v/>
      </c>
      <c r="L102" s="89" t="str">
        <f t="shared" si="31"/>
        <v/>
      </c>
      <c r="M102" s="71" t="s">
        <v>2951</v>
      </c>
      <c r="N102" s="88" t="s">
        <v>4802</v>
      </c>
      <c r="O102" s="88" t="s">
        <v>4803</v>
      </c>
      <c r="P102" s="88" t="s">
        <v>4804</v>
      </c>
      <c r="Q102" s="88" t="s">
        <v>4805</v>
      </c>
      <c r="R102" s="88" t="s">
        <v>4806</v>
      </c>
      <c r="S102" s="88"/>
      <c r="T102" s="88"/>
      <c r="U102" s="88"/>
      <c r="V102" s="88" t="s">
        <v>4807</v>
      </c>
      <c r="W102" s="88" t="s">
        <v>4808</v>
      </c>
      <c r="X102" s="88" t="s">
        <v>4809</v>
      </c>
      <c r="Y102" s="88" t="s">
        <v>4810</v>
      </c>
      <c r="Z102" s="88" t="s">
        <v>4811</v>
      </c>
      <c r="AA102" s="88"/>
      <c r="AB102" s="88"/>
      <c r="AC102" s="88"/>
    </row>
    <row r="103" spans="1:29" ht="60" customHeight="1">
      <c r="A103" s="71" t="s">
        <v>2952</v>
      </c>
      <c r="B103" s="71" t="s">
        <v>4812</v>
      </c>
      <c r="C103" s="71" t="s">
        <v>4492</v>
      </c>
      <c r="D103" s="77">
        <v>46302</v>
      </c>
      <c r="E103" s="89" t="str">
        <f t="shared" si="24"/>
        <v>Electric Automation Network — Danfoss 134H3782 — code type complet</v>
      </c>
      <c r="F103" s="89" t="str">
        <f t="shared" si="25"/>
        <v>TSL Group — Danfoss 134H3782 — code type complet</v>
      </c>
      <c r="G103" s="89" t="str">
        <f t="shared" si="26"/>
        <v>Danfoss Product Store — 131B9575 — FC-102 55 kW, clé de type, variante voisine</v>
      </c>
      <c r="H103" s="89" t="str">
        <f t="shared" si="27"/>
        <v>Danfoss Product Store — 131Z8887 — FC-102 250 kW, clé de type, variante voisine</v>
      </c>
      <c r="I103" s="89" t="str">
        <f t="shared" si="28"/>
        <v>Pappers — SOCIETE D’ELECTROTECHNIQUE INDUSTRIELLE ET DE BOBINAGE (SEIBO)</v>
      </c>
      <c r="J103" s="89" t="str">
        <f t="shared" si="29"/>
        <v/>
      </c>
      <c r="K103" s="89" t="str">
        <f t="shared" si="30"/>
        <v/>
      </c>
      <c r="L103" s="89" t="str">
        <f t="shared" si="31"/>
        <v/>
      </c>
      <c r="M103" s="71" t="s">
        <v>2958</v>
      </c>
      <c r="N103" s="88" t="s">
        <v>4813</v>
      </c>
      <c r="O103" s="88" t="s">
        <v>4814</v>
      </c>
      <c r="P103" s="88" t="s">
        <v>4804</v>
      </c>
      <c r="Q103" s="88" t="s">
        <v>4805</v>
      </c>
      <c r="R103" s="88" t="s">
        <v>4806</v>
      </c>
      <c r="S103" s="88"/>
      <c r="T103" s="88"/>
      <c r="U103" s="88"/>
      <c r="V103" s="88" t="s">
        <v>4815</v>
      </c>
      <c r="W103" s="88" t="s">
        <v>4816</v>
      </c>
      <c r="X103" s="88" t="s">
        <v>4809</v>
      </c>
      <c r="Y103" s="88" t="s">
        <v>4810</v>
      </c>
      <c r="Z103" s="88" t="s">
        <v>4811</v>
      </c>
      <c r="AA103" s="88"/>
      <c r="AB103" s="88"/>
      <c r="AC103" s="88"/>
    </row>
    <row r="104" spans="1:29" ht="60" customHeight="1">
      <c r="A104" s="71" t="s">
        <v>2959</v>
      </c>
      <c r="B104" s="71" t="s">
        <v>4817</v>
      </c>
      <c r="C104" s="71" t="s">
        <v>4488</v>
      </c>
      <c r="D104" s="77">
        <v>46302</v>
      </c>
      <c r="E104" s="89" t="str">
        <f t="shared" si="24"/>
        <v>Pappers — SARL GUY LE GALL : raison sociale</v>
      </c>
      <c r="F104" s="89" t="str">
        <f t="shared" si="25"/>
        <v>GUY LE GALL — Mécanique de précision, pièces et plaquettes</v>
      </c>
      <c r="G104" s="89" t="str">
        <f t="shared" si="26"/>
        <v/>
      </c>
      <c r="H104" s="89" t="str">
        <f t="shared" si="27"/>
        <v/>
      </c>
      <c r="I104" s="89" t="str">
        <f t="shared" si="28"/>
        <v/>
      </c>
      <c r="J104" s="89" t="str">
        <f t="shared" si="29"/>
        <v/>
      </c>
      <c r="K104" s="89" t="str">
        <f t="shared" si="30"/>
        <v/>
      </c>
      <c r="L104" s="89" t="str">
        <f t="shared" si="31"/>
        <v/>
      </c>
      <c r="M104" s="71" t="s">
        <v>2968</v>
      </c>
      <c r="N104" s="88" t="s">
        <v>4818</v>
      </c>
      <c r="O104" s="88" t="s">
        <v>4819</v>
      </c>
      <c r="P104" s="88"/>
      <c r="Q104" s="88"/>
      <c r="R104" s="88"/>
      <c r="S104" s="88"/>
      <c r="T104" s="88"/>
      <c r="U104" s="88"/>
      <c r="V104" s="88" t="s">
        <v>4820</v>
      </c>
      <c r="W104" s="88" t="s">
        <v>4821</v>
      </c>
      <c r="X104" s="88"/>
      <c r="Y104" s="88"/>
      <c r="Z104" s="88"/>
      <c r="AA104" s="88"/>
      <c r="AB104" s="88"/>
      <c r="AC104" s="88"/>
    </row>
    <row r="105" spans="1:29" ht="60" customHeight="1">
      <c r="A105" s="71" t="s">
        <v>2969</v>
      </c>
      <c r="B105" s="71" t="s">
        <v>4822</v>
      </c>
      <c r="C105" s="71" t="s">
        <v>4458</v>
      </c>
      <c r="D105" s="77">
        <v>46302</v>
      </c>
      <c r="E105" s="89" t="str">
        <f t="shared" si="24"/>
        <v>mayr — EAS-compact — famille</v>
      </c>
      <c r="F105" s="89" t="str">
        <f t="shared" si="25"/>
        <v>mayr, hébergement Mayr Singapore — EAS-NC, K.405.V06.GB — catalogue historique</v>
      </c>
      <c r="G105" s="89" t="str">
        <f t="shared" si="26"/>
        <v>DEXIS / SOGEDESCA — Mentions légales du site DEXIS</v>
      </c>
      <c r="H105" s="89" t="str">
        <f t="shared" si="27"/>
        <v/>
      </c>
      <c r="I105" s="89" t="str">
        <f t="shared" si="28"/>
        <v/>
      </c>
      <c r="J105" s="89" t="str">
        <f t="shared" si="29"/>
        <v/>
      </c>
      <c r="K105" s="89" t="str">
        <f t="shared" si="30"/>
        <v/>
      </c>
      <c r="L105" s="89" t="str">
        <f t="shared" si="31"/>
        <v/>
      </c>
      <c r="M105" s="71" t="s">
        <v>2979</v>
      </c>
      <c r="N105" s="88" t="s">
        <v>4823</v>
      </c>
      <c r="O105" s="88" t="s">
        <v>4824</v>
      </c>
      <c r="P105" s="88" t="s">
        <v>4825</v>
      </c>
      <c r="Q105" s="88"/>
      <c r="R105" s="88"/>
      <c r="S105" s="88"/>
      <c r="T105" s="88"/>
      <c r="U105" s="88"/>
      <c r="V105" s="88" t="s">
        <v>4826</v>
      </c>
      <c r="W105" s="88" t="s">
        <v>4827</v>
      </c>
      <c r="X105" s="88" t="s">
        <v>4828</v>
      </c>
      <c r="Y105" s="88"/>
      <c r="Z105" s="88"/>
      <c r="AA105" s="88"/>
      <c r="AB105" s="88"/>
      <c r="AC105" s="88"/>
    </row>
    <row r="106" spans="1:29" ht="60" customHeight="1">
      <c r="A106" s="71" t="s">
        <v>2980</v>
      </c>
      <c r="B106" s="71" t="s">
        <v>4829</v>
      </c>
      <c r="C106" s="71" t="s">
        <v>4488</v>
      </c>
      <c r="D106" s="77">
        <v>46302</v>
      </c>
      <c r="E106" s="89" t="str">
        <f t="shared" si="24"/>
        <v>DEXIS / SOGEDESCA — Mentions légales DEXIS</v>
      </c>
      <c r="F106" s="89" t="str">
        <f t="shared" si="25"/>
        <v/>
      </c>
      <c r="G106" s="89" t="str">
        <f t="shared" si="26"/>
        <v/>
      </c>
      <c r="H106" s="89" t="str">
        <f t="shared" si="27"/>
        <v/>
      </c>
      <c r="I106" s="89" t="str">
        <f t="shared" si="28"/>
        <v/>
      </c>
      <c r="J106" s="89" t="str">
        <f t="shared" si="29"/>
        <v/>
      </c>
      <c r="K106" s="89" t="str">
        <f t="shared" si="30"/>
        <v/>
      </c>
      <c r="L106" s="89" t="str">
        <f t="shared" si="31"/>
        <v/>
      </c>
      <c r="M106" s="71" t="s">
        <v>2989</v>
      </c>
      <c r="N106" s="88" t="s">
        <v>4825</v>
      </c>
      <c r="O106" s="88"/>
      <c r="P106" s="88"/>
      <c r="Q106" s="88"/>
      <c r="R106" s="88"/>
      <c r="S106" s="88"/>
      <c r="T106" s="88"/>
      <c r="U106" s="88"/>
      <c r="V106" s="88" t="s">
        <v>4830</v>
      </c>
      <c r="W106" s="88"/>
      <c r="X106" s="88"/>
      <c r="Y106" s="88"/>
      <c r="Z106" s="88"/>
      <c r="AA106" s="88"/>
      <c r="AB106" s="88"/>
      <c r="AC106" s="88"/>
    </row>
    <row r="107" spans="1:29" ht="60" customHeight="1">
      <c r="A107" s="71" t="s">
        <v>2991</v>
      </c>
      <c r="B107" s="71" t="s">
        <v>4831</v>
      </c>
      <c r="C107" s="71" t="s">
        <v>4488</v>
      </c>
      <c r="D107" s="77">
        <v>46302</v>
      </c>
      <c r="E107" s="89" t="str">
        <f t="shared" si="24"/>
        <v/>
      </c>
      <c r="F107" s="89" t="str">
        <f t="shared" si="25"/>
        <v/>
      </c>
      <c r="G107" s="89" t="str">
        <f t="shared" si="26"/>
        <v/>
      </c>
      <c r="H107" s="89" t="str">
        <f t="shared" si="27"/>
        <v/>
      </c>
      <c r="I107" s="89" t="str">
        <f t="shared" si="28"/>
        <v/>
      </c>
      <c r="J107" s="89" t="str">
        <f t="shared" si="29"/>
        <v/>
      </c>
      <c r="K107" s="89" t="str">
        <f t="shared" si="30"/>
        <v/>
      </c>
      <c r="L107" s="89" t="str">
        <f t="shared" si="31"/>
        <v/>
      </c>
      <c r="M107" s="71" t="s">
        <v>2999</v>
      </c>
      <c r="N107" s="88"/>
      <c r="O107" s="88"/>
      <c r="P107" s="88"/>
      <c r="Q107" s="88"/>
      <c r="R107" s="88"/>
      <c r="S107" s="88"/>
      <c r="T107" s="88"/>
      <c r="U107" s="88"/>
      <c r="V107" s="88"/>
      <c r="W107" s="88"/>
      <c r="X107" s="88"/>
      <c r="Y107" s="88"/>
      <c r="Z107" s="88"/>
      <c r="AA107" s="88"/>
      <c r="AB107" s="88"/>
      <c r="AC107" s="88"/>
    </row>
    <row r="108" spans="1:29" ht="60" customHeight="1">
      <c r="A108" s="71" t="s">
        <v>3000</v>
      </c>
      <c r="B108" s="71" t="s">
        <v>4832</v>
      </c>
      <c r="C108" s="71" t="s">
        <v>4458</v>
      </c>
      <c r="D108" s="77">
        <v>46302</v>
      </c>
      <c r="E108" s="89" t="str">
        <f t="shared" si="24"/>
        <v>Intralox — Series 2400 Radius Flush Grid (2.2)</v>
      </c>
      <c r="F108" s="89" t="str">
        <f t="shared" si="25"/>
        <v/>
      </c>
      <c r="G108" s="89" t="str">
        <f t="shared" si="26"/>
        <v/>
      </c>
      <c r="H108" s="89" t="str">
        <f t="shared" si="27"/>
        <v/>
      </c>
      <c r="I108" s="89" t="str">
        <f t="shared" si="28"/>
        <v/>
      </c>
      <c r="J108" s="89" t="str">
        <f t="shared" si="29"/>
        <v/>
      </c>
      <c r="K108" s="89" t="str">
        <f t="shared" si="30"/>
        <v/>
      </c>
      <c r="L108" s="89" t="str">
        <f t="shared" si="31"/>
        <v/>
      </c>
      <c r="M108" s="71" t="s">
        <v>3008</v>
      </c>
      <c r="N108" s="88" t="s">
        <v>4833</v>
      </c>
      <c r="O108" s="88"/>
      <c r="P108" s="88"/>
      <c r="Q108" s="88"/>
      <c r="R108" s="88"/>
      <c r="S108" s="88"/>
      <c r="T108" s="88"/>
      <c r="U108" s="88"/>
      <c r="V108" s="88" t="s">
        <v>4834</v>
      </c>
      <c r="W108" s="88"/>
      <c r="X108" s="88"/>
      <c r="Y108" s="88"/>
      <c r="Z108" s="88"/>
      <c r="AA108" s="88"/>
      <c r="AB108" s="88"/>
      <c r="AC108" s="88"/>
    </row>
    <row r="109" spans="1:29" ht="60" customHeight="1">
      <c r="A109" s="71" t="s">
        <v>3093</v>
      </c>
      <c r="B109" s="71" t="s">
        <v>4835</v>
      </c>
      <c r="C109" s="71" t="s">
        <v>4488</v>
      </c>
      <c r="D109" s="77">
        <v>46302</v>
      </c>
      <c r="E109" s="89" t="str">
        <f t="shared" si="24"/>
        <v>Cylex — Safim — fournitures industrielles, données juridiques SAFIM</v>
      </c>
      <c r="F109" s="89" t="str">
        <f t="shared" si="25"/>
        <v/>
      </c>
      <c r="G109" s="89" t="str">
        <f t="shared" si="26"/>
        <v/>
      </c>
      <c r="H109" s="89" t="str">
        <f t="shared" si="27"/>
        <v/>
      </c>
      <c r="I109" s="89" t="str">
        <f t="shared" si="28"/>
        <v/>
      </c>
      <c r="J109" s="89" t="str">
        <f t="shared" si="29"/>
        <v/>
      </c>
      <c r="K109" s="89" t="str">
        <f t="shared" si="30"/>
        <v/>
      </c>
      <c r="L109" s="89" t="str">
        <f t="shared" si="31"/>
        <v/>
      </c>
      <c r="M109" s="71" t="s">
        <v>3098</v>
      </c>
      <c r="N109" s="88" t="s">
        <v>4836</v>
      </c>
      <c r="O109" s="88"/>
      <c r="P109" s="88"/>
      <c r="Q109" s="88"/>
      <c r="R109" s="88"/>
      <c r="S109" s="88"/>
      <c r="T109" s="88"/>
      <c r="U109" s="88"/>
      <c r="V109" s="88" t="s">
        <v>4837</v>
      </c>
      <c r="W109" s="88"/>
      <c r="X109" s="88"/>
      <c r="Y109" s="88"/>
      <c r="Z109" s="88"/>
      <c r="AA109" s="88"/>
      <c r="AB109" s="88"/>
      <c r="AC109" s="88"/>
    </row>
    <row r="110" spans="1:29" ht="60" customHeight="1">
      <c r="A110" s="71" t="s">
        <v>2634</v>
      </c>
      <c r="B110" s="71" t="s">
        <v>4838</v>
      </c>
      <c r="C110" s="71" t="s">
        <v>4492</v>
      </c>
      <c r="D110" s="77">
        <v>46302</v>
      </c>
      <c r="E110" s="89" t="str">
        <f t="shared" si="24"/>
        <v>Festo — ADN-25-60-A-P-A — Part number 536373</v>
      </c>
      <c r="F110" s="89" t="str">
        <f t="shared" si="25"/>
        <v>Festo — Compact cylinder ADN-25-60-A-P-A</v>
      </c>
      <c r="G110" s="89" t="str">
        <f t="shared" si="26"/>
        <v>Festo France — Mentions légales — Festo E.U.R.L.</v>
      </c>
      <c r="H110" s="89" t="str">
        <f t="shared" si="27"/>
        <v/>
      </c>
      <c r="I110" s="89" t="str">
        <f t="shared" si="28"/>
        <v/>
      </c>
      <c r="J110" s="89" t="str">
        <f t="shared" si="29"/>
        <v/>
      </c>
      <c r="K110" s="89" t="str">
        <f t="shared" si="30"/>
        <v/>
      </c>
      <c r="L110" s="89" t="str">
        <f t="shared" si="31"/>
        <v/>
      </c>
      <c r="M110" s="71" t="s">
        <v>3121</v>
      </c>
      <c r="N110" s="88" t="s">
        <v>4839</v>
      </c>
      <c r="O110" s="88" t="s">
        <v>4840</v>
      </c>
      <c r="P110" s="88" t="s">
        <v>4841</v>
      </c>
      <c r="Q110" s="88"/>
      <c r="R110" s="88"/>
      <c r="S110" s="88"/>
      <c r="T110" s="88"/>
      <c r="U110" s="88"/>
      <c r="V110" s="88" t="s">
        <v>4842</v>
      </c>
      <c r="W110" s="88" t="s">
        <v>4843</v>
      </c>
      <c r="X110" s="88" t="s">
        <v>4844</v>
      </c>
      <c r="Y110" s="88"/>
      <c r="Z110" s="88"/>
      <c r="AA110" s="88"/>
      <c r="AB110" s="88"/>
      <c r="AC110" s="88"/>
    </row>
    <row r="111" spans="1:29" ht="60" customHeight="1">
      <c r="A111" s="71" t="s">
        <v>2569</v>
      </c>
      <c r="B111" s="71" t="s">
        <v>4845</v>
      </c>
      <c r="C111" s="71" t="s">
        <v>4458</v>
      </c>
      <c r="D111" s="77">
        <v>46302</v>
      </c>
      <c r="E111" s="89" t="str">
        <f t="shared" si="24"/>
        <v>Mechan Controls — MS5SSLQD — MS5-SS-21-DC-LQD</v>
      </c>
      <c r="F111" s="89" t="str">
        <f t="shared" si="25"/>
        <v>Machinesafety-Shop — MS5-SS-21-DC-LQD — Magnetic safety sensor</v>
      </c>
      <c r="G111" s="89" t="str">
        <f t="shared" si="26"/>
        <v>Annuaire des Entreprises — ELEC SUD OUEST — SIREN 441395712</v>
      </c>
      <c r="H111" s="89" t="str">
        <f t="shared" si="27"/>
        <v/>
      </c>
      <c r="I111" s="89" t="str">
        <f t="shared" si="28"/>
        <v/>
      </c>
      <c r="J111" s="89" t="str">
        <f t="shared" si="29"/>
        <v/>
      </c>
      <c r="K111" s="89" t="str">
        <f t="shared" si="30"/>
        <v/>
      </c>
      <c r="L111" s="89" t="str">
        <f t="shared" si="31"/>
        <v/>
      </c>
      <c r="M111" s="71" t="s">
        <v>3145</v>
      </c>
      <c r="N111" s="88" t="s">
        <v>4846</v>
      </c>
      <c r="O111" s="88" t="s">
        <v>4847</v>
      </c>
      <c r="P111" s="88" t="s">
        <v>4848</v>
      </c>
      <c r="Q111" s="88"/>
      <c r="R111" s="88"/>
      <c r="S111" s="88"/>
      <c r="T111" s="88"/>
      <c r="U111" s="88"/>
      <c r="V111" s="88" t="s">
        <v>4849</v>
      </c>
      <c r="W111" s="88" t="s">
        <v>4850</v>
      </c>
      <c r="X111" s="88" t="s">
        <v>4851</v>
      </c>
      <c r="Y111" s="88"/>
      <c r="Z111" s="88"/>
      <c r="AA111" s="88"/>
      <c r="AB111" s="88"/>
      <c r="AC111" s="88"/>
    </row>
    <row r="112" spans="1:29" ht="60" customHeight="1">
      <c r="A112" s="71" t="s">
        <v>3153</v>
      </c>
      <c r="B112" s="71" t="s">
        <v>4852</v>
      </c>
      <c r="C112" s="71" t="s">
        <v>4488</v>
      </c>
      <c r="D112" s="77">
        <v>46302</v>
      </c>
      <c r="E112" s="89" t="str">
        <f t="shared" si="24"/>
        <v>JM CAUWET — Usinage plastique — tournage et pièces sur mesure</v>
      </c>
      <c r="F112" s="89" t="str">
        <f t="shared" si="25"/>
        <v>JM CAUWET — JM CAUWET — solutions plastiques</v>
      </c>
      <c r="G112" s="89" t="str">
        <f t="shared" si="26"/>
        <v/>
      </c>
      <c r="H112" s="89" t="str">
        <f t="shared" si="27"/>
        <v/>
      </c>
      <c r="I112" s="89" t="str">
        <f t="shared" si="28"/>
        <v/>
      </c>
      <c r="J112" s="89" t="str">
        <f t="shared" si="29"/>
        <v/>
      </c>
      <c r="K112" s="89" t="str">
        <f t="shared" si="30"/>
        <v/>
      </c>
      <c r="L112" s="89" t="str">
        <f t="shared" si="31"/>
        <v/>
      </c>
      <c r="M112" s="71" t="s">
        <v>3160</v>
      </c>
      <c r="N112" s="88" t="s">
        <v>4853</v>
      </c>
      <c r="O112" s="88" t="s">
        <v>4854</v>
      </c>
      <c r="P112" s="88"/>
      <c r="Q112" s="88"/>
      <c r="R112" s="88"/>
      <c r="S112" s="88"/>
      <c r="T112" s="88"/>
      <c r="U112" s="88"/>
      <c r="V112" s="88" t="s">
        <v>4855</v>
      </c>
      <c r="W112" s="88" t="s">
        <v>4856</v>
      </c>
      <c r="X112" s="88"/>
      <c r="Y112" s="88"/>
      <c r="Z112" s="88"/>
      <c r="AA112" s="88"/>
      <c r="AB112" s="88"/>
      <c r="AC112" s="88"/>
    </row>
    <row r="113" spans="1:29" ht="60" customHeight="1">
      <c r="A113" s="71" t="s">
        <v>3161</v>
      </c>
      <c r="B113" s="71" t="s">
        <v>4857</v>
      </c>
      <c r="C113" s="71" t="s">
        <v>4458</v>
      </c>
      <c r="D113" s="77">
        <v>46302</v>
      </c>
      <c r="E113" s="89" t="str">
        <f t="shared" si="24"/>
        <v>Intralox — Series 900 Flush Grid</v>
      </c>
      <c r="F113" s="89" t="str">
        <f t="shared" si="25"/>
        <v/>
      </c>
      <c r="G113" s="89" t="str">
        <f t="shared" si="26"/>
        <v/>
      </c>
      <c r="H113" s="89" t="str">
        <f t="shared" si="27"/>
        <v/>
      </c>
      <c r="I113" s="89" t="str">
        <f t="shared" si="28"/>
        <v/>
      </c>
      <c r="J113" s="89" t="str">
        <f t="shared" si="29"/>
        <v/>
      </c>
      <c r="K113" s="89" t="str">
        <f t="shared" si="30"/>
        <v/>
      </c>
      <c r="L113" s="89" t="str">
        <f t="shared" si="31"/>
        <v/>
      </c>
      <c r="M113" s="71" t="s">
        <v>3168</v>
      </c>
      <c r="N113" s="88" t="s">
        <v>4858</v>
      </c>
      <c r="O113" s="88"/>
      <c r="P113" s="88"/>
      <c r="Q113" s="88"/>
      <c r="R113" s="88"/>
      <c r="S113" s="88"/>
      <c r="T113" s="88"/>
      <c r="U113" s="88"/>
      <c r="V113" s="88" t="s">
        <v>4859</v>
      </c>
      <c r="W113" s="88"/>
      <c r="X113" s="88"/>
      <c r="Y113" s="88"/>
      <c r="Z113" s="88"/>
      <c r="AA113" s="88"/>
      <c r="AB113" s="88"/>
      <c r="AC113" s="88"/>
    </row>
    <row r="114" spans="1:29" ht="60" customHeight="1">
      <c r="A114" s="71" t="s">
        <v>3177</v>
      </c>
      <c r="B114" s="71" t="s">
        <v>4860</v>
      </c>
      <c r="C114" s="71" t="s">
        <v>4492</v>
      </c>
      <c r="D114" s="77">
        <v>46302</v>
      </c>
      <c r="E114" s="89" t="str">
        <f t="shared" si="24"/>
        <v>Ahlsell — SKF ECB 508 End cap — G2/OPEN ECB508-40M</v>
      </c>
      <c r="F114" s="89" t="str">
        <f t="shared" si="25"/>
        <v>Lemvigh-Müller — SKF Food line 508-40M — Open</v>
      </c>
      <c r="G114" s="89" t="str">
        <f t="shared" si="26"/>
        <v>IP Bernard Sanders Aandrijftechniek — SKF Foodline Blue Range Open — G2/OPEN ECB508-40M</v>
      </c>
      <c r="H114" s="89" t="str">
        <f t="shared" si="27"/>
        <v>Annuaire des Entreprises — Établissement SEFI — dénomination de la société</v>
      </c>
      <c r="I114" s="89" t="str">
        <f t="shared" si="28"/>
        <v/>
      </c>
      <c r="J114" s="89" t="str">
        <f t="shared" si="29"/>
        <v/>
      </c>
      <c r="K114" s="89" t="str">
        <f t="shared" si="30"/>
        <v/>
      </c>
      <c r="L114" s="89" t="str">
        <f t="shared" si="31"/>
        <v/>
      </c>
      <c r="M114" s="71" t="s">
        <v>3183</v>
      </c>
      <c r="N114" s="88" t="s">
        <v>4861</v>
      </c>
      <c r="O114" s="88" t="s">
        <v>4862</v>
      </c>
      <c r="P114" s="88" t="s">
        <v>4863</v>
      </c>
      <c r="Q114" s="88" t="s">
        <v>4864</v>
      </c>
      <c r="R114" s="88"/>
      <c r="S114" s="88"/>
      <c r="T114" s="88"/>
      <c r="U114" s="88"/>
      <c r="V114" s="88" t="s">
        <v>4865</v>
      </c>
      <c r="W114" s="88" t="s">
        <v>4866</v>
      </c>
      <c r="X114" s="88" t="s">
        <v>4867</v>
      </c>
      <c r="Y114" s="88" t="s">
        <v>4868</v>
      </c>
      <c r="Z114" s="88"/>
      <c r="AA114" s="88"/>
      <c r="AB114" s="88"/>
      <c r="AC114" s="88"/>
    </row>
    <row r="115" spans="1:29" ht="60" customHeight="1">
      <c r="A115" s="71" t="s">
        <v>3184</v>
      </c>
      <c r="B115" s="71" t="s">
        <v>4869</v>
      </c>
      <c r="C115" s="71" t="s">
        <v>4492</v>
      </c>
      <c r="D115" s="77">
        <v>46302</v>
      </c>
      <c r="E115" s="89" t="str">
        <f t="shared" si="24"/>
        <v>Festo — One-way flow control valve GRLA-1/8-QS-8-RS-D — 534337</v>
      </c>
      <c r="F115" s="89" t="str">
        <f t="shared" si="25"/>
        <v>Festo — GRLA-1/8-QS-8-RS-D — Part number 534337</v>
      </c>
      <c r="G115" s="89" t="str">
        <f t="shared" si="26"/>
        <v>Festo France — Mentions légales — Festo E.U.R.L.</v>
      </c>
      <c r="H115" s="89" t="str">
        <f t="shared" si="27"/>
        <v/>
      </c>
      <c r="I115" s="89" t="str">
        <f t="shared" si="28"/>
        <v/>
      </c>
      <c r="J115" s="89" t="str">
        <f t="shared" si="29"/>
        <v/>
      </c>
      <c r="K115" s="89" t="str">
        <f t="shared" si="30"/>
        <v/>
      </c>
      <c r="L115" s="89" t="str">
        <f t="shared" si="31"/>
        <v/>
      </c>
      <c r="M115" s="71" t="s">
        <v>3195</v>
      </c>
      <c r="N115" s="88" t="s">
        <v>4870</v>
      </c>
      <c r="O115" s="88" t="s">
        <v>4871</v>
      </c>
      <c r="P115" s="88" t="s">
        <v>4841</v>
      </c>
      <c r="Q115" s="88"/>
      <c r="R115" s="88"/>
      <c r="S115" s="88"/>
      <c r="T115" s="88"/>
      <c r="U115" s="88"/>
      <c r="V115" s="88" t="s">
        <v>4872</v>
      </c>
      <c r="W115" s="88" t="s">
        <v>4873</v>
      </c>
      <c r="X115" s="88" t="s">
        <v>4844</v>
      </c>
      <c r="Y115" s="88"/>
      <c r="Z115" s="88"/>
      <c r="AA115" s="88"/>
      <c r="AB115" s="88"/>
      <c r="AC115" s="88"/>
    </row>
    <row r="116" spans="1:29" ht="60" customHeight="1">
      <c r="A116" s="71" t="s">
        <v>3196</v>
      </c>
      <c r="B116" s="71" t="s">
        <v>4874</v>
      </c>
      <c r="C116" s="71" t="s">
        <v>4458</v>
      </c>
      <c r="D116" s="77">
        <v>46302</v>
      </c>
      <c r="E116" s="89" t="str">
        <f t="shared" si="24"/>
        <v>Interroll — Drum Motor DM0080 — famille configurable</v>
      </c>
      <c r="F116" s="89" t="str">
        <f t="shared" si="25"/>
        <v>Interroll — Office responsible for France — INTERROLL SAS</v>
      </c>
      <c r="G116" s="89" t="str">
        <f t="shared" si="26"/>
        <v/>
      </c>
      <c r="H116" s="89" t="str">
        <f t="shared" si="27"/>
        <v/>
      </c>
      <c r="I116" s="89" t="str">
        <f t="shared" si="28"/>
        <v/>
      </c>
      <c r="J116" s="89" t="str">
        <f t="shared" si="29"/>
        <v/>
      </c>
      <c r="K116" s="89" t="str">
        <f t="shared" si="30"/>
        <v/>
      </c>
      <c r="L116" s="89" t="str">
        <f t="shared" si="31"/>
        <v/>
      </c>
      <c r="M116" s="71" t="s">
        <v>3202</v>
      </c>
      <c r="N116" s="88" t="s">
        <v>4875</v>
      </c>
      <c r="O116" s="88" t="s">
        <v>4876</v>
      </c>
      <c r="P116" s="88"/>
      <c r="Q116" s="88"/>
      <c r="R116" s="88"/>
      <c r="S116" s="88"/>
      <c r="T116" s="88"/>
      <c r="U116" s="88"/>
      <c r="V116" s="88" t="s">
        <v>4877</v>
      </c>
      <c r="W116" s="88" t="s">
        <v>4878</v>
      </c>
      <c r="X116" s="88"/>
      <c r="Y116" s="88"/>
      <c r="Z116" s="88"/>
      <c r="AA116" s="88"/>
      <c r="AB116" s="88"/>
      <c r="AC116" s="88"/>
    </row>
    <row r="117" spans="1:29" ht="60" customHeight="1">
      <c r="A117" s="71" t="s">
        <v>3203</v>
      </c>
      <c r="B117" s="71" t="s">
        <v>4879</v>
      </c>
      <c r="C117" s="71" t="s">
        <v>4492</v>
      </c>
      <c r="D117" s="77">
        <v>46302</v>
      </c>
      <c r="E117" s="89" t="str">
        <f t="shared" si="24"/>
        <v>Interroll — DM SERIES OPTIONS AND ACCESSORIES — SPROCKETS, 01/2025</v>
      </c>
      <c r="F117" s="89" t="str">
        <f t="shared" si="25"/>
        <v>Interroll — Office responsible for France — INTERROLL SAS</v>
      </c>
      <c r="G117" s="89" t="str">
        <f t="shared" si="26"/>
        <v/>
      </c>
      <c r="H117" s="89" t="str">
        <f t="shared" si="27"/>
        <v/>
      </c>
      <c r="I117" s="89" t="str">
        <f t="shared" si="28"/>
        <v/>
      </c>
      <c r="J117" s="89" t="str">
        <f t="shared" si="29"/>
        <v/>
      </c>
      <c r="K117" s="89" t="str">
        <f t="shared" si="30"/>
        <v/>
      </c>
      <c r="L117" s="89" t="str">
        <f t="shared" si="31"/>
        <v/>
      </c>
      <c r="M117" s="71" t="s">
        <v>3212</v>
      </c>
      <c r="N117" s="88" t="s">
        <v>4880</v>
      </c>
      <c r="O117" s="88" t="s">
        <v>4876</v>
      </c>
      <c r="P117" s="88"/>
      <c r="Q117" s="88"/>
      <c r="R117" s="88"/>
      <c r="S117" s="88"/>
      <c r="T117" s="88"/>
      <c r="U117" s="88"/>
      <c r="V117" s="88" t="s">
        <v>4881</v>
      </c>
      <c r="W117" s="88" t="s">
        <v>4878</v>
      </c>
      <c r="X117" s="88"/>
      <c r="Y117" s="88"/>
      <c r="Z117" s="88"/>
      <c r="AA117" s="88"/>
      <c r="AB117" s="88"/>
      <c r="AC117" s="88"/>
    </row>
    <row r="118" spans="1:29" ht="60" customHeight="1">
      <c r="A118" s="71" t="s">
        <v>3213</v>
      </c>
      <c r="B118" s="71" t="s">
        <v>4882</v>
      </c>
      <c r="C118" s="71" t="s">
        <v>4492</v>
      </c>
      <c r="D118" s="77">
        <v>46302</v>
      </c>
      <c r="E118" s="89" t="str">
        <f t="shared" si="24"/>
        <v>Interroll — DM SERIES OPTIONS AND ACCESSORIES — SPROCKETS, 01/2025</v>
      </c>
      <c r="F118" s="89" t="str">
        <f t="shared" si="25"/>
        <v>Interroll — Office responsible for France — INTERROLL SAS</v>
      </c>
      <c r="G118" s="89" t="str">
        <f t="shared" si="26"/>
        <v/>
      </c>
      <c r="H118" s="89" t="str">
        <f t="shared" si="27"/>
        <v/>
      </c>
      <c r="I118" s="89" t="str">
        <f t="shared" si="28"/>
        <v/>
      </c>
      <c r="J118" s="89" t="str">
        <f t="shared" si="29"/>
        <v/>
      </c>
      <c r="K118" s="89" t="str">
        <f t="shared" si="30"/>
        <v/>
      </c>
      <c r="L118" s="89" t="str">
        <f t="shared" si="31"/>
        <v/>
      </c>
      <c r="M118" s="71" t="s">
        <v>3217</v>
      </c>
      <c r="N118" s="88" t="s">
        <v>4880</v>
      </c>
      <c r="O118" s="88" t="s">
        <v>4876</v>
      </c>
      <c r="P118" s="88"/>
      <c r="Q118" s="88"/>
      <c r="R118" s="88"/>
      <c r="S118" s="88"/>
      <c r="T118" s="88"/>
      <c r="U118" s="88"/>
      <c r="V118" s="88" t="s">
        <v>4881</v>
      </c>
      <c r="W118" s="88" t="s">
        <v>4878</v>
      </c>
      <c r="X118" s="88"/>
      <c r="Y118" s="88"/>
      <c r="Z118" s="88"/>
      <c r="AA118" s="88"/>
      <c r="AB118" s="88"/>
      <c r="AC118" s="88"/>
    </row>
    <row r="119" spans="1:29" ht="60" customHeight="1">
      <c r="A119" s="71" t="s">
        <v>3218</v>
      </c>
      <c r="B119" s="71" t="s">
        <v>4883</v>
      </c>
      <c r="C119" s="71" t="s">
        <v>4492</v>
      </c>
      <c r="D119" s="77">
        <v>46302</v>
      </c>
      <c r="E119" s="89" t="str">
        <f t="shared" si="24"/>
        <v>Annuaire des Entreprises / DINUM — GAUCHY TECH ACTIV AXION (GTAA)</v>
      </c>
      <c r="F119" s="89" t="str">
        <f t="shared" si="25"/>
        <v>GTAa — DEVIS BANDE 2135X580.pdf — Page 1 — ligne PALETISEUR 1/2, devis DE26598</v>
      </c>
      <c r="G119" s="89" t="str">
        <f t="shared" si="26"/>
        <v/>
      </c>
      <c r="H119" s="89" t="str">
        <f t="shared" si="27"/>
        <v/>
      </c>
      <c r="I119" s="89" t="str">
        <f t="shared" si="28"/>
        <v/>
      </c>
      <c r="J119" s="89" t="str">
        <f t="shared" si="29"/>
        <v/>
      </c>
      <c r="K119" s="89" t="str">
        <f t="shared" si="30"/>
        <v/>
      </c>
      <c r="L119" s="89" t="str">
        <f t="shared" si="31"/>
        <v/>
      </c>
      <c r="M119" s="71" t="s">
        <v>3226</v>
      </c>
      <c r="N119" s="88" t="s">
        <v>4884</v>
      </c>
      <c r="O119" s="88" t="s">
        <v>3221</v>
      </c>
      <c r="P119" s="88"/>
      <c r="Q119" s="88"/>
      <c r="R119" s="88"/>
      <c r="S119" s="88"/>
      <c r="T119" s="88"/>
      <c r="U119" s="88"/>
      <c r="V119" s="88" t="s">
        <v>4885</v>
      </c>
      <c r="W119" s="88" t="s">
        <v>4886</v>
      </c>
      <c r="X119" s="88"/>
      <c r="Y119" s="88"/>
      <c r="Z119" s="88"/>
      <c r="AA119" s="88"/>
      <c r="AB119" s="88"/>
      <c r="AC119" s="88"/>
    </row>
    <row r="120" spans="1:29" ht="60" customHeight="1">
      <c r="A120" s="71" t="s">
        <v>3231</v>
      </c>
      <c r="B120" s="71" t="s">
        <v>4887</v>
      </c>
      <c r="C120" s="71" t="s">
        <v>4488</v>
      </c>
      <c r="D120" s="77">
        <v>46302</v>
      </c>
      <c r="E120" s="89" t="str">
        <f t="shared" si="24"/>
        <v>DEXIS — NOYER SAFIA — DEXIS</v>
      </c>
      <c r="F120" s="89" t="str">
        <f t="shared" si="25"/>
        <v>SKF — 90X125X12 CRW1 V — radial shaft seal</v>
      </c>
      <c r="G120" s="89" t="str">
        <f t="shared" si="26"/>
        <v/>
      </c>
      <c r="H120" s="89" t="str">
        <f t="shared" si="27"/>
        <v/>
      </c>
      <c r="I120" s="89" t="str">
        <f t="shared" si="28"/>
        <v/>
      </c>
      <c r="J120" s="89" t="str">
        <f t="shared" si="29"/>
        <v/>
      </c>
      <c r="K120" s="89" t="str">
        <f t="shared" si="30"/>
        <v/>
      </c>
      <c r="L120" s="89" t="str">
        <f t="shared" si="31"/>
        <v/>
      </c>
      <c r="M120" s="71" t="s">
        <v>3238</v>
      </c>
      <c r="N120" s="88" t="s">
        <v>4888</v>
      </c>
      <c r="O120" s="88" t="s">
        <v>4889</v>
      </c>
      <c r="P120" s="88"/>
      <c r="Q120" s="88"/>
      <c r="R120" s="88"/>
      <c r="S120" s="88"/>
      <c r="T120" s="88"/>
      <c r="U120" s="88"/>
      <c r="V120" s="88" t="s">
        <v>4890</v>
      </c>
      <c r="W120" s="88" t="s">
        <v>4891</v>
      </c>
      <c r="X120" s="88"/>
      <c r="Y120" s="88"/>
      <c r="Z120" s="88"/>
      <c r="AA120" s="88"/>
      <c r="AB120" s="88"/>
      <c r="AC120" s="88"/>
    </row>
    <row r="121" spans="1:29" ht="60" customHeight="1">
      <c r="A121" s="71" t="s">
        <v>3239</v>
      </c>
      <c r="B121" s="71" t="s">
        <v>4892</v>
      </c>
      <c r="C121" s="71" t="s">
        <v>4492</v>
      </c>
      <c r="D121" s="77">
        <v>46302</v>
      </c>
      <c r="E121" s="89" t="str">
        <f t="shared" si="24"/>
        <v>SICK — YG8U14-C20UA3M2A14, Data sheet</v>
      </c>
      <c r="F121" s="89" t="str">
        <f t="shared" si="25"/>
        <v>Sonepar — Sick 2139966 — YG8U14-C20UA3M2A14</v>
      </c>
      <c r="G121" s="89" t="str">
        <f t="shared" si="26"/>
        <v>Annuaire des Entreprises — Société SICK — SIREN 972204770</v>
      </c>
      <c r="H121" s="89" t="str">
        <f t="shared" si="27"/>
        <v/>
      </c>
      <c r="I121" s="89" t="str">
        <f t="shared" si="28"/>
        <v/>
      </c>
      <c r="J121" s="89" t="str">
        <f t="shared" si="29"/>
        <v/>
      </c>
      <c r="K121" s="89" t="str">
        <f t="shared" si="30"/>
        <v/>
      </c>
      <c r="L121" s="89" t="str">
        <f t="shared" si="31"/>
        <v/>
      </c>
      <c r="M121" s="71" t="s">
        <v>3247</v>
      </c>
      <c r="N121" s="88" t="s">
        <v>4893</v>
      </c>
      <c r="O121" s="88" t="s">
        <v>4894</v>
      </c>
      <c r="P121" s="88" t="s">
        <v>4656</v>
      </c>
      <c r="Q121" s="88"/>
      <c r="R121" s="88"/>
      <c r="S121" s="88"/>
      <c r="T121" s="88"/>
      <c r="U121" s="88"/>
      <c r="V121" s="88" t="s">
        <v>4895</v>
      </c>
      <c r="W121" s="88" t="s">
        <v>4896</v>
      </c>
      <c r="X121" s="88" t="s">
        <v>4660</v>
      </c>
      <c r="Y121" s="88"/>
      <c r="Z121" s="88"/>
      <c r="AA121" s="88"/>
      <c r="AB121" s="88"/>
      <c r="AC121" s="88"/>
    </row>
    <row r="122" spans="1:29" ht="60" customHeight="1">
      <c r="A122" s="71" t="s">
        <v>3248</v>
      </c>
      <c r="B122" s="71" t="s">
        <v>4897</v>
      </c>
      <c r="C122" s="71" t="s">
        <v>4492</v>
      </c>
      <c r="D122" s="77">
        <v>46302</v>
      </c>
      <c r="E122" s="89" t="str">
        <f t="shared" si="24"/>
        <v>Festo — ISO cylinder CRDSNU-B-20-50-PPS-A-MG-A1 — 8073977</v>
      </c>
      <c r="F122" s="89" t="str">
        <f t="shared" si="25"/>
        <v>Festo — CRDSNU-B-20-50-PPS-A-MG-A1 — Part number 8073977</v>
      </c>
      <c r="G122" s="89" t="str">
        <f t="shared" si="26"/>
        <v>Festo France — Mentions légales — Festo E.U.R.L.</v>
      </c>
      <c r="H122" s="89" t="str">
        <f t="shared" si="27"/>
        <v/>
      </c>
      <c r="I122" s="89" t="str">
        <f t="shared" si="28"/>
        <v/>
      </c>
      <c r="J122" s="89" t="str">
        <f t="shared" si="29"/>
        <v/>
      </c>
      <c r="K122" s="89" t="str">
        <f t="shared" si="30"/>
        <v/>
      </c>
      <c r="L122" s="89" t="str">
        <f t="shared" si="31"/>
        <v/>
      </c>
      <c r="M122" s="71" t="s">
        <v>3255</v>
      </c>
      <c r="N122" s="88" t="s">
        <v>4898</v>
      </c>
      <c r="O122" s="88" t="s">
        <v>4899</v>
      </c>
      <c r="P122" s="88" t="s">
        <v>4841</v>
      </c>
      <c r="Q122" s="88"/>
      <c r="R122" s="88"/>
      <c r="S122" s="88"/>
      <c r="T122" s="88"/>
      <c r="U122" s="88"/>
      <c r="V122" s="88" t="s">
        <v>4900</v>
      </c>
      <c r="W122" s="88" t="s">
        <v>4901</v>
      </c>
      <c r="X122" s="88" t="s">
        <v>4844</v>
      </c>
      <c r="Y122" s="88"/>
      <c r="Z122" s="88"/>
      <c r="AA122" s="88"/>
      <c r="AB122" s="88"/>
      <c r="AC122" s="88"/>
    </row>
    <row r="123" spans="1:29" ht="60" customHeight="1">
      <c r="A123" s="71" t="s">
        <v>3256</v>
      </c>
      <c r="B123" s="71" t="s">
        <v>4902</v>
      </c>
      <c r="C123" s="71" t="s">
        <v>4458</v>
      </c>
      <c r="D123" s="77">
        <v>46302</v>
      </c>
      <c r="E123" s="89" t="str">
        <f t="shared" si="24"/>
        <v>Dertec — Stainless Steel FH Hypoid Bevel Gearbox</v>
      </c>
      <c r="F123" s="89" t="str">
        <f t="shared" si="25"/>
        <v>Dertec — Dertec | Gearboxes, motors and hygienic components (siège Sassenheim, Pays-Bas)</v>
      </c>
      <c r="G123" s="89" t="str">
        <f t="shared" si="26"/>
        <v/>
      </c>
      <c r="H123" s="89" t="str">
        <f t="shared" si="27"/>
        <v/>
      </c>
      <c r="I123" s="89" t="str">
        <f t="shared" si="28"/>
        <v/>
      </c>
      <c r="J123" s="89" t="str">
        <f t="shared" si="29"/>
        <v/>
      </c>
      <c r="K123" s="89" t="str">
        <f t="shared" si="30"/>
        <v/>
      </c>
      <c r="L123" s="89" t="str">
        <f t="shared" si="31"/>
        <v/>
      </c>
      <c r="M123" s="71" t="s">
        <v>3264</v>
      </c>
      <c r="N123" s="88" t="s">
        <v>4903</v>
      </c>
      <c r="O123" s="88" t="s">
        <v>4904</v>
      </c>
      <c r="P123" s="88"/>
      <c r="Q123" s="88"/>
      <c r="R123" s="88"/>
      <c r="S123" s="88"/>
      <c r="T123" s="88"/>
      <c r="U123" s="88"/>
      <c r="V123" s="88" t="s">
        <v>4905</v>
      </c>
      <c r="W123" s="88" t="s">
        <v>4906</v>
      </c>
      <c r="X123" s="88"/>
      <c r="Y123" s="88"/>
      <c r="Z123" s="88"/>
      <c r="AA123" s="88"/>
      <c r="AB123" s="88"/>
      <c r="AC123" s="88"/>
    </row>
  </sheetData>
  <mergeCells count="1">
    <mergeCell ref="A1:AC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D7399-2CF3-4258-9889-494D37BCF7D3}">
  <dimension ref="A1:J125"/>
  <sheetViews>
    <sheetView workbookViewId="0">
      <pane ySplit="2" topLeftCell="A3" activePane="bottomLeft" state="frozen"/>
      <selection pane="bottomLeft"/>
    </sheetView>
  </sheetViews>
  <sheetFormatPr defaultRowHeight="15"/>
  <cols>
    <col min="1" max="1" width="34.7109375" customWidth="1"/>
    <col min="2" max="2" width="23.7109375" customWidth="1"/>
    <col min="3" max="3" width="27.7109375" customWidth="1"/>
    <col min="4" max="4" width="23.7109375" customWidth="1"/>
    <col min="5" max="5" width="22.7109375" customWidth="1"/>
    <col min="6" max="6" width="18.7109375" customWidth="1"/>
    <col min="7" max="7" width="26.7109375" customWidth="1"/>
    <col min="8" max="8" width="24.7109375" customWidth="1"/>
    <col min="9" max="9" width="19.7109375" customWidth="1"/>
    <col min="10" max="10" width="120.7109375" customWidth="1"/>
  </cols>
  <sheetData>
    <row r="1" spans="1:10" ht="30" customHeight="1">
      <c r="A1" s="94" t="s">
        <v>4907</v>
      </c>
      <c r="B1" s="94"/>
      <c r="C1" s="94"/>
      <c r="D1" s="94"/>
      <c r="E1" s="94"/>
      <c r="F1" s="94"/>
      <c r="G1" s="94"/>
      <c r="H1" s="94"/>
      <c r="I1" s="94"/>
      <c r="J1" s="94"/>
    </row>
    <row r="2" spans="1:10" ht="42" customHeight="1">
      <c r="A2" s="62" t="s">
        <v>3987</v>
      </c>
      <c r="B2" s="62" t="s">
        <v>4908</v>
      </c>
      <c r="C2" s="62" t="s">
        <v>4909</v>
      </c>
      <c r="D2" s="62" t="s">
        <v>4910</v>
      </c>
      <c r="E2" s="62" t="s">
        <v>4911</v>
      </c>
      <c r="F2" s="62" t="s">
        <v>4912</v>
      </c>
      <c r="G2" s="62" t="s">
        <v>4913</v>
      </c>
      <c r="H2" s="62" t="s">
        <v>4914</v>
      </c>
      <c r="I2" s="62" t="s">
        <v>4915</v>
      </c>
      <c r="J2" s="62" t="s">
        <v>4916</v>
      </c>
    </row>
    <row r="3" spans="1:10" ht="60" customHeight="1">
      <c r="A3" s="71" t="s">
        <v>202</v>
      </c>
      <c r="B3" s="71" t="s">
        <v>4917</v>
      </c>
      <c r="C3" s="71" t="s">
        <v>4918</v>
      </c>
      <c r="D3" s="73">
        <v>14</v>
      </c>
      <c r="E3" s="73">
        <v>0</v>
      </c>
      <c r="F3" s="79">
        <f t="shared" ref="F3:F34" si="0">IF(OR(D3="",E3=""),"",IF(D3=0,0,E3/D3))</f>
        <v>0</v>
      </c>
      <c r="G3" s="71" t="s">
        <v>4919</v>
      </c>
      <c r="H3" s="73">
        <v>9</v>
      </c>
      <c r="I3" s="79">
        <f t="shared" ref="I3:I34" si="1">IF(OR(D3="",H3=""),"",IF(D3=0,0,H3/D3))</f>
        <v>0.6428571428571429</v>
      </c>
      <c r="J3" s="71" t="s">
        <v>217</v>
      </c>
    </row>
    <row r="4" spans="1:10" ht="60" customHeight="1">
      <c r="A4" s="71" t="s">
        <v>735</v>
      </c>
      <c r="B4" s="71" t="s">
        <v>4920</v>
      </c>
      <c r="C4" s="71" t="s">
        <v>4921</v>
      </c>
      <c r="D4" s="73">
        <v>852</v>
      </c>
      <c r="E4" s="73">
        <v>494</v>
      </c>
      <c r="F4" s="79">
        <f>IF(OR(D4="",E4=""),"",IF(D4=0,0,E4/D4))</f>
        <v>0.57981220657276999</v>
      </c>
      <c r="G4" s="71" t="s">
        <v>4921</v>
      </c>
      <c r="H4" s="73">
        <v>494</v>
      </c>
      <c r="I4" s="79">
        <f>IF(OR(D4="",H4=""),"",IF(D4=0,0,H4/D4))</f>
        <v>0.57981220657276999</v>
      </c>
      <c r="J4" s="71" t="s">
        <v>744</v>
      </c>
    </row>
    <row r="5" spans="1:10" ht="60" customHeight="1">
      <c r="A5" s="71" t="s">
        <v>748</v>
      </c>
      <c r="B5" s="71" t="s">
        <v>4920</v>
      </c>
      <c r="C5" s="71" t="s">
        <v>4921</v>
      </c>
      <c r="D5" s="73">
        <v>852</v>
      </c>
      <c r="E5" s="73">
        <v>494</v>
      </c>
      <c r="F5" s="79">
        <f>IF(OR(D5="",E5=""),"",IF(D5=0,0,E5/D5))</f>
        <v>0.57981220657276999</v>
      </c>
      <c r="G5" s="71" t="s">
        <v>4921</v>
      </c>
      <c r="H5" s="73">
        <v>494</v>
      </c>
      <c r="I5" s="79">
        <f>IF(OR(D5="",H5=""),"",IF(D5=0,0,H5/D5))</f>
        <v>0.57981220657276999</v>
      </c>
      <c r="J5" s="71" t="s">
        <v>744</v>
      </c>
    </row>
    <row r="6" spans="1:10" ht="60" customHeight="1">
      <c r="A6" s="71" t="s">
        <v>754</v>
      </c>
      <c r="B6" s="71" t="s">
        <v>4920</v>
      </c>
      <c r="C6" s="71" t="s">
        <v>4921</v>
      </c>
      <c r="D6" s="73">
        <v>852</v>
      </c>
      <c r="E6" s="73">
        <v>494</v>
      </c>
      <c r="F6" s="79">
        <f>IF(OR(D6="",E6=""),"",IF(D6=0,0,E6/D6))</f>
        <v>0.57981220657276999</v>
      </c>
      <c r="G6" s="71" t="s">
        <v>4921</v>
      </c>
      <c r="H6" s="73">
        <v>494</v>
      </c>
      <c r="I6" s="79">
        <f>IF(OR(D6="",H6=""),"",IF(D6=0,0,H6/D6))</f>
        <v>0.57981220657276999</v>
      </c>
      <c r="J6" s="71" t="s">
        <v>744</v>
      </c>
    </row>
    <row r="7" spans="1:10" ht="60" customHeight="1">
      <c r="A7" s="71" t="s">
        <v>768</v>
      </c>
      <c r="B7" s="71" t="s">
        <v>4922</v>
      </c>
      <c r="C7" s="71" t="s">
        <v>4923</v>
      </c>
      <c r="D7" s="73">
        <v>635</v>
      </c>
      <c r="E7" s="73">
        <v>187</v>
      </c>
      <c r="F7" s="79">
        <f>IF(OR(D7="",E7=""),"",IF(D7=0,0,E7/D7))</f>
        <v>0.29448818897637796</v>
      </c>
      <c r="G7" s="71" t="s">
        <v>4923</v>
      </c>
      <c r="H7" s="73">
        <v>187</v>
      </c>
      <c r="I7" s="79">
        <f>IF(OR(D7="",H7=""),"",IF(D7=0,0,H7/D7))</f>
        <v>0.29448818897637796</v>
      </c>
      <c r="J7" s="71" t="s">
        <v>777</v>
      </c>
    </row>
    <row r="8" spans="1:10" ht="60" customHeight="1">
      <c r="A8" s="71" t="s">
        <v>779</v>
      </c>
      <c r="B8" s="71" t="s">
        <v>4922</v>
      </c>
      <c r="C8" s="71" t="s">
        <v>4923</v>
      </c>
      <c r="D8" s="73">
        <v>635</v>
      </c>
      <c r="E8" s="73">
        <v>187</v>
      </c>
      <c r="F8" s="79">
        <f>IF(OR(D8="",E8=""),"",IF(D8=0,0,E8/D8))</f>
        <v>0.29448818897637796</v>
      </c>
      <c r="G8" s="71" t="s">
        <v>4923</v>
      </c>
      <c r="H8" s="73">
        <v>187</v>
      </c>
      <c r="I8" s="79">
        <f>IF(OR(D8="",H8=""),"",IF(D8=0,0,H8/D8))</f>
        <v>0.29448818897637796</v>
      </c>
      <c r="J8" s="71" t="s">
        <v>777</v>
      </c>
    </row>
    <row r="9" spans="1:10" ht="60" customHeight="1">
      <c r="A9" s="71" t="s">
        <v>817</v>
      </c>
      <c r="B9" s="71" t="s">
        <v>4924</v>
      </c>
      <c r="C9" s="71" t="s">
        <v>4925</v>
      </c>
      <c r="D9" s="73">
        <v>46</v>
      </c>
      <c r="E9" s="73">
        <v>3</v>
      </c>
      <c r="F9" s="79">
        <f>IF(OR(D9="",E9=""),"",IF(D9=0,0,E9/D9))</f>
        <v>6.5217391304347824E-2</v>
      </c>
      <c r="G9" s="71" t="s">
        <v>4926</v>
      </c>
      <c r="H9" s="73">
        <v>14</v>
      </c>
      <c r="I9" s="79">
        <f>IF(OR(D9="",H9=""),"",IF(D9=0,0,H9/D9))</f>
        <v>0.30434782608695654</v>
      </c>
      <c r="J9" s="71" t="s">
        <v>831</v>
      </c>
    </row>
    <row r="10" spans="1:10" ht="60" customHeight="1">
      <c r="A10" s="71" t="s">
        <v>1062</v>
      </c>
      <c r="B10" s="71" t="s">
        <v>4927</v>
      </c>
      <c r="C10" s="71" t="s">
        <v>4928</v>
      </c>
      <c r="D10" s="73"/>
      <c r="E10" s="73"/>
      <c r="F10" s="79" t="str">
        <f>IF(OR(D10="",E10=""),"",IF(D10=0,0,E10/D10))</f>
        <v/>
      </c>
      <c r="G10" s="71"/>
      <c r="H10" s="73"/>
      <c r="I10" s="79" t="str">
        <f>IF(OR(D10="",H10=""),"",IF(D10=0,0,H10/D10))</f>
        <v/>
      </c>
      <c r="J10" s="71" t="s">
        <v>1075</v>
      </c>
    </row>
    <row r="11" spans="1:10" ht="60" customHeight="1">
      <c r="A11" s="71" t="s">
        <v>1115</v>
      </c>
      <c r="B11" s="71" t="s">
        <v>4929</v>
      </c>
      <c r="C11" s="71" t="s">
        <v>4930</v>
      </c>
      <c r="D11" s="73">
        <v>29</v>
      </c>
      <c r="E11" s="73">
        <v>0</v>
      </c>
      <c r="F11" s="79">
        <f>IF(OR(D11="",E11=""),"",IF(D11=0,0,E11/D11))</f>
        <v>0</v>
      </c>
      <c r="G11" s="71" t="s">
        <v>4919</v>
      </c>
      <c r="H11" s="73">
        <v>6</v>
      </c>
      <c r="I11" s="79">
        <f>IF(OR(D11="",H11=""),"",IF(D11=0,0,H11/D11))</f>
        <v>0.20689655172413793</v>
      </c>
      <c r="J11" s="71" t="s">
        <v>1121</v>
      </c>
    </row>
    <row r="12" spans="1:10" ht="60" customHeight="1">
      <c r="A12" s="71" t="s">
        <v>1440</v>
      </c>
      <c r="B12" s="71" t="s">
        <v>4929</v>
      </c>
      <c r="C12" s="71" t="s">
        <v>4931</v>
      </c>
      <c r="D12" s="73">
        <v>29</v>
      </c>
      <c r="E12" s="73">
        <v>0</v>
      </c>
      <c r="F12" s="79">
        <f>IF(OR(D12="",E12=""),"",IF(D12=0,0,E12/D12))</f>
        <v>0</v>
      </c>
      <c r="G12" s="71" t="s">
        <v>4919</v>
      </c>
      <c r="H12" s="73">
        <v>6</v>
      </c>
      <c r="I12" s="79">
        <f>IF(OR(D12="",H12=""),"",IF(D12=0,0,H12/D12))</f>
        <v>0.20689655172413793</v>
      </c>
      <c r="J12" s="71" t="s">
        <v>1121</v>
      </c>
    </row>
    <row r="13" spans="1:10" ht="60" customHeight="1">
      <c r="A13" s="71" t="s">
        <v>1444</v>
      </c>
      <c r="B13" s="71" t="s">
        <v>4929</v>
      </c>
      <c r="C13" s="71" t="s">
        <v>4932</v>
      </c>
      <c r="D13" s="73">
        <v>29</v>
      </c>
      <c r="E13" s="73">
        <v>0</v>
      </c>
      <c r="F13" s="79">
        <f>IF(OR(D13="",E13=""),"",IF(D13=0,0,E13/D13))</f>
        <v>0</v>
      </c>
      <c r="G13" s="71" t="s">
        <v>4919</v>
      </c>
      <c r="H13" s="73">
        <v>6</v>
      </c>
      <c r="I13" s="79">
        <f>IF(OR(D13="",H13=""),"",IF(D13=0,0,H13/D13))</f>
        <v>0.20689655172413793</v>
      </c>
      <c r="J13" s="71" t="s">
        <v>1121</v>
      </c>
    </row>
    <row r="14" spans="1:10" ht="60" customHeight="1">
      <c r="A14" s="71" t="s">
        <v>1448</v>
      </c>
      <c r="B14" s="71" t="s">
        <v>4929</v>
      </c>
      <c r="C14" s="71" t="s">
        <v>4933</v>
      </c>
      <c r="D14" s="73">
        <v>29</v>
      </c>
      <c r="E14" s="73">
        <v>0</v>
      </c>
      <c r="F14" s="79">
        <f>IF(OR(D14="",E14=""),"",IF(D14=0,0,E14/D14))</f>
        <v>0</v>
      </c>
      <c r="G14" s="71" t="s">
        <v>4919</v>
      </c>
      <c r="H14" s="73">
        <v>6</v>
      </c>
      <c r="I14" s="79">
        <f>IF(OR(D14="",H14=""),"",IF(D14=0,0,H14/D14))</f>
        <v>0.20689655172413793</v>
      </c>
      <c r="J14" s="71" t="s">
        <v>1121</v>
      </c>
    </row>
    <row r="15" spans="1:10" ht="60" customHeight="1">
      <c r="A15" s="71" t="s">
        <v>1452</v>
      </c>
      <c r="B15" s="71" t="s">
        <v>4929</v>
      </c>
      <c r="C15" s="71" t="s">
        <v>4934</v>
      </c>
      <c r="D15" s="73">
        <v>29</v>
      </c>
      <c r="E15" s="73">
        <v>0</v>
      </c>
      <c r="F15" s="79">
        <f>IF(OR(D15="",E15=""),"",IF(D15=0,0,E15/D15))</f>
        <v>0</v>
      </c>
      <c r="G15" s="71" t="s">
        <v>4919</v>
      </c>
      <c r="H15" s="73">
        <v>6</v>
      </c>
      <c r="I15" s="79">
        <f>IF(OR(D15="",H15=""),"",IF(D15=0,0,H15/D15))</f>
        <v>0.20689655172413793</v>
      </c>
      <c r="J15" s="71" t="s">
        <v>1121</v>
      </c>
    </row>
    <row r="16" spans="1:10" ht="60" customHeight="1">
      <c r="A16" s="71" t="s">
        <v>1456</v>
      </c>
      <c r="B16" s="71" t="s">
        <v>4929</v>
      </c>
      <c r="C16" s="71" t="s">
        <v>4935</v>
      </c>
      <c r="D16" s="73">
        <v>29</v>
      </c>
      <c r="E16" s="73">
        <v>0</v>
      </c>
      <c r="F16" s="79">
        <f>IF(OR(D16="",E16=""),"",IF(D16=0,0,E16/D16))</f>
        <v>0</v>
      </c>
      <c r="G16" s="71" t="s">
        <v>4919</v>
      </c>
      <c r="H16" s="73">
        <v>6</v>
      </c>
      <c r="I16" s="79">
        <f>IF(OR(D16="",H16=""),"",IF(D16=0,0,H16/D16))</f>
        <v>0.20689655172413793</v>
      </c>
      <c r="J16" s="71" t="s">
        <v>1121</v>
      </c>
    </row>
    <row r="17" spans="1:10" ht="60" customHeight="1">
      <c r="A17" s="71" t="s">
        <v>1460</v>
      </c>
      <c r="B17" s="71" t="s">
        <v>4929</v>
      </c>
      <c r="C17" s="71" t="s">
        <v>4936</v>
      </c>
      <c r="D17" s="73">
        <v>29</v>
      </c>
      <c r="E17" s="73">
        <v>0</v>
      </c>
      <c r="F17" s="79">
        <f>IF(OR(D17="",E17=""),"",IF(D17=0,0,E17/D17))</f>
        <v>0</v>
      </c>
      <c r="G17" s="71" t="s">
        <v>4919</v>
      </c>
      <c r="H17" s="73">
        <v>6</v>
      </c>
      <c r="I17" s="79">
        <f>IF(OR(D17="",H17=""),"",IF(D17=0,0,H17/D17))</f>
        <v>0.20689655172413793</v>
      </c>
      <c r="J17" s="71" t="s">
        <v>1121</v>
      </c>
    </row>
    <row r="18" spans="1:10" ht="60" customHeight="1">
      <c r="A18" s="71" t="s">
        <v>1464</v>
      </c>
      <c r="B18" s="71" t="s">
        <v>4929</v>
      </c>
      <c r="C18" s="71" t="s">
        <v>4937</v>
      </c>
      <c r="D18" s="73">
        <v>29</v>
      </c>
      <c r="E18" s="73">
        <v>0</v>
      </c>
      <c r="F18" s="79">
        <f>IF(OR(D18="",E18=""),"",IF(D18=0,0,E18/D18))</f>
        <v>0</v>
      </c>
      <c r="G18" s="71" t="s">
        <v>4919</v>
      </c>
      <c r="H18" s="73">
        <v>6</v>
      </c>
      <c r="I18" s="79">
        <f>IF(OR(D18="",H18=""),"",IF(D18=0,0,H18/D18))</f>
        <v>0.20689655172413793</v>
      </c>
      <c r="J18" s="71" t="s">
        <v>1121</v>
      </c>
    </row>
    <row r="19" spans="1:10" ht="60" customHeight="1">
      <c r="A19" s="71" t="s">
        <v>1468</v>
      </c>
      <c r="B19" s="71" t="s">
        <v>4929</v>
      </c>
      <c r="C19" s="71" t="s">
        <v>4935</v>
      </c>
      <c r="D19" s="73">
        <v>29</v>
      </c>
      <c r="E19" s="73">
        <v>0</v>
      </c>
      <c r="F19" s="79">
        <f>IF(OR(D19="",E19=""),"",IF(D19=0,0,E19/D19))</f>
        <v>0</v>
      </c>
      <c r="G19" s="71" t="s">
        <v>4919</v>
      </c>
      <c r="H19" s="73">
        <v>6</v>
      </c>
      <c r="I19" s="79">
        <f>IF(OR(D19="",H19=""),"",IF(D19=0,0,H19/D19))</f>
        <v>0.20689655172413793</v>
      </c>
      <c r="J19" s="71" t="s">
        <v>1121</v>
      </c>
    </row>
    <row r="20" spans="1:10" ht="60" customHeight="1">
      <c r="A20" s="71" t="s">
        <v>1472</v>
      </c>
      <c r="B20" s="71" t="s">
        <v>4929</v>
      </c>
      <c r="C20" s="71" t="s">
        <v>4935</v>
      </c>
      <c r="D20" s="73">
        <v>29</v>
      </c>
      <c r="E20" s="73">
        <v>0</v>
      </c>
      <c r="F20" s="79">
        <f>IF(OR(D20="",E20=""),"",IF(D20=0,0,E20/D20))</f>
        <v>0</v>
      </c>
      <c r="G20" s="71" t="s">
        <v>4919</v>
      </c>
      <c r="H20" s="73">
        <v>6</v>
      </c>
      <c r="I20" s="79">
        <f>IF(OR(D20="",H20=""),"",IF(D20=0,0,H20/D20))</f>
        <v>0.20689655172413793</v>
      </c>
      <c r="J20" s="71" t="s">
        <v>1121</v>
      </c>
    </row>
    <row r="21" spans="1:10" ht="60" customHeight="1">
      <c r="A21" s="71" t="s">
        <v>1476</v>
      </c>
      <c r="B21" s="71" t="s">
        <v>4929</v>
      </c>
      <c r="C21" s="71" t="s">
        <v>4938</v>
      </c>
      <c r="D21" s="73">
        <v>29</v>
      </c>
      <c r="E21" s="73">
        <v>0</v>
      </c>
      <c r="F21" s="79">
        <f>IF(OR(D21="",E21=""),"",IF(D21=0,0,E21/D21))</f>
        <v>0</v>
      </c>
      <c r="G21" s="71" t="s">
        <v>4919</v>
      </c>
      <c r="H21" s="73">
        <v>6</v>
      </c>
      <c r="I21" s="79">
        <f>IF(OR(D21="",H21=""),"",IF(D21=0,0,H21/D21))</f>
        <v>0.20689655172413793</v>
      </c>
      <c r="J21" s="71" t="s">
        <v>1121</v>
      </c>
    </row>
    <row r="22" spans="1:10" ht="60" customHeight="1">
      <c r="A22" s="71" t="s">
        <v>1480</v>
      </c>
      <c r="B22" s="71" t="s">
        <v>4929</v>
      </c>
      <c r="C22" s="71" t="s">
        <v>4935</v>
      </c>
      <c r="D22" s="73">
        <v>29</v>
      </c>
      <c r="E22" s="73">
        <v>0</v>
      </c>
      <c r="F22" s="79">
        <f>IF(OR(D22="",E22=""),"",IF(D22=0,0,E22/D22))</f>
        <v>0</v>
      </c>
      <c r="G22" s="71" t="s">
        <v>4919</v>
      </c>
      <c r="H22" s="73">
        <v>6</v>
      </c>
      <c r="I22" s="79">
        <f>IF(OR(D22="",H22=""),"",IF(D22=0,0,H22/D22))</f>
        <v>0.20689655172413793</v>
      </c>
      <c r="J22" s="71" t="s">
        <v>1121</v>
      </c>
    </row>
    <row r="23" spans="1:10" ht="60" customHeight="1">
      <c r="A23" s="71" t="s">
        <v>1484</v>
      </c>
      <c r="B23" s="71" t="s">
        <v>4929</v>
      </c>
      <c r="C23" s="71" t="s">
        <v>4938</v>
      </c>
      <c r="D23" s="73">
        <v>29</v>
      </c>
      <c r="E23" s="73">
        <v>0</v>
      </c>
      <c r="F23" s="79">
        <f>IF(OR(D23="",E23=""),"",IF(D23=0,0,E23/D23))</f>
        <v>0</v>
      </c>
      <c r="G23" s="71" t="s">
        <v>4919</v>
      </c>
      <c r="H23" s="73">
        <v>6</v>
      </c>
      <c r="I23" s="79">
        <f>IF(OR(D23="",H23=""),"",IF(D23=0,0,H23/D23))</f>
        <v>0.20689655172413793</v>
      </c>
      <c r="J23" s="71" t="s">
        <v>1121</v>
      </c>
    </row>
    <row r="24" spans="1:10" ht="60" customHeight="1">
      <c r="A24" s="71" t="s">
        <v>1488</v>
      </c>
      <c r="B24" s="71" t="s">
        <v>4929</v>
      </c>
      <c r="C24" s="71" t="s">
        <v>4935</v>
      </c>
      <c r="D24" s="73">
        <v>29</v>
      </c>
      <c r="E24" s="73">
        <v>0</v>
      </c>
      <c r="F24" s="79">
        <f>IF(OR(D24="",E24=""),"",IF(D24=0,0,E24/D24))</f>
        <v>0</v>
      </c>
      <c r="G24" s="71" t="s">
        <v>4919</v>
      </c>
      <c r="H24" s="73">
        <v>6</v>
      </c>
      <c r="I24" s="79">
        <f>IF(OR(D24="",H24=""),"",IF(D24=0,0,H24/D24))</f>
        <v>0.20689655172413793</v>
      </c>
      <c r="J24" s="71" t="s">
        <v>1121</v>
      </c>
    </row>
    <row r="25" spans="1:10" ht="60" customHeight="1">
      <c r="A25" s="71" t="s">
        <v>1492</v>
      </c>
      <c r="B25" s="71" t="s">
        <v>4929</v>
      </c>
      <c r="C25" s="71" t="s">
        <v>4923</v>
      </c>
      <c r="D25" s="73">
        <v>29</v>
      </c>
      <c r="E25" s="73">
        <v>0</v>
      </c>
      <c r="F25" s="79">
        <f>IF(OR(D25="",E25=""),"",IF(D25=0,0,E25/D25))</f>
        <v>0</v>
      </c>
      <c r="G25" s="71" t="s">
        <v>4919</v>
      </c>
      <c r="H25" s="73">
        <v>6</v>
      </c>
      <c r="I25" s="79">
        <f>IF(OR(D25="",H25=""),"",IF(D25=0,0,H25/D25))</f>
        <v>0.20689655172413793</v>
      </c>
      <c r="J25" s="71" t="s">
        <v>1121</v>
      </c>
    </row>
    <row r="26" spans="1:10" ht="60" customHeight="1">
      <c r="A26" s="71" t="s">
        <v>1496</v>
      </c>
      <c r="B26" s="71" t="s">
        <v>4929</v>
      </c>
      <c r="C26" s="71" t="s">
        <v>4931</v>
      </c>
      <c r="D26" s="73">
        <v>29</v>
      </c>
      <c r="E26" s="73">
        <v>0</v>
      </c>
      <c r="F26" s="79">
        <f>IF(OR(D26="",E26=""),"",IF(D26=0,0,E26/D26))</f>
        <v>0</v>
      </c>
      <c r="G26" s="71" t="s">
        <v>4919</v>
      </c>
      <c r="H26" s="73">
        <v>6</v>
      </c>
      <c r="I26" s="79">
        <f>IF(OR(D26="",H26=""),"",IF(D26=0,0,H26/D26))</f>
        <v>0.20689655172413793</v>
      </c>
      <c r="J26" s="71" t="s">
        <v>1121</v>
      </c>
    </row>
    <row r="27" spans="1:10" ht="60" customHeight="1">
      <c r="A27" s="71" t="s">
        <v>1500</v>
      </c>
      <c r="B27" s="71" t="s">
        <v>4929</v>
      </c>
      <c r="C27" s="71" t="s">
        <v>4919</v>
      </c>
      <c r="D27" s="73">
        <v>29</v>
      </c>
      <c r="E27" s="73">
        <v>6</v>
      </c>
      <c r="F27" s="79">
        <f>IF(OR(D27="",E27=""),"",IF(D27=0,0,E27/D27))</f>
        <v>0.20689655172413793</v>
      </c>
      <c r="G27" s="71" t="s">
        <v>4919</v>
      </c>
      <c r="H27" s="73">
        <v>6</v>
      </c>
      <c r="I27" s="79">
        <f>IF(OR(D27="",H27=""),"",IF(D27=0,0,H27/D27))</f>
        <v>0.20689655172413793</v>
      </c>
      <c r="J27" s="71" t="s">
        <v>1504</v>
      </c>
    </row>
    <row r="28" spans="1:10" ht="60" customHeight="1">
      <c r="A28" s="71" t="s">
        <v>1506</v>
      </c>
      <c r="B28" s="71" t="s">
        <v>4929</v>
      </c>
      <c r="C28" s="71" t="s">
        <v>4939</v>
      </c>
      <c r="D28" s="73">
        <v>29</v>
      </c>
      <c r="E28" s="73">
        <v>0</v>
      </c>
      <c r="F28" s="79">
        <f>IF(OR(D28="",E28=""),"",IF(D28=0,0,E28/D28))</f>
        <v>0</v>
      </c>
      <c r="G28" s="71" t="s">
        <v>4919</v>
      </c>
      <c r="H28" s="73">
        <v>6</v>
      </c>
      <c r="I28" s="79">
        <f>IF(OR(D28="",H28=""),"",IF(D28=0,0,H28/D28))</f>
        <v>0.20689655172413793</v>
      </c>
      <c r="J28" s="71" t="s">
        <v>1121</v>
      </c>
    </row>
    <row r="29" spans="1:10" ht="60" customHeight="1">
      <c r="A29" s="71" t="s">
        <v>1511</v>
      </c>
      <c r="B29" s="71" t="s">
        <v>4929</v>
      </c>
      <c r="C29" s="71" t="s">
        <v>4921</v>
      </c>
      <c r="D29" s="73">
        <v>29</v>
      </c>
      <c r="E29" s="73">
        <v>3</v>
      </c>
      <c r="F29" s="79">
        <f>IF(OR(D29="",E29=""),"",IF(D29=0,0,E29/D29))</f>
        <v>0.10344827586206896</v>
      </c>
      <c r="G29" s="71" t="s">
        <v>4919</v>
      </c>
      <c r="H29" s="73">
        <v>6</v>
      </c>
      <c r="I29" s="79">
        <f>IF(OR(D29="",H29=""),"",IF(D29=0,0,H29/D29))</f>
        <v>0.20689655172413793</v>
      </c>
      <c r="J29" s="71" t="s">
        <v>1515</v>
      </c>
    </row>
    <row r="30" spans="1:10" ht="60" customHeight="1">
      <c r="A30" s="71" t="s">
        <v>1517</v>
      </c>
      <c r="B30" s="71" t="s">
        <v>4929</v>
      </c>
      <c r="C30" s="71" t="s">
        <v>4940</v>
      </c>
      <c r="D30" s="73">
        <v>29</v>
      </c>
      <c r="E30" s="73">
        <v>1</v>
      </c>
      <c r="F30" s="79">
        <f>IF(OR(D30="",E30=""),"",IF(D30=0,0,E30/D30))</f>
        <v>3.4482758620689655E-2</v>
      </c>
      <c r="G30" s="71" t="s">
        <v>4919</v>
      </c>
      <c r="H30" s="73">
        <v>6</v>
      </c>
      <c r="I30" s="79">
        <f>IF(OR(D30="",H30=""),"",IF(D30=0,0,H30/D30))</f>
        <v>0.20689655172413793</v>
      </c>
      <c r="J30" s="71" t="s">
        <v>1522</v>
      </c>
    </row>
    <row r="31" spans="1:10" ht="60" customHeight="1">
      <c r="A31" s="71" t="s">
        <v>1524</v>
      </c>
      <c r="B31" s="71" t="s">
        <v>4929</v>
      </c>
      <c r="C31" s="71" t="s">
        <v>4940</v>
      </c>
      <c r="D31" s="73">
        <v>29</v>
      </c>
      <c r="E31" s="73">
        <v>1</v>
      </c>
      <c r="F31" s="79">
        <f>IF(OR(D31="",E31=""),"",IF(D31=0,0,E31/D31))</f>
        <v>3.4482758620689655E-2</v>
      </c>
      <c r="G31" s="71" t="s">
        <v>4919</v>
      </c>
      <c r="H31" s="73">
        <v>6</v>
      </c>
      <c r="I31" s="79">
        <f>IF(OR(D31="",H31=""),"",IF(D31=0,0,H31/D31))</f>
        <v>0.20689655172413793</v>
      </c>
      <c r="J31" s="71" t="s">
        <v>1522</v>
      </c>
    </row>
    <row r="32" spans="1:10" ht="60" customHeight="1">
      <c r="A32" s="71" t="s">
        <v>1528</v>
      </c>
      <c r="B32" s="71" t="s">
        <v>4929</v>
      </c>
      <c r="C32" s="71" t="s">
        <v>4941</v>
      </c>
      <c r="D32" s="73">
        <v>29</v>
      </c>
      <c r="E32" s="73">
        <v>0</v>
      </c>
      <c r="F32" s="79">
        <f>IF(OR(D32="",E32=""),"",IF(D32=0,0,E32/D32))</f>
        <v>0</v>
      </c>
      <c r="G32" s="71" t="s">
        <v>4919</v>
      </c>
      <c r="H32" s="73">
        <v>6</v>
      </c>
      <c r="I32" s="79">
        <f>IF(OR(D32="",H32=""),"",IF(D32=0,0,H32/D32))</f>
        <v>0.20689655172413793</v>
      </c>
      <c r="J32" s="71" t="s">
        <v>1121</v>
      </c>
    </row>
    <row r="33" spans="1:10" ht="60" customHeight="1">
      <c r="A33" s="71" t="s">
        <v>1327</v>
      </c>
      <c r="B33" s="71" t="s">
        <v>4929</v>
      </c>
      <c r="C33" s="71" t="s">
        <v>4940</v>
      </c>
      <c r="D33" s="73">
        <v>29</v>
      </c>
      <c r="E33" s="73">
        <v>1</v>
      </c>
      <c r="F33" s="79">
        <f>IF(OR(D33="",E33=""),"",IF(D33=0,0,E33/D33))</f>
        <v>3.4482758620689655E-2</v>
      </c>
      <c r="G33" s="71" t="s">
        <v>4919</v>
      </c>
      <c r="H33" s="73">
        <v>6</v>
      </c>
      <c r="I33" s="79">
        <f>IF(OR(D33="",H33=""),"",IF(D33=0,0,H33/D33))</f>
        <v>0.20689655172413793</v>
      </c>
      <c r="J33" s="71" t="s">
        <v>1522</v>
      </c>
    </row>
    <row r="34" spans="1:10" ht="60" customHeight="1">
      <c r="A34" s="71" t="s">
        <v>1535</v>
      </c>
      <c r="B34" s="71" t="s">
        <v>4929</v>
      </c>
      <c r="C34" s="71" t="s">
        <v>4940</v>
      </c>
      <c r="D34" s="73">
        <v>29</v>
      </c>
      <c r="E34" s="73">
        <v>1</v>
      </c>
      <c r="F34" s="79">
        <f>IF(OR(D34="",E34=""),"",IF(D34=0,0,E34/D34))</f>
        <v>3.4482758620689655E-2</v>
      </c>
      <c r="G34" s="71" t="s">
        <v>4919</v>
      </c>
      <c r="H34" s="73">
        <v>6</v>
      </c>
      <c r="I34" s="79">
        <f>IF(OR(D34="",H34=""),"",IF(D34=0,0,H34/D34))</f>
        <v>0.20689655172413793</v>
      </c>
      <c r="J34" s="71" t="s">
        <v>1522</v>
      </c>
    </row>
    <row r="35" spans="1:10" ht="60" customHeight="1">
      <c r="A35" s="71" t="s">
        <v>1539</v>
      </c>
      <c r="B35" s="71" t="s">
        <v>4929</v>
      </c>
      <c r="C35" s="71" t="s">
        <v>997</v>
      </c>
      <c r="D35" s="73">
        <v>29</v>
      </c>
      <c r="E35" s="73">
        <v>2</v>
      </c>
      <c r="F35" s="79">
        <f>IF(OR(D35="",E35=""),"",IF(D35=0,0,E35/D35))</f>
        <v>6.8965517241379309E-2</v>
      </c>
      <c r="G35" s="71" t="s">
        <v>4919</v>
      </c>
      <c r="H35" s="73">
        <v>6</v>
      </c>
      <c r="I35" s="79">
        <f>IF(OR(D35="",H35=""),"",IF(D35=0,0,H35/D35))</f>
        <v>0.20689655172413793</v>
      </c>
      <c r="J35" s="71" t="s">
        <v>1542</v>
      </c>
    </row>
    <row r="36" spans="1:10" ht="60" customHeight="1">
      <c r="A36" s="71" t="s">
        <v>1544</v>
      </c>
      <c r="B36" s="71" t="s">
        <v>4929</v>
      </c>
      <c r="C36" s="71" t="s">
        <v>997</v>
      </c>
      <c r="D36" s="73">
        <v>29</v>
      </c>
      <c r="E36" s="73">
        <v>2</v>
      </c>
      <c r="F36" s="79">
        <f>IF(OR(D36="",E36=""),"",IF(D36=0,0,E36/D36))</f>
        <v>6.8965517241379309E-2</v>
      </c>
      <c r="G36" s="71" t="s">
        <v>4919</v>
      </c>
      <c r="H36" s="73">
        <v>6</v>
      </c>
      <c r="I36" s="79">
        <f>IF(OR(D36="",H36=""),"",IF(D36=0,0,H36/D36))</f>
        <v>0.20689655172413793</v>
      </c>
      <c r="J36" s="71" t="s">
        <v>1542</v>
      </c>
    </row>
    <row r="37" spans="1:10" ht="60" customHeight="1">
      <c r="A37" s="71" t="s">
        <v>1549</v>
      </c>
      <c r="B37" s="71" t="s">
        <v>4929</v>
      </c>
      <c r="C37" s="71" t="s">
        <v>997</v>
      </c>
      <c r="D37" s="73">
        <v>29</v>
      </c>
      <c r="E37" s="73">
        <v>2</v>
      </c>
      <c r="F37" s="79">
        <f>IF(OR(D37="",E37=""),"",IF(D37=0,0,E37/D37))</f>
        <v>6.8965517241379309E-2</v>
      </c>
      <c r="G37" s="71" t="s">
        <v>4919</v>
      </c>
      <c r="H37" s="73">
        <v>6</v>
      </c>
      <c r="I37" s="79">
        <f>IF(OR(D37="",H37=""),"",IF(D37=0,0,H37/D37))</f>
        <v>0.20689655172413793</v>
      </c>
      <c r="J37" s="71" t="s">
        <v>1542</v>
      </c>
    </row>
    <row r="38" spans="1:10" ht="60" customHeight="1">
      <c r="A38" s="71" t="s">
        <v>1554</v>
      </c>
      <c r="B38" s="71" t="s">
        <v>4929</v>
      </c>
      <c r="C38" s="71" t="s">
        <v>997</v>
      </c>
      <c r="D38" s="73">
        <v>29</v>
      </c>
      <c r="E38" s="73">
        <v>2</v>
      </c>
      <c r="F38" s="79">
        <f>IF(OR(D38="",E38=""),"",IF(D38=0,0,E38/D38))</f>
        <v>6.8965517241379309E-2</v>
      </c>
      <c r="G38" s="71" t="s">
        <v>4919</v>
      </c>
      <c r="H38" s="73">
        <v>6</v>
      </c>
      <c r="I38" s="79">
        <f>IF(OR(D38="",H38=""),"",IF(D38=0,0,H38/D38))</f>
        <v>0.20689655172413793</v>
      </c>
      <c r="J38" s="71" t="s">
        <v>1542</v>
      </c>
    </row>
    <row r="39" spans="1:10" ht="60" customHeight="1">
      <c r="A39" s="71" t="s">
        <v>1558</v>
      </c>
      <c r="B39" s="71" t="s">
        <v>4929</v>
      </c>
      <c r="C39" s="71" t="s">
        <v>4942</v>
      </c>
      <c r="D39" s="73">
        <v>29</v>
      </c>
      <c r="E39" s="73">
        <v>0</v>
      </c>
      <c r="F39" s="79">
        <f>IF(OR(D39="",E39=""),"",IF(D39=0,0,E39/D39))</f>
        <v>0</v>
      </c>
      <c r="G39" s="71" t="s">
        <v>4919</v>
      </c>
      <c r="H39" s="73">
        <v>6</v>
      </c>
      <c r="I39" s="79">
        <f>IF(OR(D39="",H39=""),"",IF(D39=0,0,H39/D39))</f>
        <v>0.20689655172413793</v>
      </c>
      <c r="J39" s="71" t="s">
        <v>1121</v>
      </c>
    </row>
    <row r="40" spans="1:10" ht="60" customHeight="1">
      <c r="A40" s="71" t="s">
        <v>1562</v>
      </c>
      <c r="B40" s="71" t="s">
        <v>4929</v>
      </c>
      <c r="C40" s="71" t="s">
        <v>4942</v>
      </c>
      <c r="D40" s="73">
        <v>29</v>
      </c>
      <c r="E40" s="73">
        <v>0</v>
      </c>
      <c r="F40" s="79">
        <f>IF(OR(D40="",E40=""),"",IF(D40=0,0,E40/D40))</f>
        <v>0</v>
      </c>
      <c r="G40" s="71" t="s">
        <v>4919</v>
      </c>
      <c r="H40" s="73">
        <v>6</v>
      </c>
      <c r="I40" s="79">
        <f>IF(OR(D40="",H40=""),"",IF(D40=0,0,H40/D40))</f>
        <v>0.20689655172413793</v>
      </c>
      <c r="J40" s="71" t="s">
        <v>1121</v>
      </c>
    </row>
    <row r="41" spans="1:10" ht="60" customHeight="1">
      <c r="A41" s="71" t="s">
        <v>1566</v>
      </c>
      <c r="B41" s="71" t="s">
        <v>4929</v>
      </c>
      <c r="C41" s="71" t="s">
        <v>4943</v>
      </c>
      <c r="D41" s="73">
        <v>29</v>
      </c>
      <c r="E41" s="73">
        <v>0</v>
      </c>
      <c r="F41" s="79">
        <f>IF(OR(D41="",E41=""),"",IF(D41=0,0,E41/D41))</f>
        <v>0</v>
      </c>
      <c r="G41" s="71" t="s">
        <v>4919</v>
      </c>
      <c r="H41" s="73">
        <v>6</v>
      </c>
      <c r="I41" s="79">
        <f>IF(OR(D41="",H41=""),"",IF(D41=0,0,H41/D41))</f>
        <v>0.20689655172413793</v>
      </c>
      <c r="J41" s="71" t="s">
        <v>1121</v>
      </c>
    </row>
    <row r="42" spans="1:10" ht="60" customHeight="1">
      <c r="A42" s="71" t="s">
        <v>1571</v>
      </c>
      <c r="B42" s="71" t="s">
        <v>4929</v>
      </c>
      <c r="C42" s="71" t="s">
        <v>4943</v>
      </c>
      <c r="D42" s="73">
        <v>29</v>
      </c>
      <c r="E42" s="73">
        <v>0</v>
      </c>
      <c r="F42" s="79">
        <f>IF(OR(D42="",E42=""),"",IF(D42=0,0,E42/D42))</f>
        <v>0</v>
      </c>
      <c r="G42" s="71" t="s">
        <v>4919</v>
      </c>
      <c r="H42" s="73">
        <v>6</v>
      </c>
      <c r="I42" s="79">
        <f>IF(OR(D42="",H42=""),"",IF(D42=0,0,H42/D42))</f>
        <v>0.20689655172413793</v>
      </c>
      <c r="J42" s="71" t="s">
        <v>1121</v>
      </c>
    </row>
    <row r="43" spans="1:10" ht="60" customHeight="1">
      <c r="A43" s="71" t="s">
        <v>1581</v>
      </c>
      <c r="B43" s="71" t="s">
        <v>4929</v>
      </c>
      <c r="C43" s="71" t="s">
        <v>4943</v>
      </c>
      <c r="D43" s="73">
        <v>29</v>
      </c>
      <c r="E43" s="73">
        <v>0</v>
      </c>
      <c r="F43" s="79">
        <f>IF(OR(D43="",E43=""),"",IF(D43=0,0,E43/D43))</f>
        <v>0</v>
      </c>
      <c r="G43" s="71" t="s">
        <v>4919</v>
      </c>
      <c r="H43" s="73">
        <v>6</v>
      </c>
      <c r="I43" s="79">
        <f>IF(OR(D43="",H43=""),"",IF(D43=0,0,H43/D43))</f>
        <v>0.20689655172413793</v>
      </c>
      <c r="J43" s="71" t="s">
        <v>1121</v>
      </c>
    </row>
    <row r="44" spans="1:10" ht="60" customHeight="1">
      <c r="A44" s="71" t="s">
        <v>1586</v>
      </c>
      <c r="B44" s="71" t="s">
        <v>4929</v>
      </c>
      <c r="C44" s="71" t="s">
        <v>4943</v>
      </c>
      <c r="D44" s="73">
        <v>29</v>
      </c>
      <c r="E44" s="73">
        <v>0</v>
      </c>
      <c r="F44" s="79">
        <f>IF(OR(D44="",E44=""),"",IF(D44=0,0,E44/D44))</f>
        <v>0</v>
      </c>
      <c r="G44" s="71" t="s">
        <v>4919</v>
      </c>
      <c r="H44" s="73">
        <v>6</v>
      </c>
      <c r="I44" s="79">
        <f>IF(OR(D44="",H44=""),"",IF(D44=0,0,H44/D44))</f>
        <v>0.20689655172413793</v>
      </c>
      <c r="J44" s="71" t="s">
        <v>1121</v>
      </c>
    </row>
    <row r="45" spans="1:10" ht="60" customHeight="1">
      <c r="A45" s="71" t="s">
        <v>1591</v>
      </c>
      <c r="B45" s="71" t="s">
        <v>4929</v>
      </c>
      <c r="C45" s="71" t="s">
        <v>4944</v>
      </c>
      <c r="D45" s="73">
        <v>29</v>
      </c>
      <c r="E45" s="73">
        <v>0</v>
      </c>
      <c r="F45" s="79">
        <f>IF(OR(D45="",E45=""),"",IF(D45=0,0,E45/D45))</f>
        <v>0</v>
      </c>
      <c r="G45" s="71" t="s">
        <v>4919</v>
      </c>
      <c r="H45" s="73">
        <v>6</v>
      </c>
      <c r="I45" s="79">
        <f>IF(OR(D45="",H45=""),"",IF(D45=0,0,H45/D45))</f>
        <v>0.20689655172413793</v>
      </c>
      <c r="J45" s="71" t="s">
        <v>1121</v>
      </c>
    </row>
    <row r="46" spans="1:10" ht="60" customHeight="1">
      <c r="A46" s="71" t="s">
        <v>1595</v>
      </c>
      <c r="B46" s="71" t="s">
        <v>4929</v>
      </c>
      <c r="C46" s="71" t="s">
        <v>4932</v>
      </c>
      <c r="D46" s="73">
        <v>29</v>
      </c>
      <c r="E46" s="73">
        <v>0</v>
      </c>
      <c r="F46" s="79">
        <f>IF(OR(D46="",E46=""),"",IF(D46=0,0,E46/D46))</f>
        <v>0</v>
      </c>
      <c r="G46" s="71" t="s">
        <v>4919</v>
      </c>
      <c r="H46" s="73">
        <v>6</v>
      </c>
      <c r="I46" s="79">
        <f>IF(OR(D46="",H46=""),"",IF(D46=0,0,H46/D46))</f>
        <v>0.20689655172413793</v>
      </c>
      <c r="J46" s="71" t="s">
        <v>1121</v>
      </c>
    </row>
    <row r="47" spans="1:10" ht="60" customHeight="1">
      <c r="A47" s="71" t="s">
        <v>1599</v>
      </c>
      <c r="B47" s="71" t="s">
        <v>4929</v>
      </c>
      <c r="C47" s="71" t="s">
        <v>4932</v>
      </c>
      <c r="D47" s="73">
        <v>29</v>
      </c>
      <c r="E47" s="73">
        <v>0</v>
      </c>
      <c r="F47" s="79">
        <f>IF(OR(D47="",E47=""),"",IF(D47=0,0,E47/D47))</f>
        <v>0</v>
      </c>
      <c r="G47" s="71" t="s">
        <v>4919</v>
      </c>
      <c r="H47" s="73">
        <v>6</v>
      </c>
      <c r="I47" s="79">
        <f>IF(OR(D47="",H47=""),"",IF(D47=0,0,H47/D47))</f>
        <v>0.20689655172413793</v>
      </c>
      <c r="J47" s="71" t="s">
        <v>1121</v>
      </c>
    </row>
    <row r="48" spans="1:10" ht="60" customHeight="1">
      <c r="A48" s="71" t="s">
        <v>1408</v>
      </c>
      <c r="B48" s="71" t="s">
        <v>4929</v>
      </c>
      <c r="C48" s="71" t="s">
        <v>4943</v>
      </c>
      <c r="D48" s="73">
        <v>29</v>
      </c>
      <c r="E48" s="73">
        <v>0</v>
      </c>
      <c r="F48" s="79">
        <f>IF(OR(D48="",E48=""),"",IF(D48=0,0,E48/D48))</f>
        <v>0</v>
      </c>
      <c r="G48" s="71" t="s">
        <v>4919</v>
      </c>
      <c r="H48" s="73">
        <v>6</v>
      </c>
      <c r="I48" s="79">
        <f>IF(OR(D48="",H48=""),"",IF(D48=0,0,H48/D48))</f>
        <v>0.20689655172413793</v>
      </c>
      <c r="J48" s="71" t="s">
        <v>1121</v>
      </c>
    </row>
    <row r="49" spans="1:10" ht="60" customHeight="1">
      <c r="A49" s="71" t="s">
        <v>1605</v>
      </c>
      <c r="B49" s="71" t="s">
        <v>4929</v>
      </c>
      <c r="C49" s="71" t="s">
        <v>4943</v>
      </c>
      <c r="D49" s="73">
        <v>29</v>
      </c>
      <c r="E49" s="73">
        <v>0</v>
      </c>
      <c r="F49" s="79">
        <f>IF(OR(D49="",E49=""),"",IF(D49=0,0,E49/D49))</f>
        <v>0</v>
      </c>
      <c r="G49" s="71" t="s">
        <v>4919</v>
      </c>
      <c r="H49" s="73">
        <v>6</v>
      </c>
      <c r="I49" s="79">
        <f>IF(OR(D49="",H49=""),"",IF(D49=0,0,H49/D49))</f>
        <v>0.20689655172413793</v>
      </c>
      <c r="J49" s="71" t="s">
        <v>1121</v>
      </c>
    </row>
    <row r="50" spans="1:10" ht="60" customHeight="1">
      <c r="A50" s="71" t="s">
        <v>1609</v>
      </c>
      <c r="B50" s="71" t="s">
        <v>4929</v>
      </c>
      <c r="C50" s="71" t="s">
        <v>4945</v>
      </c>
      <c r="D50" s="73">
        <v>29</v>
      </c>
      <c r="E50" s="73">
        <v>0</v>
      </c>
      <c r="F50" s="79">
        <f>IF(OR(D50="",E50=""),"",IF(D50=0,0,E50/D50))</f>
        <v>0</v>
      </c>
      <c r="G50" s="71" t="s">
        <v>4919</v>
      </c>
      <c r="H50" s="73">
        <v>6</v>
      </c>
      <c r="I50" s="79">
        <f>IF(OR(D50="",H50=""),"",IF(D50=0,0,H50/D50))</f>
        <v>0.20689655172413793</v>
      </c>
      <c r="J50" s="71" t="s">
        <v>1121</v>
      </c>
    </row>
    <row r="51" spans="1:10" ht="60" customHeight="1">
      <c r="A51" s="71" t="s">
        <v>1613</v>
      </c>
      <c r="B51" s="71" t="s">
        <v>4929</v>
      </c>
      <c r="C51" s="71" t="s">
        <v>4945</v>
      </c>
      <c r="D51" s="73">
        <v>29</v>
      </c>
      <c r="E51" s="73">
        <v>0</v>
      </c>
      <c r="F51" s="79">
        <f>IF(OR(D51="",E51=""),"",IF(D51=0,0,E51/D51))</f>
        <v>0</v>
      </c>
      <c r="G51" s="71" t="s">
        <v>4919</v>
      </c>
      <c r="H51" s="73">
        <v>6</v>
      </c>
      <c r="I51" s="79">
        <f>IF(OR(D51="",H51=""),"",IF(D51=0,0,H51/D51))</f>
        <v>0.20689655172413793</v>
      </c>
      <c r="J51" s="71" t="s">
        <v>1121</v>
      </c>
    </row>
    <row r="52" spans="1:10" ht="60" customHeight="1">
      <c r="A52" s="71" t="s">
        <v>1617</v>
      </c>
      <c r="B52" s="71" t="s">
        <v>4929</v>
      </c>
      <c r="C52" s="71" t="s">
        <v>4943</v>
      </c>
      <c r="D52" s="73">
        <v>29</v>
      </c>
      <c r="E52" s="73">
        <v>0</v>
      </c>
      <c r="F52" s="79">
        <f>IF(OR(D52="",E52=""),"",IF(D52=0,0,E52/D52))</f>
        <v>0</v>
      </c>
      <c r="G52" s="71" t="s">
        <v>4919</v>
      </c>
      <c r="H52" s="73">
        <v>6</v>
      </c>
      <c r="I52" s="79">
        <f>IF(OR(D52="",H52=""),"",IF(D52=0,0,H52/D52))</f>
        <v>0.20689655172413793</v>
      </c>
      <c r="J52" s="71" t="s">
        <v>1121</v>
      </c>
    </row>
    <row r="53" spans="1:10" ht="60" customHeight="1">
      <c r="A53" s="71" t="s">
        <v>1621</v>
      </c>
      <c r="B53" s="71" t="s">
        <v>4929</v>
      </c>
      <c r="C53" s="71" t="s">
        <v>4946</v>
      </c>
      <c r="D53" s="73">
        <v>29</v>
      </c>
      <c r="E53" s="73">
        <v>0</v>
      </c>
      <c r="F53" s="79">
        <f>IF(OR(D53="",E53=""),"",IF(D53=0,0,E53/D53))</f>
        <v>0</v>
      </c>
      <c r="G53" s="71" t="s">
        <v>4919</v>
      </c>
      <c r="H53" s="73">
        <v>6</v>
      </c>
      <c r="I53" s="79">
        <f>IF(OR(D53="",H53=""),"",IF(D53=0,0,H53/D53))</f>
        <v>0.20689655172413793</v>
      </c>
      <c r="J53" s="71" t="s">
        <v>1121</v>
      </c>
    </row>
    <row r="54" spans="1:10" ht="60" customHeight="1">
      <c r="A54" s="71" t="s">
        <v>1625</v>
      </c>
      <c r="B54" s="71" t="s">
        <v>4929</v>
      </c>
      <c r="C54" s="71" t="s">
        <v>4945</v>
      </c>
      <c r="D54" s="73">
        <v>29</v>
      </c>
      <c r="E54" s="73">
        <v>0</v>
      </c>
      <c r="F54" s="79">
        <f>IF(OR(D54="",E54=""),"",IF(D54=0,0,E54/D54))</f>
        <v>0</v>
      </c>
      <c r="G54" s="71" t="s">
        <v>4919</v>
      </c>
      <c r="H54" s="73">
        <v>6</v>
      </c>
      <c r="I54" s="79">
        <f>IF(OR(D54="",H54=""),"",IF(D54=0,0,H54/D54))</f>
        <v>0.20689655172413793</v>
      </c>
      <c r="J54" s="71" t="s">
        <v>1121</v>
      </c>
    </row>
    <row r="55" spans="1:10" ht="60" customHeight="1">
      <c r="A55" s="71" t="s">
        <v>1629</v>
      </c>
      <c r="B55" s="71" t="s">
        <v>4929</v>
      </c>
      <c r="C55" s="71" t="s">
        <v>4947</v>
      </c>
      <c r="D55" s="73">
        <v>29</v>
      </c>
      <c r="E55" s="73">
        <v>0</v>
      </c>
      <c r="F55" s="79">
        <f>IF(OR(D55="",E55=""),"",IF(D55=0,0,E55/D55))</f>
        <v>0</v>
      </c>
      <c r="G55" s="71" t="s">
        <v>4919</v>
      </c>
      <c r="H55" s="73">
        <v>6</v>
      </c>
      <c r="I55" s="79">
        <f>IF(OR(D55="",H55=""),"",IF(D55=0,0,H55/D55))</f>
        <v>0.20689655172413793</v>
      </c>
      <c r="J55" s="71" t="s">
        <v>1121</v>
      </c>
    </row>
    <row r="56" spans="1:10" ht="60" customHeight="1">
      <c r="A56" s="71" t="s">
        <v>1785</v>
      </c>
      <c r="B56" s="71" t="s">
        <v>4948</v>
      </c>
      <c r="C56" s="71" t="s">
        <v>4949</v>
      </c>
      <c r="D56" s="73">
        <v>1042</v>
      </c>
      <c r="E56" s="73">
        <v>0</v>
      </c>
      <c r="F56" s="79">
        <f>IF(OR(D56="",E56=""),"",IF(D56=0,0,E56/D56))</f>
        <v>0</v>
      </c>
      <c r="G56" s="71" t="s">
        <v>4950</v>
      </c>
      <c r="H56" s="73">
        <v>40</v>
      </c>
      <c r="I56" s="79">
        <f>IF(OR(D56="",H56=""),"",IF(D56=0,0,H56/D56))</f>
        <v>3.8387715930902108E-2</v>
      </c>
      <c r="J56" s="71" t="s">
        <v>1799</v>
      </c>
    </row>
    <row r="57" spans="1:10" ht="60" customHeight="1">
      <c r="A57" s="71" t="s">
        <v>1837</v>
      </c>
      <c r="B57" s="71" t="s">
        <v>4951</v>
      </c>
      <c r="C57" s="71" t="s">
        <v>4952</v>
      </c>
      <c r="D57" s="73">
        <v>1910</v>
      </c>
      <c r="E57" s="73">
        <v>10</v>
      </c>
      <c r="F57" s="79">
        <f>IF(OR(D57="",E57=""),"",IF(D57=0,0,E57/D57))</f>
        <v>5.235602094240838E-3</v>
      </c>
      <c r="G57" s="71" t="s">
        <v>4953</v>
      </c>
      <c r="H57" s="73">
        <v>231</v>
      </c>
      <c r="I57" s="79">
        <f>IF(OR(D57="",H57=""),"",IF(D57=0,0,H57/D57))</f>
        <v>0.12094240837696335</v>
      </c>
      <c r="J57" s="71" t="s">
        <v>1848</v>
      </c>
    </row>
    <row r="58" spans="1:10" ht="60" customHeight="1">
      <c r="A58" s="71" t="s">
        <v>1852</v>
      </c>
      <c r="B58" s="71" t="s">
        <v>4951</v>
      </c>
      <c r="C58" s="71" t="s">
        <v>4954</v>
      </c>
      <c r="D58" s="73">
        <v>1910</v>
      </c>
      <c r="E58" s="73">
        <v>0</v>
      </c>
      <c r="F58" s="79">
        <f>IF(OR(D58="",E58=""),"",IF(D58=0,0,E58/D58))</f>
        <v>0</v>
      </c>
      <c r="G58" s="71" t="s">
        <v>4953</v>
      </c>
      <c r="H58" s="73">
        <v>231</v>
      </c>
      <c r="I58" s="79">
        <f>IF(OR(D58="",H58=""),"",IF(D58=0,0,H58/D58))</f>
        <v>0.12094240837696335</v>
      </c>
      <c r="J58" s="71" t="s">
        <v>1857</v>
      </c>
    </row>
    <row r="59" spans="1:10" ht="60" customHeight="1">
      <c r="A59" s="71" t="s">
        <v>1860</v>
      </c>
      <c r="B59" s="71" t="s">
        <v>4951</v>
      </c>
      <c r="C59" s="71" t="s">
        <v>4954</v>
      </c>
      <c r="D59" s="73">
        <v>1910</v>
      </c>
      <c r="E59" s="73">
        <v>0</v>
      </c>
      <c r="F59" s="79">
        <f>IF(OR(D59="",E59=""),"",IF(D59=0,0,E59/D59))</f>
        <v>0</v>
      </c>
      <c r="G59" s="71" t="s">
        <v>4953</v>
      </c>
      <c r="H59" s="73">
        <v>231</v>
      </c>
      <c r="I59" s="79">
        <f>IF(OR(D59="",H59=""),"",IF(D59=0,0,H59/D59))</f>
        <v>0.12094240837696335</v>
      </c>
      <c r="J59" s="71" t="s">
        <v>1857</v>
      </c>
    </row>
    <row r="60" spans="1:10" ht="60" customHeight="1">
      <c r="A60" s="71" t="s">
        <v>1865</v>
      </c>
      <c r="B60" s="71" t="s">
        <v>4951</v>
      </c>
      <c r="C60" s="71" t="s">
        <v>4954</v>
      </c>
      <c r="D60" s="73">
        <v>1910</v>
      </c>
      <c r="E60" s="73">
        <v>0</v>
      </c>
      <c r="F60" s="79">
        <f>IF(OR(D60="",E60=""),"",IF(D60=0,0,E60/D60))</f>
        <v>0</v>
      </c>
      <c r="G60" s="71" t="s">
        <v>4953</v>
      </c>
      <c r="H60" s="73">
        <v>231</v>
      </c>
      <c r="I60" s="79">
        <f>IF(OR(D60="",H60=""),"",IF(D60=0,0,H60/D60))</f>
        <v>0.12094240837696335</v>
      </c>
      <c r="J60" s="71" t="s">
        <v>1857</v>
      </c>
    </row>
    <row r="61" spans="1:10" ht="60" customHeight="1">
      <c r="A61" s="71" t="s">
        <v>1990</v>
      </c>
      <c r="B61" s="71" t="s">
        <v>4955</v>
      </c>
      <c r="C61" s="71" t="s">
        <v>4956</v>
      </c>
      <c r="D61" s="73">
        <v>269</v>
      </c>
      <c r="E61" s="73">
        <v>34</v>
      </c>
      <c r="F61" s="79">
        <f>IF(OR(D61="",E61=""),"",IF(D61=0,0,E61/D61))</f>
        <v>0.12639405204460966</v>
      </c>
      <c r="G61" s="71" t="s">
        <v>4940</v>
      </c>
      <c r="H61" s="73">
        <v>167</v>
      </c>
      <c r="I61" s="79">
        <f>IF(OR(D61="",H61=""),"",IF(D61=0,0,H61/D61))</f>
        <v>0.620817843866171</v>
      </c>
      <c r="J61" s="71" t="s">
        <v>2000</v>
      </c>
    </row>
    <row r="62" spans="1:10" ht="60" customHeight="1">
      <c r="A62" s="71" t="s">
        <v>2311</v>
      </c>
      <c r="B62" s="71" t="s">
        <v>4957</v>
      </c>
      <c r="C62" s="71" t="s">
        <v>4958</v>
      </c>
      <c r="D62" s="73">
        <v>628</v>
      </c>
      <c r="E62" s="73">
        <v>5</v>
      </c>
      <c r="F62" s="79">
        <f>IF(OR(D62="",E62=""),"",IF(D62=0,0,E62/D62))</f>
        <v>7.9617834394904458E-3</v>
      </c>
      <c r="G62" s="71" t="s">
        <v>4959</v>
      </c>
      <c r="H62" s="73">
        <v>58</v>
      </c>
      <c r="I62" s="79">
        <f>IF(OR(D62="",H62=""),"",IF(D62=0,0,H62/D62))</f>
        <v>9.2356687898089165E-2</v>
      </c>
      <c r="J62" s="71" t="s">
        <v>2317</v>
      </c>
    </row>
    <row r="63" spans="1:10" ht="60" customHeight="1">
      <c r="A63" s="71" t="s">
        <v>2475</v>
      </c>
      <c r="B63" s="71" t="s">
        <v>4960</v>
      </c>
      <c r="C63" s="71" t="s">
        <v>4938</v>
      </c>
      <c r="D63" s="73">
        <v>91</v>
      </c>
      <c r="E63" s="73">
        <v>57</v>
      </c>
      <c r="F63" s="79">
        <f>IF(OR(D63="",E63=""),"",IF(D63=0,0,E63/D63))</f>
        <v>0.62637362637362637</v>
      </c>
      <c r="G63" s="71" t="s">
        <v>4938</v>
      </c>
      <c r="H63" s="73">
        <v>57</v>
      </c>
      <c r="I63" s="79">
        <f>IF(OR(D63="",H63=""),"",IF(D63=0,0,H63/D63))</f>
        <v>0.62637362637362637</v>
      </c>
      <c r="J63" s="71" t="s">
        <v>2486</v>
      </c>
    </row>
    <row r="64" spans="1:10" ht="60" customHeight="1">
      <c r="A64" s="71" t="s">
        <v>2488</v>
      </c>
      <c r="B64" s="71" t="s">
        <v>4961</v>
      </c>
      <c r="C64" s="71" t="s">
        <v>4962</v>
      </c>
      <c r="D64" s="73">
        <v>24</v>
      </c>
      <c r="E64" s="73">
        <v>1</v>
      </c>
      <c r="F64" s="79">
        <f>IF(OR(D64="",E64=""),"",IF(D64=0,0,E64/D64))</f>
        <v>4.1666666666666664E-2</v>
      </c>
      <c r="G64" s="71" t="s">
        <v>4963</v>
      </c>
      <c r="H64" s="73">
        <v>9</v>
      </c>
      <c r="I64" s="79">
        <f>IF(OR(D64="",H64=""),"",IF(D64=0,0,H64/D64))</f>
        <v>0.375</v>
      </c>
      <c r="J64" s="71" t="s">
        <v>2494</v>
      </c>
    </row>
    <row r="65" spans="1:10" ht="60" customHeight="1">
      <c r="A65" s="71" t="s">
        <v>2523</v>
      </c>
      <c r="B65" s="71" t="s">
        <v>4964</v>
      </c>
      <c r="C65" s="71" t="s">
        <v>4921</v>
      </c>
      <c r="D65" s="73">
        <v>77</v>
      </c>
      <c r="E65" s="73">
        <v>5</v>
      </c>
      <c r="F65" s="79">
        <f>IF(OR(D65="",E65=""),"",IF(D65=0,0,E65/D65))</f>
        <v>6.4935064935064929E-2</v>
      </c>
      <c r="G65" s="71" t="s">
        <v>4965</v>
      </c>
      <c r="H65" s="73">
        <v>14</v>
      </c>
      <c r="I65" s="79">
        <f>IF(OR(D65="",H65=""),"",IF(D65=0,0,H65/D65))</f>
        <v>0.18181818181818182</v>
      </c>
      <c r="J65" s="71" t="s">
        <v>2531</v>
      </c>
    </row>
    <row r="66" spans="1:10" ht="60" customHeight="1">
      <c r="A66" s="71" t="s">
        <v>2544</v>
      </c>
      <c r="B66" s="71" t="s">
        <v>4966</v>
      </c>
      <c r="C66" s="71" t="s">
        <v>4967</v>
      </c>
      <c r="D66" s="73">
        <v>427</v>
      </c>
      <c r="E66" s="73">
        <v>238</v>
      </c>
      <c r="F66" s="79">
        <f>IF(OR(D66="",E66=""),"",IF(D66=0,0,E66/D66))</f>
        <v>0.55737704918032782</v>
      </c>
      <c r="G66" s="71" t="s">
        <v>4967</v>
      </c>
      <c r="H66" s="73">
        <v>238</v>
      </c>
      <c r="I66" s="79">
        <f>IF(OR(D66="",H66=""),"",IF(D66=0,0,H66/D66))</f>
        <v>0.55737704918032782</v>
      </c>
      <c r="J66" s="71" t="s">
        <v>2552</v>
      </c>
    </row>
    <row r="67" spans="1:10" ht="60" customHeight="1">
      <c r="A67" s="71" t="s">
        <v>2554</v>
      </c>
      <c r="B67" s="71" t="s">
        <v>4968</v>
      </c>
      <c r="C67" s="71" t="s">
        <v>4932</v>
      </c>
      <c r="D67" s="73">
        <v>1274</v>
      </c>
      <c r="E67" s="73">
        <v>59</v>
      </c>
      <c r="F67" s="79">
        <f>IF(OR(D67="",E67=""),"",IF(D67=0,0,E67/D67))</f>
        <v>4.6310832025117737E-2</v>
      </c>
      <c r="G67" s="71" t="s">
        <v>997</v>
      </c>
      <c r="H67" s="73">
        <v>1203</v>
      </c>
      <c r="I67" s="79">
        <f>IF(OR(D67="",H67=""),"",IF(D67=0,0,H67/D67))</f>
        <v>0.94427001569858715</v>
      </c>
      <c r="J67" s="71" t="s">
        <v>2561</v>
      </c>
    </row>
    <row r="68" spans="1:10" ht="60" customHeight="1">
      <c r="A68" s="71" t="s">
        <v>2595</v>
      </c>
      <c r="B68" s="71" t="s">
        <v>4948</v>
      </c>
      <c r="C68" s="71" t="s">
        <v>4969</v>
      </c>
      <c r="D68" s="73">
        <v>1042</v>
      </c>
      <c r="E68" s="73">
        <v>32</v>
      </c>
      <c r="F68" s="79">
        <f>IF(OR(D68="",E68=""),"",IF(D68=0,0,E68/D68))</f>
        <v>3.0710172744721688E-2</v>
      </c>
      <c r="G68" s="71" t="s">
        <v>4950</v>
      </c>
      <c r="H68" s="73">
        <v>40</v>
      </c>
      <c r="I68" s="79">
        <f>IF(OR(D68="",H68=""),"",IF(D68=0,0,H68/D68))</f>
        <v>3.8387715930902108E-2</v>
      </c>
      <c r="J68" s="71" t="s">
        <v>2603</v>
      </c>
    </row>
    <row r="69" spans="1:10" ht="60" customHeight="1">
      <c r="A69" s="71" t="s">
        <v>2607</v>
      </c>
      <c r="B69" s="71" t="s">
        <v>4948</v>
      </c>
      <c r="C69" s="71" t="s">
        <v>4947</v>
      </c>
      <c r="D69" s="73">
        <v>1042</v>
      </c>
      <c r="E69" s="73">
        <v>1</v>
      </c>
      <c r="F69" s="79">
        <f>IF(OR(D69="",E69=""),"",IF(D69=0,0,E69/D69))</f>
        <v>9.5969289827255275E-4</v>
      </c>
      <c r="G69" s="71" t="s">
        <v>4950</v>
      </c>
      <c r="H69" s="73">
        <v>40</v>
      </c>
      <c r="I69" s="79">
        <f>IF(OR(D69="",H69=""),"",IF(D69=0,0,H69/D69))</f>
        <v>3.8387715930902108E-2</v>
      </c>
      <c r="J69" s="71" t="s">
        <v>2611</v>
      </c>
    </row>
    <row r="70" spans="1:10" ht="60" customHeight="1">
      <c r="A70" s="71" t="s">
        <v>2613</v>
      </c>
      <c r="B70" s="71" t="s">
        <v>4970</v>
      </c>
      <c r="C70" s="71" t="s">
        <v>4971</v>
      </c>
      <c r="D70" s="73">
        <v>99</v>
      </c>
      <c r="E70" s="73">
        <v>0</v>
      </c>
      <c r="F70" s="79">
        <f>IF(OR(D70="",E70=""),"",IF(D70=0,0,E70/D70))</f>
        <v>0</v>
      </c>
      <c r="G70" s="71" t="s">
        <v>4972</v>
      </c>
      <c r="H70" s="73">
        <v>33</v>
      </c>
      <c r="I70" s="79">
        <f>IF(OR(D70="",H70=""),"",IF(D70=0,0,H70/D70))</f>
        <v>0.33333333333333331</v>
      </c>
      <c r="J70" s="71" t="s">
        <v>2623</v>
      </c>
    </row>
    <row r="71" spans="1:10" ht="60" customHeight="1">
      <c r="A71" s="71" t="s">
        <v>2625</v>
      </c>
      <c r="B71" s="71" t="s">
        <v>4970</v>
      </c>
      <c r="C71" s="71" t="s">
        <v>4972</v>
      </c>
      <c r="D71" s="73">
        <v>99</v>
      </c>
      <c r="E71" s="73">
        <v>33</v>
      </c>
      <c r="F71" s="79">
        <f>IF(OR(D71="",E71=""),"",IF(D71=0,0,E71/D71))</f>
        <v>0.33333333333333331</v>
      </c>
      <c r="G71" s="71" t="s">
        <v>4972</v>
      </c>
      <c r="H71" s="73">
        <v>33</v>
      </c>
      <c r="I71" s="79">
        <f>IF(OR(D71="",H71=""),"",IF(D71=0,0,H71/D71))</f>
        <v>0.33333333333333331</v>
      </c>
      <c r="J71" s="71" t="s">
        <v>2632</v>
      </c>
    </row>
    <row r="72" spans="1:10" ht="60" customHeight="1">
      <c r="A72" s="71" t="s">
        <v>2639</v>
      </c>
      <c r="B72" s="71" t="s">
        <v>4973</v>
      </c>
      <c r="C72" s="71" t="s">
        <v>4932</v>
      </c>
      <c r="D72" s="73">
        <v>866</v>
      </c>
      <c r="E72" s="73">
        <v>681</v>
      </c>
      <c r="F72" s="79">
        <f>IF(OR(D72="",E72=""),"",IF(D72=0,0,E72/D72))</f>
        <v>0.78637413394919164</v>
      </c>
      <c r="G72" s="71" t="s">
        <v>4932</v>
      </c>
      <c r="H72" s="73">
        <v>681</v>
      </c>
      <c r="I72" s="79">
        <f>IF(OR(D72="",H72=""),"",IF(D72=0,0,H72/D72))</f>
        <v>0.78637413394919164</v>
      </c>
      <c r="J72" s="71" t="s">
        <v>2648</v>
      </c>
    </row>
    <row r="73" spans="1:10" ht="60" customHeight="1">
      <c r="A73" s="71" t="s">
        <v>2656</v>
      </c>
      <c r="B73" s="71" t="s">
        <v>4974</v>
      </c>
      <c r="C73" s="71" t="s">
        <v>4975</v>
      </c>
      <c r="D73" s="73">
        <v>249</v>
      </c>
      <c r="E73" s="73">
        <v>2</v>
      </c>
      <c r="F73" s="79">
        <f>IF(OR(D73="",E73=""),"",IF(D73=0,0,E73/D73))</f>
        <v>8.0321285140562242E-3</v>
      </c>
      <c r="G73" s="71" t="s">
        <v>4976</v>
      </c>
      <c r="H73" s="73">
        <v>15</v>
      </c>
      <c r="I73" s="79">
        <f>IF(OR(D73="",H73=""),"",IF(D73=0,0,H73/D73))</f>
        <v>6.0240963855421686E-2</v>
      </c>
      <c r="J73" s="71" t="s">
        <v>2666</v>
      </c>
    </row>
    <row r="74" spans="1:10" ht="60" customHeight="1">
      <c r="A74" s="71" t="s">
        <v>2668</v>
      </c>
      <c r="B74" s="71" t="s">
        <v>4922</v>
      </c>
      <c r="C74" s="71" t="s">
        <v>4923</v>
      </c>
      <c r="D74" s="73">
        <v>635</v>
      </c>
      <c r="E74" s="73">
        <v>187</v>
      </c>
      <c r="F74" s="79">
        <f>IF(OR(D74="",E74=""),"",IF(D74=0,0,E74/D74))</f>
        <v>0.29448818897637796</v>
      </c>
      <c r="G74" s="71" t="s">
        <v>4923</v>
      </c>
      <c r="H74" s="73">
        <v>187</v>
      </c>
      <c r="I74" s="79">
        <f>IF(OR(D74="",H74=""),"",IF(D74=0,0,H74/D74))</f>
        <v>0.29448818897637796</v>
      </c>
      <c r="J74" s="71" t="s">
        <v>777</v>
      </c>
    </row>
    <row r="75" spans="1:10" ht="60" customHeight="1">
      <c r="A75" s="71" t="s">
        <v>2679</v>
      </c>
      <c r="B75" s="71" t="s">
        <v>4977</v>
      </c>
      <c r="C75" s="71" t="s">
        <v>4933</v>
      </c>
      <c r="D75" s="73">
        <v>283</v>
      </c>
      <c r="E75" s="73">
        <v>115</v>
      </c>
      <c r="F75" s="79">
        <f>IF(OR(D75="",E75=""),"",IF(D75=0,0,E75/D75))</f>
        <v>0.40636042402826855</v>
      </c>
      <c r="G75" s="71" t="s">
        <v>4933</v>
      </c>
      <c r="H75" s="73">
        <v>115</v>
      </c>
      <c r="I75" s="79">
        <f>IF(OR(D75="",H75=""),"",IF(D75=0,0,H75/D75))</f>
        <v>0.40636042402826855</v>
      </c>
      <c r="J75" s="71" t="s">
        <v>2692</v>
      </c>
    </row>
    <row r="76" spans="1:10" ht="60" customHeight="1">
      <c r="A76" s="71" t="s">
        <v>2694</v>
      </c>
      <c r="B76" s="71"/>
      <c r="C76" s="71" t="s">
        <v>4978</v>
      </c>
      <c r="D76" s="73"/>
      <c r="E76" s="73"/>
      <c r="F76" s="79" t="str">
        <f>IF(OR(D76="",E76=""),"",IF(D76=0,0,E76/D76))</f>
        <v/>
      </c>
      <c r="G76" s="71"/>
      <c r="H76" s="73"/>
      <c r="I76" s="79" t="str">
        <f>IF(OR(D76="",H76=""),"",IF(D76=0,0,H76/D76))</f>
        <v/>
      </c>
      <c r="J76" s="71" t="s">
        <v>1075</v>
      </c>
    </row>
    <row r="77" spans="1:10" ht="60" customHeight="1">
      <c r="A77" s="71" t="s">
        <v>2702</v>
      </c>
      <c r="B77" s="71" t="s">
        <v>4948</v>
      </c>
      <c r="C77" s="71" t="s">
        <v>4979</v>
      </c>
      <c r="D77" s="73">
        <v>1042</v>
      </c>
      <c r="E77" s="73">
        <v>0</v>
      </c>
      <c r="F77" s="79">
        <f>IF(OR(D77="",E77=""),"",IF(D77=0,0,E77/D77))</f>
        <v>0</v>
      </c>
      <c r="G77" s="71" t="s">
        <v>4950</v>
      </c>
      <c r="H77" s="73">
        <v>40</v>
      </c>
      <c r="I77" s="79">
        <f>IF(OR(D77="",H77=""),"",IF(D77=0,0,H77/D77))</f>
        <v>3.8387715930902108E-2</v>
      </c>
      <c r="J77" s="71" t="s">
        <v>1799</v>
      </c>
    </row>
    <row r="78" spans="1:10" ht="60" customHeight="1">
      <c r="A78" s="71" t="s">
        <v>2711</v>
      </c>
      <c r="B78" s="71" t="s">
        <v>4948</v>
      </c>
      <c r="C78" s="71" t="s">
        <v>2712</v>
      </c>
      <c r="D78" s="73">
        <v>1042</v>
      </c>
      <c r="E78" s="73">
        <v>10</v>
      </c>
      <c r="F78" s="79">
        <f>IF(OR(D78="",E78=""),"",IF(D78=0,0,E78/D78))</f>
        <v>9.5969289827255271E-3</v>
      </c>
      <c r="G78" s="71" t="s">
        <v>4950</v>
      </c>
      <c r="H78" s="73">
        <v>40</v>
      </c>
      <c r="I78" s="79">
        <f>IF(OR(D78="",H78=""),"",IF(D78=0,0,H78/D78))</f>
        <v>3.8387715930902108E-2</v>
      </c>
      <c r="J78" s="71" t="s">
        <v>2715</v>
      </c>
    </row>
    <row r="79" spans="1:10" ht="60" customHeight="1">
      <c r="A79" s="71" t="s">
        <v>2717</v>
      </c>
      <c r="B79" s="71" t="s">
        <v>4948</v>
      </c>
      <c r="C79" s="71" t="s">
        <v>4980</v>
      </c>
      <c r="D79" s="73">
        <v>1042</v>
      </c>
      <c r="E79" s="73">
        <v>4</v>
      </c>
      <c r="F79" s="79">
        <f>IF(OR(D79="",E79=""),"",IF(D79=0,0,E79/D79))</f>
        <v>3.838771593090211E-3</v>
      </c>
      <c r="G79" s="71" t="s">
        <v>4950</v>
      </c>
      <c r="H79" s="73">
        <v>40</v>
      </c>
      <c r="I79" s="79">
        <f>IF(OR(D79="",H79=""),"",IF(D79=0,0,H79/D79))</f>
        <v>3.8387715930902108E-2</v>
      </c>
      <c r="J79" s="71" t="s">
        <v>2723</v>
      </c>
    </row>
    <row r="80" spans="1:10" ht="60" customHeight="1">
      <c r="A80" s="71" t="s">
        <v>2725</v>
      </c>
      <c r="B80" s="71" t="s">
        <v>4948</v>
      </c>
      <c r="C80" s="71" t="s">
        <v>4979</v>
      </c>
      <c r="D80" s="73">
        <v>1042</v>
      </c>
      <c r="E80" s="73">
        <v>0</v>
      </c>
      <c r="F80" s="79">
        <f>IF(OR(D80="",E80=""),"",IF(D80=0,0,E80/D80))</f>
        <v>0</v>
      </c>
      <c r="G80" s="71" t="s">
        <v>4950</v>
      </c>
      <c r="H80" s="73">
        <v>40</v>
      </c>
      <c r="I80" s="79">
        <f>IF(OR(D80="",H80=""),"",IF(D80=0,0,H80/D80))</f>
        <v>3.8387715930902108E-2</v>
      </c>
      <c r="J80" s="71" t="s">
        <v>1799</v>
      </c>
    </row>
    <row r="81" spans="1:10" ht="60" customHeight="1">
      <c r="A81" s="71" t="s">
        <v>2730</v>
      </c>
      <c r="B81" s="71" t="s">
        <v>4948</v>
      </c>
      <c r="C81" s="71" t="s">
        <v>4981</v>
      </c>
      <c r="D81" s="73">
        <v>1042</v>
      </c>
      <c r="E81" s="73">
        <v>0</v>
      </c>
      <c r="F81" s="79">
        <f>IF(OR(D81="",E81=""),"",IF(D81=0,0,E81/D81))</f>
        <v>0</v>
      </c>
      <c r="G81" s="71" t="s">
        <v>4950</v>
      </c>
      <c r="H81" s="73">
        <v>40</v>
      </c>
      <c r="I81" s="79">
        <f>IF(OR(D81="",H81=""),"",IF(D81=0,0,H81/D81))</f>
        <v>3.8387715930902108E-2</v>
      </c>
      <c r="J81" s="71" t="s">
        <v>1799</v>
      </c>
    </row>
    <row r="82" spans="1:10" ht="60" customHeight="1">
      <c r="A82" s="71" t="s">
        <v>2735</v>
      </c>
      <c r="B82" s="71" t="s">
        <v>4974</v>
      </c>
      <c r="C82" s="71" t="s">
        <v>4982</v>
      </c>
      <c r="D82" s="73">
        <v>249</v>
      </c>
      <c r="E82" s="73">
        <v>4</v>
      </c>
      <c r="F82" s="79">
        <f>IF(OR(D82="",E82=""),"",IF(D82=0,0,E82/D82))</f>
        <v>1.6064257028112448E-2</v>
      </c>
      <c r="G82" s="71" t="s">
        <v>4976</v>
      </c>
      <c r="H82" s="73">
        <v>15</v>
      </c>
      <c r="I82" s="79">
        <f>IF(OR(D82="",H82=""),"",IF(D82=0,0,H82/D82))</f>
        <v>6.0240963855421686E-2</v>
      </c>
      <c r="J82" s="71" t="s">
        <v>2740</v>
      </c>
    </row>
    <row r="83" spans="1:10" ht="60" customHeight="1">
      <c r="A83" s="71" t="s">
        <v>2742</v>
      </c>
      <c r="B83" s="71" t="s">
        <v>4977</v>
      </c>
      <c r="C83" s="71" t="s">
        <v>4983</v>
      </c>
      <c r="D83" s="73">
        <v>283</v>
      </c>
      <c r="E83" s="73">
        <v>15</v>
      </c>
      <c r="F83" s="79">
        <f>IF(OR(D83="",E83=""),"",IF(D83=0,0,E83/D83))</f>
        <v>5.3003533568904596E-2</v>
      </c>
      <c r="G83" s="71" t="s">
        <v>4933</v>
      </c>
      <c r="H83" s="73">
        <v>115</v>
      </c>
      <c r="I83" s="79">
        <f>IF(OR(D83="",H83=""),"",IF(D83=0,0,H83/D83))</f>
        <v>0.40636042402826855</v>
      </c>
      <c r="J83" s="71" t="s">
        <v>2749</v>
      </c>
    </row>
    <row r="84" spans="1:10" ht="60" customHeight="1">
      <c r="A84" s="71" t="s">
        <v>2751</v>
      </c>
      <c r="B84" s="71" t="s">
        <v>4984</v>
      </c>
      <c r="C84" s="71" t="s">
        <v>4985</v>
      </c>
      <c r="D84" s="73">
        <v>85</v>
      </c>
      <c r="E84" s="73">
        <v>20</v>
      </c>
      <c r="F84" s="79">
        <f>IF(OR(D84="",E84=""),"",IF(D84=0,0,E84/D84))</f>
        <v>0.23529411764705882</v>
      </c>
      <c r="G84" s="71" t="s">
        <v>4985</v>
      </c>
      <c r="H84" s="73">
        <v>20</v>
      </c>
      <c r="I84" s="79">
        <f>IF(OR(D84="",H84=""),"",IF(D84=0,0,H84/D84))</f>
        <v>0.23529411764705882</v>
      </c>
      <c r="J84" s="71" t="s">
        <v>2761</v>
      </c>
    </row>
    <row r="85" spans="1:10" ht="60" customHeight="1">
      <c r="A85" s="71" t="s">
        <v>2765</v>
      </c>
      <c r="B85" s="71" t="s">
        <v>4986</v>
      </c>
      <c r="C85" s="71" t="s">
        <v>4987</v>
      </c>
      <c r="D85" s="73">
        <v>52</v>
      </c>
      <c r="E85" s="73">
        <v>3</v>
      </c>
      <c r="F85" s="79">
        <f>IF(OR(D85="",E85=""),"",IF(D85=0,0,E85/D85))</f>
        <v>5.7692307692307696E-2</v>
      </c>
      <c r="G85" s="71" t="s">
        <v>4988</v>
      </c>
      <c r="H85" s="73">
        <v>38</v>
      </c>
      <c r="I85" s="79">
        <f>IF(OR(D85="",H85=""),"",IF(D85=0,0,H85/D85))</f>
        <v>0.73076923076923073</v>
      </c>
      <c r="J85" s="71" t="s">
        <v>2774</v>
      </c>
    </row>
    <row r="86" spans="1:10" ht="60" customHeight="1">
      <c r="A86" s="71" t="s">
        <v>2776</v>
      </c>
      <c r="B86" s="71" t="s">
        <v>4989</v>
      </c>
      <c r="C86" s="71" t="s">
        <v>4990</v>
      </c>
      <c r="D86" s="73">
        <v>2652</v>
      </c>
      <c r="E86" s="73">
        <v>35</v>
      </c>
      <c r="F86" s="79">
        <f>IF(OR(D86="",E86=""),"",IF(D86=0,0,E86/D86))</f>
        <v>1.3197586726998492E-2</v>
      </c>
      <c r="G86" s="71" t="s">
        <v>4991</v>
      </c>
      <c r="H86" s="73">
        <v>289</v>
      </c>
      <c r="I86" s="79">
        <f>IF(OR(D86="",H86=""),"",IF(D86=0,0,H86/D86))</f>
        <v>0.10897435897435898</v>
      </c>
      <c r="J86" s="71" t="s">
        <v>2788</v>
      </c>
    </row>
    <row r="87" spans="1:10" ht="60" customHeight="1">
      <c r="A87" s="71" t="s">
        <v>2796</v>
      </c>
      <c r="B87" s="71" t="s">
        <v>4992</v>
      </c>
      <c r="C87" s="71" t="s">
        <v>4993</v>
      </c>
      <c r="D87" s="73">
        <v>407</v>
      </c>
      <c r="E87" s="73">
        <v>8</v>
      </c>
      <c r="F87" s="79">
        <f>IF(OR(D87="",E87=""),"",IF(D87=0,0,E87/D87))</f>
        <v>1.9656019656019656E-2</v>
      </c>
      <c r="G87" s="71" t="s">
        <v>4994</v>
      </c>
      <c r="H87" s="73">
        <v>82</v>
      </c>
      <c r="I87" s="79">
        <f>IF(OR(D87="",H87=""),"",IF(D87=0,0,H87/D87))</f>
        <v>0.20147420147420148</v>
      </c>
      <c r="J87" s="71" t="s">
        <v>2805</v>
      </c>
    </row>
    <row r="88" spans="1:10" ht="60" customHeight="1">
      <c r="A88" s="71" t="s">
        <v>2808</v>
      </c>
      <c r="B88" s="71" t="s">
        <v>4995</v>
      </c>
      <c r="C88" s="71" t="s">
        <v>4985</v>
      </c>
      <c r="D88" s="73">
        <v>520</v>
      </c>
      <c r="E88" s="73">
        <v>4</v>
      </c>
      <c r="F88" s="79">
        <f>IF(OR(D88="",E88=""),"",IF(D88=0,0,E88/D88))</f>
        <v>7.6923076923076927E-3</v>
      </c>
      <c r="G88" s="71" t="s">
        <v>4940</v>
      </c>
      <c r="H88" s="73">
        <v>304</v>
      </c>
      <c r="I88" s="79">
        <f>IF(OR(D88="",H88=""),"",IF(D88=0,0,H88/D88))</f>
        <v>0.58461538461538465</v>
      </c>
      <c r="J88" s="71" t="s">
        <v>2820</v>
      </c>
    </row>
    <row r="89" spans="1:10" ht="60" customHeight="1">
      <c r="A89" s="71" t="s">
        <v>2822</v>
      </c>
      <c r="B89" s="71" t="s">
        <v>4995</v>
      </c>
      <c r="C89" s="71" t="s">
        <v>4996</v>
      </c>
      <c r="D89" s="73">
        <v>520</v>
      </c>
      <c r="E89" s="73">
        <v>3</v>
      </c>
      <c r="F89" s="79">
        <f>IF(OR(D89="",E89=""),"",IF(D89=0,0,E89/D89))</f>
        <v>5.7692307692307696E-3</v>
      </c>
      <c r="G89" s="71" t="s">
        <v>4940</v>
      </c>
      <c r="H89" s="73">
        <v>304</v>
      </c>
      <c r="I89" s="79">
        <f>IF(OR(D89="",H89=""),"",IF(D89=0,0,H89/D89))</f>
        <v>0.58461538461538465</v>
      </c>
      <c r="J89" s="71" t="s">
        <v>2827</v>
      </c>
    </row>
    <row r="90" spans="1:10" ht="60" customHeight="1">
      <c r="A90" s="71" t="s">
        <v>2830</v>
      </c>
      <c r="B90" s="71" t="s">
        <v>4997</v>
      </c>
      <c r="C90" s="71" t="s">
        <v>4998</v>
      </c>
      <c r="D90" s="73">
        <v>15</v>
      </c>
      <c r="E90" s="73">
        <v>1</v>
      </c>
      <c r="F90" s="79">
        <f>IF(OR(D90="",E90=""),"",IF(D90=0,0,E90/D90))</f>
        <v>6.6666666666666666E-2</v>
      </c>
      <c r="G90" s="71" t="s">
        <v>4996</v>
      </c>
      <c r="H90" s="73">
        <v>3</v>
      </c>
      <c r="I90" s="79">
        <f>IF(OR(D90="",H90=""),"",IF(D90=0,0,H90/D90))</f>
        <v>0.2</v>
      </c>
      <c r="J90" s="71" t="s">
        <v>2838</v>
      </c>
    </row>
    <row r="91" spans="1:10" ht="60" customHeight="1">
      <c r="A91" s="71" t="s">
        <v>2843</v>
      </c>
      <c r="B91" s="71" t="s">
        <v>4997</v>
      </c>
      <c r="C91" s="71" t="s">
        <v>4998</v>
      </c>
      <c r="D91" s="73">
        <v>15</v>
      </c>
      <c r="E91" s="73">
        <v>1</v>
      </c>
      <c r="F91" s="79">
        <f>IF(OR(D91="",E91=""),"",IF(D91=0,0,E91/D91))</f>
        <v>6.6666666666666666E-2</v>
      </c>
      <c r="G91" s="71" t="s">
        <v>4996</v>
      </c>
      <c r="H91" s="73">
        <v>3</v>
      </c>
      <c r="I91" s="79">
        <f>IF(OR(D91="",H91=""),"",IF(D91=0,0,H91/D91))</f>
        <v>0.2</v>
      </c>
      <c r="J91" s="71" t="s">
        <v>2838</v>
      </c>
    </row>
    <row r="92" spans="1:10" ht="60" customHeight="1">
      <c r="A92" s="71" t="s">
        <v>2850</v>
      </c>
      <c r="B92" s="71" t="s">
        <v>4997</v>
      </c>
      <c r="C92" s="71" t="s">
        <v>4942</v>
      </c>
      <c r="D92" s="73">
        <v>15</v>
      </c>
      <c r="E92" s="73">
        <v>1</v>
      </c>
      <c r="F92" s="79">
        <f>IF(OR(D92="",E92=""),"",IF(D92=0,0,E92/D92))</f>
        <v>6.6666666666666666E-2</v>
      </c>
      <c r="G92" s="71" t="s">
        <v>4996</v>
      </c>
      <c r="H92" s="73">
        <v>3</v>
      </c>
      <c r="I92" s="79">
        <f>IF(OR(D92="",H92=""),"",IF(D92=0,0,H92/D92))</f>
        <v>0.2</v>
      </c>
      <c r="J92" s="71" t="s">
        <v>2855</v>
      </c>
    </row>
    <row r="93" spans="1:10" ht="60" customHeight="1">
      <c r="A93" s="71" t="s">
        <v>2858</v>
      </c>
      <c r="B93" s="71" t="s">
        <v>4997</v>
      </c>
      <c r="C93" s="71" t="s">
        <v>4931</v>
      </c>
      <c r="D93" s="73">
        <v>15</v>
      </c>
      <c r="E93" s="73">
        <v>1</v>
      </c>
      <c r="F93" s="79">
        <f>IF(OR(D93="",E93=""),"",IF(D93=0,0,E93/D93))</f>
        <v>6.6666666666666666E-2</v>
      </c>
      <c r="G93" s="71" t="s">
        <v>4996</v>
      </c>
      <c r="H93" s="73">
        <v>3</v>
      </c>
      <c r="I93" s="79">
        <f>IF(OR(D93="",H93=""),"",IF(D93=0,0,H93/D93))</f>
        <v>0.2</v>
      </c>
      <c r="J93" s="71" t="s">
        <v>2863</v>
      </c>
    </row>
    <row r="94" spans="1:10" ht="60" customHeight="1">
      <c r="A94" s="71" t="s">
        <v>2866</v>
      </c>
      <c r="B94" s="71" t="s">
        <v>4997</v>
      </c>
      <c r="C94" s="71" t="s">
        <v>4999</v>
      </c>
      <c r="D94" s="73">
        <v>15</v>
      </c>
      <c r="E94" s="73">
        <v>0</v>
      </c>
      <c r="F94" s="79">
        <f>IF(OR(D94="",E94=""),"",IF(D94=0,0,E94/D94))</f>
        <v>0</v>
      </c>
      <c r="G94" s="71" t="s">
        <v>4996</v>
      </c>
      <c r="H94" s="73">
        <v>3</v>
      </c>
      <c r="I94" s="79">
        <f>IF(OR(D94="",H94=""),"",IF(D94=0,0,H94/D94))</f>
        <v>0.2</v>
      </c>
      <c r="J94" s="71" t="s">
        <v>2872</v>
      </c>
    </row>
    <row r="95" spans="1:10" ht="60" customHeight="1">
      <c r="A95" s="71" t="s">
        <v>2877</v>
      </c>
      <c r="B95" s="71" t="s">
        <v>4997</v>
      </c>
      <c r="C95" s="71" t="s">
        <v>4999</v>
      </c>
      <c r="D95" s="73">
        <v>15</v>
      </c>
      <c r="E95" s="73">
        <v>0</v>
      </c>
      <c r="F95" s="79">
        <f>IF(OR(D95="",E95=""),"",IF(D95=0,0,E95/D95))</f>
        <v>0</v>
      </c>
      <c r="G95" s="71" t="s">
        <v>4996</v>
      </c>
      <c r="H95" s="73">
        <v>3</v>
      </c>
      <c r="I95" s="79">
        <f>IF(OR(D95="",H95=""),"",IF(D95=0,0,H95/D95))</f>
        <v>0.2</v>
      </c>
      <c r="J95" s="71" t="s">
        <v>2872</v>
      </c>
    </row>
    <row r="96" spans="1:10" ht="60" customHeight="1">
      <c r="A96" s="71" t="s">
        <v>2885</v>
      </c>
      <c r="B96" s="71" t="s">
        <v>4997</v>
      </c>
      <c r="C96" s="71" t="s">
        <v>4940</v>
      </c>
      <c r="D96" s="73">
        <v>15</v>
      </c>
      <c r="E96" s="73">
        <v>2</v>
      </c>
      <c r="F96" s="79">
        <f>IF(OR(D96="",E96=""),"",IF(D96=0,0,E96/D96))</f>
        <v>0.13333333333333333</v>
      </c>
      <c r="G96" s="71" t="s">
        <v>4996</v>
      </c>
      <c r="H96" s="73">
        <v>3</v>
      </c>
      <c r="I96" s="79">
        <f>IF(OR(D96="",H96=""),"",IF(D96=0,0,H96/D96))</f>
        <v>0.2</v>
      </c>
      <c r="J96" s="71" t="s">
        <v>2890</v>
      </c>
    </row>
    <row r="97" spans="1:10" ht="60" customHeight="1">
      <c r="A97" s="71" t="s">
        <v>2893</v>
      </c>
      <c r="B97" s="71" t="s">
        <v>4997</v>
      </c>
      <c r="C97" s="71" t="s">
        <v>4940</v>
      </c>
      <c r="D97" s="73">
        <v>15</v>
      </c>
      <c r="E97" s="73">
        <v>2</v>
      </c>
      <c r="F97" s="79">
        <f>IF(OR(D97="",E97=""),"",IF(D97=0,0,E97/D97))</f>
        <v>0.13333333333333333</v>
      </c>
      <c r="G97" s="71" t="s">
        <v>4996</v>
      </c>
      <c r="H97" s="73">
        <v>3</v>
      </c>
      <c r="I97" s="79">
        <f>IF(OR(D97="",H97=""),"",IF(D97=0,0,H97/D97))</f>
        <v>0.2</v>
      </c>
      <c r="J97" s="71" t="s">
        <v>2890</v>
      </c>
    </row>
    <row r="98" spans="1:10" ht="60" customHeight="1">
      <c r="A98" s="71" t="s">
        <v>2898</v>
      </c>
      <c r="B98" s="71" t="s">
        <v>4997</v>
      </c>
      <c r="C98" s="71" t="s">
        <v>4940</v>
      </c>
      <c r="D98" s="73">
        <v>15</v>
      </c>
      <c r="E98" s="73">
        <v>2</v>
      </c>
      <c r="F98" s="79">
        <f>IF(OR(D98="",E98=""),"",IF(D98=0,0,E98/D98))</f>
        <v>0.13333333333333333</v>
      </c>
      <c r="G98" s="71" t="s">
        <v>4996</v>
      </c>
      <c r="H98" s="73">
        <v>3</v>
      </c>
      <c r="I98" s="79">
        <f>IF(OR(D98="",H98=""),"",IF(D98=0,0,H98/D98))</f>
        <v>0.2</v>
      </c>
      <c r="J98" s="71" t="s">
        <v>2890</v>
      </c>
    </row>
    <row r="99" spans="1:10" ht="60" customHeight="1">
      <c r="A99" s="71" t="s">
        <v>2903</v>
      </c>
      <c r="B99" s="71" t="s">
        <v>5000</v>
      </c>
      <c r="C99" s="71" t="s">
        <v>5001</v>
      </c>
      <c r="D99" s="73">
        <v>5</v>
      </c>
      <c r="E99" s="73">
        <v>0</v>
      </c>
      <c r="F99" s="79">
        <f>IF(OR(D99="",E99=""),"",IF(D99=0,0,E99/D99))</f>
        <v>0</v>
      </c>
      <c r="G99" s="71" t="s">
        <v>5002</v>
      </c>
      <c r="H99" s="73">
        <v>4</v>
      </c>
      <c r="I99" s="79">
        <f>IF(OR(D99="",H99=""),"",IF(D99=0,0,H99/D99))</f>
        <v>0.8</v>
      </c>
      <c r="J99" s="71" t="s">
        <v>2913</v>
      </c>
    </row>
    <row r="100" spans="1:10" ht="60" customHeight="1">
      <c r="A100" s="71" t="s">
        <v>2915</v>
      </c>
      <c r="B100" s="71" t="s">
        <v>4948</v>
      </c>
      <c r="C100" s="71" t="s">
        <v>5003</v>
      </c>
      <c r="D100" s="73">
        <v>1042</v>
      </c>
      <c r="E100" s="73">
        <v>0</v>
      </c>
      <c r="F100" s="79">
        <f>IF(OR(D100="",E100=""),"",IF(D100=0,0,E100/D100))</f>
        <v>0</v>
      </c>
      <c r="G100" s="71" t="s">
        <v>4950</v>
      </c>
      <c r="H100" s="73">
        <v>40</v>
      </c>
      <c r="I100" s="79">
        <f>IF(OR(D100="",H100=""),"",IF(D100=0,0,H100/D100))</f>
        <v>3.8387715930902108E-2</v>
      </c>
      <c r="J100" s="71" t="s">
        <v>1799</v>
      </c>
    </row>
    <row r="101" spans="1:10" ht="60" customHeight="1">
      <c r="A101" s="71" t="s">
        <v>2928</v>
      </c>
      <c r="B101" s="71" t="s">
        <v>4922</v>
      </c>
      <c r="C101" s="71" t="s">
        <v>5004</v>
      </c>
      <c r="D101" s="73">
        <v>635</v>
      </c>
      <c r="E101" s="73">
        <v>13</v>
      </c>
      <c r="F101" s="79">
        <f>IF(OR(D101="",E101=""),"",IF(D101=0,0,E101/D101))</f>
        <v>2.0472440944881889E-2</v>
      </c>
      <c r="G101" s="71" t="s">
        <v>4923</v>
      </c>
      <c r="H101" s="73">
        <v>187</v>
      </c>
      <c r="I101" s="79">
        <f>IF(OR(D101="",H101=""),"",IF(D101=0,0,H101/D101))</f>
        <v>0.29448818897637796</v>
      </c>
      <c r="J101" s="71" t="s">
        <v>2939</v>
      </c>
    </row>
    <row r="102" spans="1:10" ht="60" customHeight="1">
      <c r="A102" s="71" t="s">
        <v>2941</v>
      </c>
      <c r="B102" s="71" t="s">
        <v>5005</v>
      </c>
      <c r="C102" s="71" t="s">
        <v>5006</v>
      </c>
      <c r="D102" s="73">
        <v>241</v>
      </c>
      <c r="E102" s="73">
        <v>192</v>
      </c>
      <c r="F102" s="79">
        <f>IF(OR(D102="",E102=""),"",IF(D102=0,0,E102/D102))</f>
        <v>0.79668049792531115</v>
      </c>
      <c r="G102" s="71" t="s">
        <v>5006</v>
      </c>
      <c r="H102" s="73">
        <v>192</v>
      </c>
      <c r="I102" s="79">
        <f>IF(OR(D102="",H102=""),"",IF(D102=0,0,H102/D102))</f>
        <v>0.79668049792531115</v>
      </c>
      <c r="J102" s="71" t="s">
        <v>2950</v>
      </c>
    </row>
    <row r="103" spans="1:10" ht="60" customHeight="1">
      <c r="A103" s="71" t="s">
        <v>2952</v>
      </c>
      <c r="B103" s="71" t="s">
        <v>5005</v>
      </c>
      <c r="C103" s="71" t="s">
        <v>5006</v>
      </c>
      <c r="D103" s="73">
        <v>241</v>
      </c>
      <c r="E103" s="73">
        <v>192</v>
      </c>
      <c r="F103" s="79">
        <f>IF(OR(D103="",E103=""),"",IF(D103=0,0,E103/D103))</f>
        <v>0.79668049792531115</v>
      </c>
      <c r="G103" s="71" t="s">
        <v>5006</v>
      </c>
      <c r="H103" s="73">
        <v>192</v>
      </c>
      <c r="I103" s="79">
        <f>IF(OR(D103="",H103=""),"",IF(D103=0,0,H103/D103))</f>
        <v>0.79668049792531115</v>
      </c>
      <c r="J103" s="71" t="s">
        <v>2950</v>
      </c>
    </row>
    <row r="104" spans="1:10" ht="60" customHeight="1">
      <c r="A104" s="71" t="s">
        <v>2959</v>
      </c>
      <c r="B104" s="71" t="s">
        <v>5007</v>
      </c>
      <c r="C104" s="71" t="s">
        <v>5008</v>
      </c>
      <c r="D104" s="73">
        <v>267</v>
      </c>
      <c r="E104" s="73">
        <v>2</v>
      </c>
      <c r="F104" s="79">
        <f>IF(OR(D104="",E104=""),"",IF(D104=0,0,E104/D104))</f>
        <v>7.4906367041198503E-3</v>
      </c>
      <c r="G104" s="71" t="s">
        <v>5009</v>
      </c>
      <c r="H104" s="73">
        <v>28</v>
      </c>
      <c r="I104" s="79">
        <f>IF(OR(D104="",H104=""),"",IF(D104=0,0,H104/D104))</f>
        <v>0.10486891385767791</v>
      </c>
      <c r="J104" s="71" t="s">
        <v>2967</v>
      </c>
    </row>
    <row r="105" spans="1:10" ht="60" customHeight="1">
      <c r="A105" s="71" t="s">
        <v>2969</v>
      </c>
      <c r="B105" s="71" t="s">
        <v>5010</v>
      </c>
      <c r="C105" s="71" t="s">
        <v>4963</v>
      </c>
      <c r="D105" s="73">
        <v>127</v>
      </c>
      <c r="E105" s="73">
        <v>9</v>
      </c>
      <c r="F105" s="79">
        <f>IF(OR(D105="",E105=""),"",IF(D105=0,0,E105/D105))</f>
        <v>7.0866141732283464E-2</v>
      </c>
      <c r="G105" s="71" t="s">
        <v>4959</v>
      </c>
      <c r="H105" s="73">
        <v>14</v>
      </c>
      <c r="I105" s="79">
        <f>IF(OR(D105="",H105=""),"",IF(D105=0,0,H105/D105))</f>
        <v>0.11023622047244094</v>
      </c>
      <c r="J105" s="71" t="s">
        <v>2978</v>
      </c>
    </row>
    <row r="106" spans="1:10" ht="60" customHeight="1">
      <c r="A106" s="71" t="s">
        <v>2980</v>
      </c>
      <c r="B106" s="71" t="s">
        <v>5011</v>
      </c>
      <c r="C106" s="71" t="s">
        <v>5012</v>
      </c>
      <c r="D106" s="73">
        <v>474</v>
      </c>
      <c r="E106" s="73">
        <v>225</v>
      </c>
      <c r="F106" s="79">
        <f>IF(OR(D106="",E106=""),"",IF(D106=0,0,E106/D106))</f>
        <v>0.47468354430379744</v>
      </c>
      <c r="G106" s="71" t="s">
        <v>5012</v>
      </c>
      <c r="H106" s="73">
        <v>225</v>
      </c>
      <c r="I106" s="79">
        <f>IF(OR(D106="",H106=""),"",IF(D106=0,0,H106/D106))</f>
        <v>0.47468354430379744</v>
      </c>
      <c r="J106" s="71" t="s">
        <v>2988</v>
      </c>
    </row>
    <row r="107" spans="1:10" ht="60" customHeight="1">
      <c r="A107" s="71" t="s">
        <v>2991</v>
      </c>
      <c r="B107" s="71" t="s">
        <v>5013</v>
      </c>
      <c r="C107" s="71" t="s">
        <v>5014</v>
      </c>
      <c r="D107" s="73">
        <v>17</v>
      </c>
      <c r="E107" s="73">
        <v>0</v>
      </c>
      <c r="F107" s="79">
        <f>IF(OR(D107="",E107=""),"",IF(D107=0,0,E107/D107))</f>
        <v>0</v>
      </c>
      <c r="G107" s="71" t="s">
        <v>5015</v>
      </c>
      <c r="H107" s="73">
        <v>10</v>
      </c>
      <c r="I107" s="79">
        <f>IF(OR(D107="",H107=""),"",IF(D107=0,0,H107/D107))</f>
        <v>0.58823529411764708</v>
      </c>
      <c r="J107" s="71" t="s">
        <v>2998</v>
      </c>
    </row>
    <row r="108" spans="1:10" ht="60" customHeight="1">
      <c r="A108" s="71" t="s">
        <v>3000</v>
      </c>
      <c r="B108" s="71" t="s">
        <v>5016</v>
      </c>
      <c r="C108" s="71" t="s">
        <v>4956</v>
      </c>
      <c r="D108" s="73"/>
      <c r="E108" s="73"/>
      <c r="F108" s="79" t="str">
        <f>IF(OR(D108="",E108=""),"",IF(D108=0,0,E108/D108))</f>
        <v/>
      </c>
      <c r="G108" s="71"/>
      <c r="H108" s="73"/>
      <c r="I108" s="79" t="str">
        <f>IF(OR(D108="",H108=""),"",IF(D108=0,0,H108/D108))</f>
        <v/>
      </c>
      <c r="J108" s="71" t="s">
        <v>1075</v>
      </c>
    </row>
    <row r="109" spans="1:10" ht="60" customHeight="1">
      <c r="A109" s="71" t="s">
        <v>3093</v>
      </c>
      <c r="B109" s="71" t="s">
        <v>5017</v>
      </c>
      <c r="C109" s="71" t="s">
        <v>5018</v>
      </c>
      <c r="D109" s="73">
        <v>317</v>
      </c>
      <c r="E109" s="73">
        <v>5</v>
      </c>
      <c r="F109" s="79">
        <f>IF(OR(D109="",E109=""),"",IF(D109=0,0,E109/D109))</f>
        <v>1.5772870662460567E-2</v>
      </c>
      <c r="G109" s="71" t="s">
        <v>5019</v>
      </c>
      <c r="H109" s="73">
        <v>96</v>
      </c>
      <c r="I109" s="79">
        <f>IF(OR(D109="",H109=""),"",IF(D109=0,0,H109/D109))</f>
        <v>0.30283911671924291</v>
      </c>
      <c r="J109" s="71" t="s">
        <v>3097</v>
      </c>
    </row>
    <row r="110" spans="1:10" ht="60" customHeight="1">
      <c r="A110" s="71" t="s">
        <v>2634</v>
      </c>
      <c r="B110" s="71" t="s">
        <v>5020</v>
      </c>
      <c r="C110" s="71" t="s">
        <v>5021</v>
      </c>
      <c r="D110" s="73">
        <v>1018</v>
      </c>
      <c r="E110" s="73">
        <v>742</v>
      </c>
      <c r="F110" s="79">
        <f>IF(OR(D110="",E110=""),"",IF(D110=0,0,E110/D110))</f>
        <v>0.72888015717092336</v>
      </c>
      <c r="G110" s="71" t="s">
        <v>5021</v>
      </c>
      <c r="H110" s="73">
        <v>742</v>
      </c>
      <c r="I110" s="79">
        <f>IF(OR(D110="",H110=""),"",IF(D110=0,0,H110/D110))</f>
        <v>0.72888015717092336</v>
      </c>
      <c r="J110" s="71" t="s">
        <v>3120</v>
      </c>
    </row>
    <row r="111" spans="1:10" ht="60" customHeight="1">
      <c r="A111" s="71" t="s">
        <v>2569</v>
      </c>
      <c r="B111" s="71" t="s">
        <v>5022</v>
      </c>
      <c r="C111" s="71" t="s">
        <v>5023</v>
      </c>
      <c r="D111" s="73">
        <v>226</v>
      </c>
      <c r="E111" s="73">
        <v>0</v>
      </c>
      <c r="F111" s="79">
        <f>IF(OR(D111="",E111=""),"",IF(D111=0,0,E111/D111))</f>
        <v>0</v>
      </c>
      <c r="G111" s="71" t="s">
        <v>5024</v>
      </c>
      <c r="H111" s="73">
        <v>94</v>
      </c>
      <c r="I111" s="79">
        <f>IF(OR(D111="",H111=""),"",IF(D111=0,0,H111/D111))</f>
        <v>0.41592920353982299</v>
      </c>
      <c r="J111" s="71" t="s">
        <v>3144</v>
      </c>
    </row>
    <row r="112" spans="1:10" ht="60" customHeight="1">
      <c r="A112" s="71" t="s">
        <v>3153</v>
      </c>
      <c r="B112" s="71" t="s">
        <v>5025</v>
      </c>
      <c r="C112" s="71" t="s">
        <v>997</v>
      </c>
      <c r="D112" s="73">
        <v>14</v>
      </c>
      <c r="E112" s="73">
        <v>0</v>
      </c>
      <c r="F112" s="79">
        <f>IF(OR(D112="",E112=""),"",IF(D112=0,0,E112/D112))</f>
        <v>0</v>
      </c>
      <c r="G112" s="71" t="s">
        <v>5026</v>
      </c>
      <c r="H112" s="73">
        <v>3</v>
      </c>
      <c r="I112" s="79">
        <f>IF(OR(D112="",H112=""),"",IF(D112=0,0,H112/D112))</f>
        <v>0.21428571428571427</v>
      </c>
      <c r="J112" s="71" t="s">
        <v>3159</v>
      </c>
    </row>
    <row r="113" spans="1:10" ht="60" customHeight="1">
      <c r="A113" s="71" t="s">
        <v>3161</v>
      </c>
      <c r="B113" s="71" t="s">
        <v>5027</v>
      </c>
      <c r="C113" s="71" t="s">
        <v>4956</v>
      </c>
      <c r="D113" s="73">
        <v>109</v>
      </c>
      <c r="E113" s="73">
        <v>88</v>
      </c>
      <c r="F113" s="79">
        <f>IF(OR(D113="",E113=""),"",IF(D113=0,0,E113/D113))</f>
        <v>0.80733944954128445</v>
      </c>
      <c r="G113" s="71" t="s">
        <v>4956</v>
      </c>
      <c r="H113" s="73">
        <v>88</v>
      </c>
      <c r="I113" s="79">
        <f>IF(OR(D113="",H113=""),"",IF(D113=0,0,H113/D113))</f>
        <v>0.80733944954128445</v>
      </c>
      <c r="J113" s="71" t="s">
        <v>3167</v>
      </c>
    </row>
    <row r="114" spans="1:10" ht="60" customHeight="1">
      <c r="A114" s="71" t="s">
        <v>3177</v>
      </c>
      <c r="B114" s="71" t="s">
        <v>5028</v>
      </c>
      <c r="C114" s="71" t="s">
        <v>5029</v>
      </c>
      <c r="D114" s="73">
        <v>145</v>
      </c>
      <c r="E114" s="73">
        <v>9</v>
      </c>
      <c r="F114" s="79">
        <f>IF(OR(D114="",E114=""),"",IF(D114=0,0,E114/D114))</f>
        <v>6.2068965517241378E-2</v>
      </c>
      <c r="G114" s="71" t="s">
        <v>5026</v>
      </c>
      <c r="H114" s="73">
        <v>111</v>
      </c>
      <c r="I114" s="79">
        <f>IF(OR(D114="",H114=""),"",IF(D114=0,0,H114/D114))</f>
        <v>0.76551724137931032</v>
      </c>
      <c r="J114" s="71" t="s">
        <v>3182</v>
      </c>
    </row>
    <row r="115" spans="1:10" ht="60" customHeight="1">
      <c r="A115" s="71" t="s">
        <v>3184</v>
      </c>
      <c r="B115" s="71" t="s">
        <v>5030</v>
      </c>
      <c r="C115" s="71" t="s">
        <v>4963</v>
      </c>
      <c r="D115" s="73">
        <v>104</v>
      </c>
      <c r="E115" s="73">
        <v>18</v>
      </c>
      <c r="F115" s="79">
        <f>IF(OR(D115="",E115=""),"",IF(D115=0,0,E115/D115))</f>
        <v>0.17307692307692307</v>
      </c>
      <c r="G115" s="71" t="s">
        <v>5031</v>
      </c>
      <c r="H115" s="73">
        <v>23</v>
      </c>
      <c r="I115" s="79">
        <f>IF(OR(D115="",H115=""),"",IF(D115=0,0,H115/D115))</f>
        <v>0.22115384615384615</v>
      </c>
      <c r="J115" s="71" t="s">
        <v>3194</v>
      </c>
    </row>
    <row r="116" spans="1:10" ht="60" customHeight="1">
      <c r="A116" s="71" t="s">
        <v>817</v>
      </c>
      <c r="B116" s="71" t="s">
        <v>4924</v>
      </c>
      <c r="C116" s="71" t="s">
        <v>4925</v>
      </c>
      <c r="D116" s="73">
        <v>46</v>
      </c>
      <c r="E116" s="73">
        <v>3</v>
      </c>
      <c r="F116" s="79">
        <f>IF(OR(D116="",E116=""),"",IF(D116=0,0,E116/D116))</f>
        <v>6.5217391304347824E-2</v>
      </c>
      <c r="G116" s="71" t="s">
        <v>4926</v>
      </c>
      <c r="H116" s="73">
        <v>14</v>
      </c>
      <c r="I116" s="79">
        <f>IF(OR(D116="",H116=""),"",IF(D116=0,0,H116/D116))</f>
        <v>0.30434782608695654</v>
      </c>
      <c r="J116" s="71" t="s">
        <v>831</v>
      </c>
    </row>
    <row r="117" spans="1:10" ht="60" customHeight="1">
      <c r="A117" s="71" t="s">
        <v>3196</v>
      </c>
      <c r="B117" s="71" t="s">
        <v>5032</v>
      </c>
      <c r="C117" s="71" t="s">
        <v>5033</v>
      </c>
      <c r="D117" s="73">
        <v>208</v>
      </c>
      <c r="E117" s="73">
        <v>154</v>
      </c>
      <c r="F117" s="79">
        <f>IF(OR(D117="",E117=""),"",IF(D117=0,0,E117/D117))</f>
        <v>0.74038461538461542</v>
      </c>
      <c r="G117" s="71" t="s">
        <v>5033</v>
      </c>
      <c r="H117" s="73">
        <v>154</v>
      </c>
      <c r="I117" s="79">
        <f>IF(OR(D117="",H117=""),"",IF(D117=0,0,H117/D117))</f>
        <v>0.74038461538461542</v>
      </c>
      <c r="J117" s="71" t="s">
        <v>3201</v>
      </c>
    </row>
    <row r="118" spans="1:10" ht="60" customHeight="1">
      <c r="A118" s="71" t="s">
        <v>3203</v>
      </c>
      <c r="B118" s="71" t="s">
        <v>5034</v>
      </c>
      <c r="C118" s="71" t="s">
        <v>4978</v>
      </c>
      <c r="D118" s="73">
        <v>44</v>
      </c>
      <c r="E118" s="73">
        <v>30</v>
      </c>
      <c r="F118" s="79">
        <f>IF(OR(D118="",E118=""),"",IF(D118=0,0,E118/D118))</f>
        <v>0.68181818181818177</v>
      </c>
      <c r="G118" s="71" t="s">
        <v>4978</v>
      </c>
      <c r="H118" s="73">
        <v>30</v>
      </c>
      <c r="I118" s="79">
        <f>IF(OR(D118="",H118=""),"",IF(D118=0,0,H118/D118))</f>
        <v>0.68181818181818177</v>
      </c>
      <c r="J118" s="71" t="s">
        <v>3211</v>
      </c>
    </row>
    <row r="119" spans="1:10" ht="60" customHeight="1">
      <c r="A119" s="71" t="s">
        <v>3213</v>
      </c>
      <c r="B119" s="71" t="s">
        <v>5034</v>
      </c>
      <c r="C119" s="71" t="s">
        <v>4978</v>
      </c>
      <c r="D119" s="73">
        <v>44</v>
      </c>
      <c r="E119" s="73">
        <v>30</v>
      </c>
      <c r="F119" s="79">
        <f>IF(OR(D119="",E119=""),"",IF(D119=0,0,E119/D119))</f>
        <v>0.68181818181818177</v>
      </c>
      <c r="G119" s="71" t="s">
        <v>4978</v>
      </c>
      <c r="H119" s="73">
        <v>30</v>
      </c>
      <c r="I119" s="79">
        <f>IF(OR(D119="",H119=""),"",IF(D119=0,0,H119/D119))</f>
        <v>0.68181818181818177</v>
      </c>
      <c r="J119" s="71" t="s">
        <v>3211</v>
      </c>
    </row>
    <row r="120" spans="1:10" ht="60" customHeight="1">
      <c r="A120" s="71" t="s">
        <v>3218</v>
      </c>
      <c r="B120" s="71" t="s">
        <v>4955</v>
      </c>
      <c r="C120" s="71" t="s">
        <v>4940</v>
      </c>
      <c r="D120" s="73">
        <v>269</v>
      </c>
      <c r="E120" s="73">
        <v>167</v>
      </c>
      <c r="F120" s="79">
        <f>IF(OR(D120="",E120=""),"",IF(D120=0,0,E120/D120))</f>
        <v>0.620817843866171</v>
      </c>
      <c r="G120" s="71" t="s">
        <v>4940</v>
      </c>
      <c r="H120" s="73">
        <v>167</v>
      </c>
      <c r="I120" s="79">
        <f>IF(OR(D120="",H120=""),"",IF(D120=0,0,H120/D120))</f>
        <v>0.620817843866171</v>
      </c>
      <c r="J120" s="71" t="s">
        <v>3225</v>
      </c>
    </row>
    <row r="121" spans="1:10" ht="60" customHeight="1">
      <c r="A121" s="71" t="s">
        <v>3000</v>
      </c>
      <c r="B121" s="71" t="s">
        <v>5016</v>
      </c>
      <c r="C121" s="71" t="s">
        <v>4956</v>
      </c>
      <c r="D121" s="73"/>
      <c r="E121" s="73"/>
      <c r="F121" s="79" t="str">
        <f>IF(OR(D121="",E121=""),"",IF(D121=0,0,E121/D121))</f>
        <v/>
      </c>
      <c r="G121" s="71"/>
      <c r="H121" s="73"/>
      <c r="I121" s="79" t="str">
        <f>IF(OR(D121="",H121=""),"",IF(D121=0,0,H121/D121))</f>
        <v/>
      </c>
      <c r="J121" s="71" t="s">
        <v>1075</v>
      </c>
    </row>
    <row r="122" spans="1:10" ht="60" customHeight="1">
      <c r="A122" s="71" t="s">
        <v>3231</v>
      </c>
      <c r="B122" s="71" t="s">
        <v>4968</v>
      </c>
      <c r="C122" s="71" t="s">
        <v>997</v>
      </c>
      <c r="D122" s="73">
        <v>1274</v>
      </c>
      <c r="E122" s="73">
        <v>1203</v>
      </c>
      <c r="F122" s="79">
        <f>IF(OR(D122="",E122=""),"",IF(D122=0,0,E122/D122))</f>
        <v>0.94427001569858715</v>
      </c>
      <c r="G122" s="71" t="s">
        <v>997</v>
      </c>
      <c r="H122" s="73">
        <v>1203</v>
      </c>
      <c r="I122" s="79">
        <f>IF(OR(D122="",H122=""),"",IF(D122=0,0,H122/D122))</f>
        <v>0.94427001569858715</v>
      </c>
      <c r="J122" s="71" t="s">
        <v>3237</v>
      </c>
    </row>
    <row r="123" spans="1:10" ht="60" customHeight="1">
      <c r="A123" s="71" t="s">
        <v>3239</v>
      </c>
      <c r="B123" s="71" t="s">
        <v>5035</v>
      </c>
      <c r="C123" s="71" t="s">
        <v>5036</v>
      </c>
      <c r="D123" s="73">
        <v>146</v>
      </c>
      <c r="E123" s="73">
        <v>0</v>
      </c>
      <c r="F123" s="79">
        <f>IF(OR(D123="",E123=""),"",IF(D123=0,0,E123/D123))</f>
        <v>0</v>
      </c>
      <c r="G123" s="71" t="s">
        <v>5037</v>
      </c>
      <c r="H123" s="73">
        <v>127</v>
      </c>
      <c r="I123" s="79">
        <f>IF(OR(D123="",H123=""),"",IF(D123=0,0,H123/D123))</f>
        <v>0.86986301369863017</v>
      </c>
      <c r="J123" s="71" t="s">
        <v>3246</v>
      </c>
    </row>
    <row r="124" spans="1:10" ht="60" customHeight="1">
      <c r="A124" s="71" t="s">
        <v>3248</v>
      </c>
      <c r="B124" s="71" t="s">
        <v>5020</v>
      </c>
      <c r="C124" s="71" t="s">
        <v>5021</v>
      </c>
      <c r="D124" s="73">
        <v>1018</v>
      </c>
      <c r="E124" s="73">
        <v>742</v>
      </c>
      <c r="F124" s="79">
        <f>IF(OR(D124="",E124=""),"",IF(D124=0,0,E124/D124))</f>
        <v>0.72888015717092336</v>
      </c>
      <c r="G124" s="71" t="s">
        <v>5021</v>
      </c>
      <c r="H124" s="73">
        <v>742</v>
      </c>
      <c r="I124" s="79">
        <f>IF(OR(D124="",H124=""),"",IF(D124=0,0,H124/D124))</f>
        <v>0.72888015717092336</v>
      </c>
      <c r="J124" s="71" t="s">
        <v>3120</v>
      </c>
    </row>
    <row r="125" spans="1:10" ht="60" customHeight="1">
      <c r="A125" s="71" t="s">
        <v>3256</v>
      </c>
      <c r="B125" s="71" t="s">
        <v>5038</v>
      </c>
      <c r="C125" s="71"/>
      <c r="D125" s="73">
        <v>410</v>
      </c>
      <c r="E125" s="73"/>
      <c r="F125" s="79" t="str">
        <f>IF(OR(D125="",E125=""),"",IF(D125=0,0,E125/D125))</f>
        <v/>
      </c>
      <c r="G125" s="71" t="s">
        <v>4921</v>
      </c>
      <c r="H125" s="73">
        <v>248</v>
      </c>
      <c r="I125" s="79">
        <f>IF(OR(D125="",H125=""),"",IF(D125=0,0,H125/D125))</f>
        <v>0.60487804878048779</v>
      </c>
      <c r="J125" s="71" t="s">
        <v>3263</v>
      </c>
    </row>
  </sheetData>
  <mergeCells count="1">
    <mergeCell ref="A1:J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4DFFC1849EF240868076745CF0F737" ma:contentTypeVersion="3" ma:contentTypeDescription="Create a new document." ma:contentTypeScope="" ma:versionID="23d5bb91739f348d595305cb07df3ff1">
  <xsd:schema xmlns:xsd="http://www.w3.org/2001/XMLSchema" xmlns:xs="http://www.w3.org/2001/XMLSchema" xmlns:p="http://schemas.microsoft.com/office/2006/metadata/properties" xmlns:ns2="54d4007c-cb0b-4eef-ab24-5c369520de47" targetNamespace="http://schemas.microsoft.com/office/2006/metadata/properties" ma:root="true" ma:fieldsID="797434b3e890bd22a026005072dc6690" ns2:_="">
    <xsd:import namespace="54d4007c-cb0b-4eef-ab24-5c369520de4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d4007c-cb0b-4eef-ab24-5c369520de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A1D050-5CA7-4616-8B99-EF20DD024EF2}"/>
</file>

<file path=customXml/itemProps2.xml><?xml version="1.0" encoding="utf-8"?>
<ds:datastoreItem xmlns:ds="http://schemas.openxmlformats.org/officeDocument/2006/customXml" ds:itemID="{EFDF3686-79B3-4761-8B14-C5666F2AB9B3}"/>
</file>

<file path=customXml/itemProps3.xml><?xml version="1.0" encoding="utf-8"?>
<ds:datastoreItem xmlns:ds="http://schemas.openxmlformats.org/officeDocument/2006/customXml" ds:itemID="{609A0515-C21C-41C5-A704-932F0427B9D9}"/>
</file>

<file path=docMetadata/LabelInfo.xml><?xml version="1.0" encoding="utf-8"?>
<clbl:labelList xmlns:clbl="http://schemas.microsoft.com/office/2020/mipLabelMetadata">
  <clbl:label id="{defa4170-0d19-0005-0004-bc88714345d2}" enabled="1" method="Standard" siteId="{6ca97535-1ce9-47ed-8f21-b63e79141b0c}"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Alexis DELEAU</cp:lastModifiedBy>
  <cp:revision/>
  <dcterms:created xsi:type="dcterms:W3CDTF">2026-10-07T06:44:41Z</dcterms:created>
  <dcterms:modified xsi:type="dcterms:W3CDTF">2026-10-07T09:04:26Z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0x010100C14DFFC1849EF240868076745CF0F737</vt:lpwstr>
  </property>
  <property fmtid="{D5CDD505-2E9C-101B-9397-08002B2CF9AE}" pid="3" name="Order">
    <vt:r8>2336600</vt:r8>
  </property>
  <property fmtid="{D5CDD505-2E9C-101B-9397-08002B2CF9AE}" pid="4" name="_SourceUrl">
    <vt:lpwstr/>
  </property>
  <property fmtid="{D5CDD505-2E9C-101B-9397-08002B2CF9AE}" pid="5" name="_SharedFileIndex">
    <vt:lpwstr/>
  </property>
  <property fmtid="{D5CDD505-2E9C-101B-9397-08002B2CF9AE}" pid="6" name="_ExtendedDescription">
    <vt:lpwstr/>
  </property>
  <property fmtid="{D5CDD505-2E9C-101B-9397-08002B2CF9AE}" pid="7" name="_CopySource">
    <vt:lpwstr>https://bonduelleprd-my.sharepoint.com/personal/alexis_deleau_bonduelle_com/Documents/Documents/Cowork/Tasks/configuration-tâche-planifiée-et-2026-09-01/output/Verification Formulaire creation 2026-10-07 (2).xlsx</vt:lpwstr>
  </property>
</Properties>
</file>